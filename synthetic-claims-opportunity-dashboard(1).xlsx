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dy\Downloads\"/>
    </mc:Choice>
  </mc:AlternateContent>
  <xr:revisionPtr revIDLastSave="0" documentId="8_{FD03FC26-4C84-4678-958C-120F0FA0F6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 OVERVIEW" sheetId="1" r:id="rId1"/>
    <sheet name="MASTER DATA" sheetId="2" r:id="rId2"/>
    <sheet name="DASHBOARD" sheetId="3" r:id="rId3"/>
    <sheet name="AUDIT CONTROLS" sheetId="4" r:id="rId4"/>
    <sheet name="Claims Analyst A" sheetId="5" r:id="rId5"/>
    <sheet name="Claims Analyst B" sheetId="6" r:id="rId6"/>
    <sheet name="Claims Analyst C" sheetId="7" r:id="rId7"/>
    <sheet name="Claims Analyst D" sheetId="8" r:id="rId8"/>
    <sheet name="Claims Analyst E" sheetId="9" r:id="rId9"/>
    <sheet name="Claims Analyst F" sheetId="10" r:id="rId10"/>
    <sheet name="Claims Analyst G" sheetId="11" r:id="rId11"/>
    <sheet name="Claims Analyst H" sheetId="12" r:id="rId12"/>
    <sheet name="Claims Analyst I" sheetId="13" r:id="rId13"/>
    <sheet name="Claims Analyst J" sheetId="14" r:id="rId14"/>
    <sheet name="Claims Analyst K" sheetId="15" r:id="rId15"/>
    <sheet name="Claims Analyst L" sheetId="16" r:id="rId1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77" i="16" l="1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77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A76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A75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A74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A73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A72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A71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A70" i="16"/>
  <c r="T69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69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68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67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A66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A65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B64" i="16"/>
  <c r="A64" i="16"/>
  <c r="T63" i="16"/>
  <c r="S63" i="16"/>
  <c r="R63" i="16"/>
  <c r="Q63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A63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62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A61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A60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A59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A58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57" i="16"/>
  <c r="A57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A56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A55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54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A53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A52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45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38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A36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A35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A34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33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A32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A31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A30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A29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A28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27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26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A25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23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22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7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A6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B5" i="16"/>
  <c r="A5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A4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A2" i="16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50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38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37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B38" i="4"/>
  <c r="B37" i="4"/>
  <c r="B36" i="4"/>
  <c r="B35" i="4"/>
  <c r="B34" i="4"/>
  <c r="B33" i="4"/>
  <c r="B32" i="4"/>
  <c r="B31" i="4"/>
  <c r="B30" i="4"/>
  <c r="B29" i="4"/>
  <c r="B28" i="4"/>
  <c r="B27" i="4"/>
  <c r="C16" i="4"/>
  <c r="B16" i="4"/>
  <c r="D16" i="4" s="1"/>
  <c r="E16" i="4" s="1"/>
  <c r="C15" i="4"/>
  <c r="C14" i="4"/>
  <c r="B14" i="4"/>
  <c r="D14" i="4" s="1"/>
  <c r="E14" i="4" s="1"/>
  <c r="B13" i="4"/>
  <c r="B9" i="4"/>
  <c r="B8" i="4"/>
  <c r="B7" i="4"/>
  <c r="B6" i="4"/>
  <c r="B5" i="4"/>
  <c r="B22" i="3"/>
  <c r="B21" i="3"/>
  <c r="B20" i="3"/>
  <c r="B19" i="3"/>
  <c r="B18" i="3"/>
  <c r="B17" i="3"/>
  <c r="B16" i="3"/>
  <c r="H15" i="3"/>
  <c r="C9" i="4" s="1"/>
  <c r="B15" i="3"/>
  <c r="H14" i="3"/>
  <c r="C8" i="4" s="1"/>
  <c r="B14" i="3"/>
  <c r="H13" i="3"/>
  <c r="C7" i="4" s="1"/>
  <c r="B13" i="3"/>
  <c r="H12" i="3"/>
  <c r="C6" i="4" s="1"/>
  <c r="B12" i="3"/>
  <c r="H11" i="3"/>
  <c r="C5" i="4" s="1"/>
  <c r="B11" i="3"/>
  <c r="A6" i="3"/>
  <c r="C13" i="4" s="1"/>
  <c r="AC561" i="2"/>
  <c r="AC77" i="16" s="1"/>
  <c r="AA561" i="2"/>
  <c r="Z561" i="2"/>
  <c r="Z77" i="16" s="1"/>
  <c r="Y561" i="2"/>
  <c r="Y77" i="16" s="1"/>
  <c r="X561" i="2"/>
  <c r="X77" i="16" s="1"/>
  <c r="W561" i="2"/>
  <c r="W77" i="16" s="1"/>
  <c r="V561" i="2"/>
  <c r="V77" i="16" s="1"/>
  <c r="U561" i="2"/>
  <c r="U77" i="16" s="1"/>
  <c r="AC560" i="2"/>
  <c r="AC76" i="16" s="1"/>
  <c r="AA560" i="2"/>
  <c r="Z560" i="2"/>
  <c r="Z76" i="16" s="1"/>
  <c r="Y560" i="2"/>
  <c r="Y76" i="16" s="1"/>
  <c r="X560" i="2"/>
  <c r="X76" i="16" s="1"/>
  <c r="W560" i="2"/>
  <c r="W76" i="16" s="1"/>
  <c r="V560" i="2"/>
  <c r="V76" i="16" s="1"/>
  <c r="U560" i="2"/>
  <c r="U76" i="16" s="1"/>
  <c r="AC559" i="2"/>
  <c r="AC75" i="16" s="1"/>
  <c r="AA559" i="2"/>
  <c r="Z559" i="2"/>
  <c r="Z75" i="16" s="1"/>
  <c r="Y559" i="2"/>
  <c r="Y75" i="16" s="1"/>
  <c r="X559" i="2"/>
  <c r="X75" i="16" s="1"/>
  <c r="W559" i="2"/>
  <c r="W75" i="16" s="1"/>
  <c r="V559" i="2"/>
  <c r="V75" i="16" s="1"/>
  <c r="U559" i="2"/>
  <c r="U75" i="16" s="1"/>
  <c r="AC558" i="2"/>
  <c r="AC74" i="16" s="1"/>
  <c r="AA558" i="2"/>
  <c r="Z558" i="2"/>
  <c r="Z74" i="16" s="1"/>
  <c r="Y558" i="2"/>
  <c r="Y74" i="16" s="1"/>
  <c r="X558" i="2"/>
  <c r="X74" i="16" s="1"/>
  <c r="W558" i="2"/>
  <c r="W74" i="16" s="1"/>
  <c r="V558" i="2"/>
  <c r="V74" i="16" s="1"/>
  <c r="U558" i="2"/>
  <c r="U74" i="16" s="1"/>
  <c r="AC557" i="2"/>
  <c r="AC73" i="16" s="1"/>
  <c r="AA557" i="2"/>
  <c r="Z557" i="2"/>
  <c r="Z73" i="16" s="1"/>
  <c r="Y557" i="2"/>
  <c r="Y73" i="16" s="1"/>
  <c r="X557" i="2"/>
  <c r="X73" i="16" s="1"/>
  <c r="W557" i="2"/>
  <c r="W73" i="16" s="1"/>
  <c r="V557" i="2"/>
  <c r="V73" i="16" s="1"/>
  <c r="U557" i="2"/>
  <c r="U73" i="16" s="1"/>
  <c r="AC556" i="2"/>
  <c r="AC72" i="16" s="1"/>
  <c r="AA556" i="2"/>
  <c r="Z556" i="2"/>
  <c r="Z72" i="16" s="1"/>
  <c r="Y556" i="2"/>
  <c r="Y72" i="16" s="1"/>
  <c r="X556" i="2"/>
  <c r="X72" i="16" s="1"/>
  <c r="W556" i="2"/>
  <c r="W72" i="16" s="1"/>
  <c r="V556" i="2"/>
  <c r="V72" i="16" s="1"/>
  <c r="U556" i="2"/>
  <c r="U72" i="16" s="1"/>
  <c r="AC555" i="2"/>
  <c r="AC71" i="16" s="1"/>
  <c r="AA555" i="2"/>
  <c r="Z555" i="2"/>
  <c r="Z71" i="16" s="1"/>
  <c r="Y555" i="2"/>
  <c r="Y71" i="16" s="1"/>
  <c r="X555" i="2"/>
  <c r="X71" i="16" s="1"/>
  <c r="W555" i="2"/>
  <c r="W71" i="16" s="1"/>
  <c r="V555" i="2"/>
  <c r="V71" i="16" s="1"/>
  <c r="U555" i="2"/>
  <c r="U71" i="16" s="1"/>
  <c r="AC554" i="2"/>
  <c r="AC70" i="16" s="1"/>
  <c r="AA554" i="2"/>
  <c r="Z554" i="2"/>
  <c r="Z70" i="16" s="1"/>
  <c r="Y554" i="2"/>
  <c r="Y70" i="16" s="1"/>
  <c r="X554" i="2"/>
  <c r="X70" i="16" s="1"/>
  <c r="W554" i="2"/>
  <c r="W70" i="16" s="1"/>
  <c r="V554" i="2"/>
  <c r="V70" i="16" s="1"/>
  <c r="U554" i="2"/>
  <c r="U70" i="16" s="1"/>
  <c r="AC553" i="2"/>
  <c r="AC69" i="16" s="1"/>
  <c r="AA553" i="2"/>
  <c r="Z553" i="2"/>
  <c r="Z69" i="16" s="1"/>
  <c r="Y553" i="2"/>
  <c r="Y69" i="16" s="1"/>
  <c r="X553" i="2"/>
  <c r="X69" i="16" s="1"/>
  <c r="W553" i="2"/>
  <c r="W69" i="16" s="1"/>
  <c r="V553" i="2"/>
  <c r="V69" i="16" s="1"/>
  <c r="U553" i="2"/>
  <c r="U69" i="16" s="1"/>
  <c r="AC552" i="2"/>
  <c r="AC68" i="16" s="1"/>
  <c r="AA552" i="2"/>
  <c r="Z552" i="2"/>
  <c r="Z68" i="16" s="1"/>
  <c r="Y552" i="2"/>
  <c r="Y68" i="16" s="1"/>
  <c r="X552" i="2"/>
  <c r="X68" i="16" s="1"/>
  <c r="W552" i="2"/>
  <c r="W68" i="16" s="1"/>
  <c r="V552" i="2"/>
  <c r="V68" i="16" s="1"/>
  <c r="U552" i="2"/>
  <c r="U68" i="16" s="1"/>
  <c r="AC551" i="2"/>
  <c r="AC67" i="16" s="1"/>
  <c r="AA551" i="2"/>
  <c r="Z551" i="2"/>
  <c r="Z67" i="16" s="1"/>
  <c r="Y551" i="2"/>
  <c r="Y67" i="16" s="1"/>
  <c r="X551" i="2"/>
  <c r="X67" i="16" s="1"/>
  <c r="W551" i="2"/>
  <c r="W67" i="16" s="1"/>
  <c r="V551" i="2"/>
  <c r="V67" i="16" s="1"/>
  <c r="U551" i="2"/>
  <c r="U67" i="16" s="1"/>
  <c r="AC550" i="2"/>
  <c r="AC66" i="16" s="1"/>
  <c r="AA550" i="2"/>
  <c r="Z550" i="2"/>
  <c r="Z66" i="16" s="1"/>
  <c r="Y550" i="2"/>
  <c r="Y66" i="16" s="1"/>
  <c r="X550" i="2"/>
  <c r="X66" i="16" s="1"/>
  <c r="W550" i="2"/>
  <c r="W66" i="16" s="1"/>
  <c r="V550" i="2"/>
  <c r="V66" i="16" s="1"/>
  <c r="U550" i="2"/>
  <c r="U66" i="16" s="1"/>
  <c r="AC549" i="2"/>
  <c r="AC65" i="16" s="1"/>
  <c r="AA549" i="2"/>
  <c r="Z549" i="2"/>
  <c r="Z65" i="16" s="1"/>
  <c r="Y549" i="2"/>
  <c r="Y65" i="16" s="1"/>
  <c r="X549" i="2"/>
  <c r="X65" i="16" s="1"/>
  <c r="W549" i="2"/>
  <c r="W65" i="16" s="1"/>
  <c r="V549" i="2"/>
  <c r="V65" i="16" s="1"/>
  <c r="U549" i="2"/>
  <c r="U65" i="16" s="1"/>
  <c r="AC548" i="2"/>
  <c r="AC64" i="16" s="1"/>
  <c r="AA548" i="2"/>
  <c r="Z548" i="2"/>
  <c r="Z64" i="16" s="1"/>
  <c r="Y548" i="2"/>
  <c r="Y64" i="16" s="1"/>
  <c r="X548" i="2"/>
  <c r="X64" i="16" s="1"/>
  <c r="W548" i="2"/>
  <c r="W64" i="16" s="1"/>
  <c r="V548" i="2"/>
  <c r="V64" i="16" s="1"/>
  <c r="U548" i="2"/>
  <c r="U64" i="16" s="1"/>
  <c r="AC547" i="2"/>
  <c r="AC63" i="16" s="1"/>
  <c r="AA547" i="2"/>
  <c r="Z547" i="2"/>
  <c r="Z63" i="16" s="1"/>
  <c r="Y547" i="2"/>
  <c r="Y63" i="16" s="1"/>
  <c r="X547" i="2"/>
  <c r="X63" i="16" s="1"/>
  <c r="W547" i="2"/>
  <c r="W63" i="16" s="1"/>
  <c r="V547" i="2"/>
  <c r="V63" i="16" s="1"/>
  <c r="U547" i="2"/>
  <c r="U63" i="16" s="1"/>
  <c r="AC546" i="2"/>
  <c r="AC62" i="16" s="1"/>
  <c r="AA546" i="2"/>
  <c r="Z546" i="2"/>
  <c r="Z62" i="16" s="1"/>
  <c r="Y546" i="2"/>
  <c r="Y62" i="16" s="1"/>
  <c r="X546" i="2"/>
  <c r="X62" i="16" s="1"/>
  <c r="W546" i="2"/>
  <c r="W62" i="16" s="1"/>
  <c r="V546" i="2"/>
  <c r="V62" i="16" s="1"/>
  <c r="U546" i="2"/>
  <c r="U62" i="16" s="1"/>
  <c r="AC545" i="2"/>
  <c r="AC61" i="16" s="1"/>
  <c r="AA545" i="2"/>
  <c r="Z545" i="2"/>
  <c r="Z61" i="16" s="1"/>
  <c r="Y545" i="2"/>
  <c r="Y61" i="16" s="1"/>
  <c r="X545" i="2"/>
  <c r="X61" i="16" s="1"/>
  <c r="W545" i="2"/>
  <c r="W61" i="16" s="1"/>
  <c r="V545" i="2"/>
  <c r="V61" i="16" s="1"/>
  <c r="U545" i="2"/>
  <c r="U61" i="16" s="1"/>
  <c r="AC544" i="2"/>
  <c r="AC60" i="16" s="1"/>
  <c r="AA544" i="2"/>
  <c r="Z544" i="2"/>
  <c r="Z60" i="16" s="1"/>
  <c r="Y544" i="2"/>
  <c r="Y60" i="16" s="1"/>
  <c r="X544" i="2"/>
  <c r="X60" i="16" s="1"/>
  <c r="W544" i="2"/>
  <c r="W60" i="16" s="1"/>
  <c r="V544" i="2"/>
  <c r="V60" i="16" s="1"/>
  <c r="U544" i="2"/>
  <c r="U60" i="16" s="1"/>
  <c r="AC543" i="2"/>
  <c r="AC59" i="16" s="1"/>
  <c r="AA543" i="2"/>
  <c r="Z543" i="2"/>
  <c r="Z59" i="16" s="1"/>
  <c r="Y543" i="2"/>
  <c r="Y59" i="16" s="1"/>
  <c r="X543" i="2"/>
  <c r="X59" i="16" s="1"/>
  <c r="W543" i="2"/>
  <c r="W59" i="16" s="1"/>
  <c r="V543" i="2"/>
  <c r="V59" i="16" s="1"/>
  <c r="U543" i="2"/>
  <c r="U59" i="16" s="1"/>
  <c r="AC542" i="2"/>
  <c r="AC58" i="16" s="1"/>
  <c r="AA542" i="2"/>
  <c r="Z542" i="2"/>
  <c r="Z58" i="16" s="1"/>
  <c r="Y542" i="2"/>
  <c r="Y58" i="16" s="1"/>
  <c r="X542" i="2"/>
  <c r="X58" i="16" s="1"/>
  <c r="W542" i="2"/>
  <c r="W58" i="16" s="1"/>
  <c r="V542" i="2"/>
  <c r="V58" i="16" s="1"/>
  <c r="U542" i="2"/>
  <c r="U58" i="16" s="1"/>
  <c r="AC541" i="2"/>
  <c r="AC57" i="16" s="1"/>
  <c r="AA541" i="2"/>
  <c r="Z541" i="2"/>
  <c r="Z57" i="16" s="1"/>
  <c r="Y541" i="2"/>
  <c r="Y57" i="16" s="1"/>
  <c r="X541" i="2"/>
  <c r="X57" i="16" s="1"/>
  <c r="W541" i="2"/>
  <c r="W57" i="16" s="1"/>
  <c r="V541" i="2"/>
  <c r="V57" i="16" s="1"/>
  <c r="U541" i="2"/>
  <c r="U57" i="16" s="1"/>
  <c r="AC540" i="2"/>
  <c r="AC56" i="16" s="1"/>
  <c r="AA540" i="2"/>
  <c r="Z540" i="2"/>
  <c r="Z56" i="16" s="1"/>
  <c r="Y540" i="2"/>
  <c r="Y56" i="16" s="1"/>
  <c r="X540" i="2"/>
  <c r="X56" i="16" s="1"/>
  <c r="W540" i="2"/>
  <c r="W56" i="16" s="1"/>
  <c r="V540" i="2"/>
  <c r="V56" i="16" s="1"/>
  <c r="U540" i="2"/>
  <c r="U56" i="16" s="1"/>
  <c r="AC539" i="2"/>
  <c r="AC55" i="16" s="1"/>
  <c r="AA539" i="2"/>
  <c r="Z539" i="2"/>
  <c r="Z55" i="16" s="1"/>
  <c r="Y539" i="2"/>
  <c r="Y55" i="16" s="1"/>
  <c r="X539" i="2"/>
  <c r="X55" i="16" s="1"/>
  <c r="W539" i="2"/>
  <c r="W55" i="16" s="1"/>
  <c r="V539" i="2"/>
  <c r="V55" i="16" s="1"/>
  <c r="U539" i="2"/>
  <c r="U55" i="16" s="1"/>
  <c r="AC538" i="2"/>
  <c r="AC54" i="16" s="1"/>
  <c r="AA538" i="2"/>
  <c r="Z538" i="2"/>
  <c r="Z54" i="16" s="1"/>
  <c r="Y538" i="2"/>
  <c r="Y54" i="16" s="1"/>
  <c r="X538" i="2"/>
  <c r="X54" i="16" s="1"/>
  <c r="W538" i="2"/>
  <c r="W54" i="16" s="1"/>
  <c r="V538" i="2"/>
  <c r="V54" i="16" s="1"/>
  <c r="U538" i="2"/>
  <c r="U54" i="16" s="1"/>
  <c r="AC537" i="2"/>
  <c r="AC53" i="16" s="1"/>
  <c r="AA537" i="2"/>
  <c r="Z537" i="2"/>
  <c r="Z53" i="16" s="1"/>
  <c r="Y537" i="2"/>
  <c r="Y53" i="16" s="1"/>
  <c r="X537" i="2"/>
  <c r="X53" i="16" s="1"/>
  <c r="W537" i="2"/>
  <c r="W53" i="16" s="1"/>
  <c r="V537" i="2"/>
  <c r="V53" i="16" s="1"/>
  <c r="U537" i="2"/>
  <c r="U53" i="16" s="1"/>
  <c r="AC536" i="2"/>
  <c r="AC52" i="16" s="1"/>
  <c r="AA536" i="2"/>
  <c r="Z536" i="2"/>
  <c r="Z52" i="16" s="1"/>
  <c r="Y536" i="2"/>
  <c r="Y52" i="16" s="1"/>
  <c r="X536" i="2"/>
  <c r="X52" i="16" s="1"/>
  <c r="W536" i="2"/>
  <c r="W52" i="16" s="1"/>
  <c r="V536" i="2"/>
  <c r="V52" i="16" s="1"/>
  <c r="U536" i="2"/>
  <c r="U52" i="16" s="1"/>
  <c r="AC535" i="2"/>
  <c r="AC51" i="16" s="1"/>
  <c r="AA535" i="2"/>
  <c r="Z535" i="2"/>
  <c r="Z51" i="16" s="1"/>
  <c r="Y535" i="2"/>
  <c r="Y51" i="16" s="1"/>
  <c r="X535" i="2"/>
  <c r="X51" i="16" s="1"/>
  <c r="W535" i="2"/>
  <c r="W51" i="16" s="1"/>
  <c r="V535" i="2"/>
  <c r="V51" i="16" s="1"/>
  <c r="U535" i="2"/>
  <c r="U51" i="16" s="1"/>
  <c r="AC534" i="2"/>
  <c r="AC50" i="16" s="1"/>
  <c r="AA534" i="2"/>
  <c r="Z534" i="2"/>
  <c r="Z50" i="16" s="1"/>
  <c r="Y534" i="2"/>
  <c r="Y50" i="16" s="1"/>
  <c r="X534" i="2"/>
  <c r="X50" i="16" s="1"/>
  <c r="W534" i="2"/>
  <c r="W50" i="16" s="1"/>
  <c r="V534" i="2"/>
  <c r="V50" i="16" s="1"/>
  <c r="U534" i="2"/>
  <c r="U50" i="16" s="1"/>
  <c r="AC533" i="2"/>
  <c r="AC49" i="16" s="1"/>
  <c r="AA533" i="2"/>
  <c r="Z533" i="2"/>
  <c r="Z49" i="16" s="1"/>
  <c r="Y533" i="2"/>
  <c r="Y49" i="16" s="1"/>
  <c r="X533" i="2"/>
  <c r="X49" i="16" s="1"/>
  <c r="W533" i="2"/>
  <c r="W49" i="16" s="1"/>
  <c r="V533" i="2"/>
  <c r="V49" i="16" s="1"/>
  <c r="U533" i="2"/>
  <c r="U49" i="16" s="1"/>
  <c r="AC532" i="2"/>
  <c r="AC48" i="16" s="1"/>
  <c r="AA532" i="2"/>
  <c r="Z532" i="2"/>
  <c r="Z48" i="16" s="1"/>
  <c r="Y532" i="2"/>
  <c r="Y48" i="16" s="1"/>
  <c r="X532" i="2"/>
  <c r="X48" i="16" s="1"/>
  <c r="W532" i="2"/>
  <c r="W48" i="16" s="1"/>
  <c r="V532" i="2"/>
  <c r="V48" i="16" s="1"/>
  <c r="U532" i="2"/>
  <c r="U48" i="16" s="1"/>
  <c r="AC531" i="2"/>
  <c r="AC47" i="16" s="1"/>
  <c r="AA531" i="2"/>
  <c r="Z531" i="2"/>
  <c r="Z47" i="16" s="1"/>
  <c r="Y531" i="2"/>
  <c r="Y47" i="16" s="1"/>
  <c r="X531" i="2"/>
  <c r="X47" i="16" s="1"/>
  <c r="W531" i="2"/>
  <c r="W47" i="16" s="1"/>
  <c r="V531" i="2"/>
  <c r="V47" i="16" s="1"/>
  <c r="U531" i="2"/>
  <c r="U47" i="16" s="1"/>
  <c r="AC530" i="2"/>
  <c r="AC46" i="16" s="1"/>
  <c r="AA530" i="2"/>
  <c r="Z530" i="2"/>
  <c r="Z46" i="16" s="1"/>
  <c r="Y530" i="2"/>
  <c r="Y46" i="16" s="1"/>
  <c r="X530" i="2"/>
  <c r="X46" i="16" s="1"/>
  <c r="W530" i="2"/>
  <c r="W46" i="16" s="1"/>
  <c r="V530" i="2"/>
  <c r="V46" i="16" s="1"/>
  <c r="U530" i="2"/>
  <c r="U46" i="16" s="1"/>
  <c r="AC529" i="2"/>
  <c r="AC45" i="16" s="1"/>
  <c r="AA529" i="2"/>
  <c r="Z529" i="2"/>
  <c r="Z45" i="16" s="1"/>
  <c r="Y529" i="2"/>
  <c r="Y45" i="16" s="1"/>
  <c r="X529" i="2"/>
  <c r="X45" i="16" s="1"/>
  <c r="W529" i="2"/>
  <c r="W45" i="16" s="1"/>
  <c r="V529" i="2"/>
  <c r="V45" i="16" s="1"/>
  <c r="U529" i="2"/>
  <c r="U45" i="16" s="1"/>
  <c r="AC528" i="2"/>
  <c r="AC44" i="16" s="1"/>
  <c r="AA528" i="2"/>
  <c r="Z528" i="2"/>
  <c r="Z44" i="16" s="1"/>
  <c r="Y528" i="2"/>
  <c r="Y44" i="16" s="1"/>
  <c r="X528" i="2"/>
  <c r="X44" i="16" s="1"/>
  <c r="W528" i="2"/>
  <c r="W44" i="16" s="1"/>
  <c r="V528" i="2"/>
  <c r="V44" i="16" s="1"/>
  <c r="U528" i="2"/>
  <c r="U44" i="16" s="1"/>
  <c r="AC527" i="2"/>
  <c r="AC43" i="16" s="1"/>
  <c r="AA527" i="2"/>
  <c r="Z527" i="2"/>
  <c r="Z43" i="16" s="1"/>
  <c r="Y527" i="2"/>
  <c r="Y43" i="16" s="1"/>
  <c r="X527" i="2"/>
  <c r="X43" i="16" s="1"/>
  <c r="W527" i="2"/>
  <c r="W43" i="16" s="1"/>
  <c r="V527" i="2"/>
  <c r="V43" i="16" s="1"/>
  <c r="U527" i="2"/>
  <c r="U43" i="16" s="1"/>
  <c r="AC526" i="2"/>
  <c r="AC42" i="16" s="1"/>
  <c r="AA526" i="2"/>
  <c r="Z526" i="2"/>
  <c r="Z42" i="16" s="1"/>
  <c r="Y526" i="2"/>
  <c r="Y42" i="16" s="1"/>
  <c r="X526" i="2"/>
  <c r="X42" i="16" s="1"/>
  <c r="W526" i="2"/>
  <c r="W42" i="16" s="1"/>
  <c r="V526" i="2"/>
  <c r="V42" i="16" s="1"/>
  <c r="U526" i="2"/>
  <c r="U42" i="16" s="1"/>
  <c r="AC525" i="2"/>
  <c r="AC41" i="16" s="1"/>
  <c r="AA525" i="2"/>
  <c r="Z525" i="2"/>
  <c r="Z41" i="16" s="1"/>
  <c r="Y525" i="2"/>
  <c r="Y41" i="16" s="1"/>
  <c r="X525" i="2"/>
  <c r="X41" i="16" s="1"/>
  <c r="W525" i="2"/>
  <c r="W41" i="16" s="1"/>
  <c r="V525" i="2"/>
  <c r="V41" i="16" s="1"/>
  <c r="U525" i="2"/>
  <c r="U41" i="16" s="1"/>
  <c r="AC524" i="2"/>
  <c r="AC40" i="16" s="1"/>
  <c r="AA524" i="2"/>
  <c r="Z524" i="2"/>
  <c r="Z40" i="16" s="1"/>
  <c r="Y524" i="2"/>
  <c r="Y40" i="16" s="1"/>
  <c r="X524" i="2"/>
  <c r="X40" i="16" s="1"/>
  <c r="W524" i="2"/>
  <c r="W40" i="16" s="1"/>
  <c r="V524" i="2"/>
  <c r="V40" i="16" s="1"/>
  <c r="U524" i="2"/>
  <c r="U40" i="16" s="1"/>
  <c r="AC523" i="2"/>
  <c r="AC39" i="16" s="1"/>
  <c r="AA523" i="2"/>
  <c r="Z523" i="2"/>
  <c r="Z39" i="16" s="1"/>
  <c r="Y523" i="2"/>
  <c r="Y39" i="16" s="1"/>
  <c r="X523" i="2"/>
  <c r="X39" i="16" s="1"/>
  <c r="W523" i="2"/>
  <c r="W39" i="16" s="1"/>
  <c r="V523" i="2"/>
  <c r="V39" i="16" s="1"/>
  <c r="U523" i="2"/>
  <c r="U39" i="16" s="1"/>
  <c r="AC522" i="2"/>
  <c r="AC38" i="16" s="1"/>
  <c r="AA522" i="2"/>
  <c r="Z522" i="2"/>
  <c r="Z38" i="16" s="1"/>
  <c r="Y522" i="2"/>
  <c r="Y38" i="16" s="1"/>
  <c r="X522" i="2"/>
  <c r="X38" i="16" s="1"/>
  <c r="W522" i="2"/>
  <c r="W38" i="16" s="1"/>
  <c r="V522" i="2"/>
  <c r="V38" i="16" s="1"/>
  <c r="U522" i="2"/>
  <c r="U38" i="16" s="1"/>
  <c r="AC521" i="2"/>
  <c r="AC37" i="16" s="1"/>
  <c r="AA521" i="2"/>
  <c r="Z521" i="2"/>
  <c r="Z37" i="16" s="1"/>
  <c r="Y521" i="2"/>
  <c r="Y37" i="16" s="1"/>
  <c r="X521" i="2"/>
  <c r="X37" i="16" s="1"/>
  <c r="W521" i="2"/>
  <c r="W37" i="16" s="1"/>
  <c r="V521" i="2"/>
  <c r="V37" i="16" s="1"/>
  <c r="U521" i="2"/>
  <c r="U37" i="16" s="1"/>
  <c r="AC520" i="2"/>
  <c r="AC36" i="16" s="1"/>
  <c r="AA520" i="2"/>
  <c r="Z520" i="2"/>
  <c r="Z36" i="16" s="1"/>
  <c r="Y520" i="2"/>
  <c r="Y36" i="16" s="1"/>
  <c r="X520" i="2"/>
  <c r="X36" i="16" s="1"/>
  <c r="W520" i="2"/>
  <c r="W36" i="16" s="1"/>
  <c r="V520" i="2"/>
  <c r="V36" i="16" s="1"/>
  <c r="U520" i="2"/>
  <c r="U36" i="16" s="1"/>
  <c r="AC519" i="2"/>
  <c r="AC35" i="16" s="1"/>
  <c r="AA519" i="2"/>
  <c r="Z519" i="2"/>
  <c r="Z35" i="16" s="1"/>
  <c r="Y519" i="2"/>
  <c r="Y35" i="16" s="1"/>
  <c r="X519" i="2"/>
  <c r="X35" i="16" s="1"/>
  <c r="W519" i="2"/>
  <c r="W35" i="16" s="1"/>
  <c r="V519" i="2"/>
  <c r="V35" i="16" s="1"/>
  <c r="U519" i="2"/>
  <c r="U35" i="16" s="1"/>
  <c r="AC518" i="2"/>
  <c r="AC34" i="16" s="1"/>
  <c r="AA518" i="2"/>
  <c r="Z518" i="2"/>
  <c r="Z34" i="16" s="1"/>
  <c r="Y518" i="2"/>
  <c r="Y34" i="16" s="1"/>
  <c r="X518" i="2"/>
  <c r="X34" i="16" s="1"/>
  <c r="W518" i="2"/>
  <c r="W34" i="16" s="1"/>
  <c r="V518" i="2"/>
  <c r="V34" i="16" s="1"/>
  <c r="U518" i="2"/>
  <c r="U34" i="16" s="1"/>
  <c r="AC517" i="2"/>
  <c r="AC33" i="16" s="1"/>
  <c r="AA517" i="2"/>
  <c r="Z517" i="2"/>
  <c r="Z33" i="16" s="1"/>
  <c r="Y517" i="2"/>
  <c r="Y33" i="16" s="1"/>
  <c r="X517" i="2"/>
  <c r="X33" i="16" s="1"/>
  <c r="W517" i="2"/>
  <c r="W33" i="16" s="1"/>
  <c r="V517" i="2"/>
  <c r="V33" i="16" s="1"/>
  <c r="U517" i="2"/>
  <c r="U33" i="16" s="1"/>
  <c r="AC516" i="2"/>
  <c r="AC32" i="16" s="1"/>
  <c r="AA516" i="2"/>
  <c r="Z516" i="2"/>
  <c r="Z32" i="16" s="1"/>
  <c r="Y516" i="2"/>
  <c r="Y32" i="16" s="1"/>
  <c r="X516" i="2"/>
  <c r="X32" i="16" s="1"/>
  <c r="W516" i="2"/>
  <c r="W32" i="16" s="1"/>
  <c r="V516" i="2"/>
  <c r="V32" i="16" s="1"/>
  <c r="U516" i="2"/>
  <c r="U32" i="16" s="1"/>
  <c r="AC515" i="2"/>
  <c r="AC31" i="16" s="1"/>
  <c r="AA515" i="2"/>
  <c r="Z515" i="2"/>
  <c r="Z31" i="16" s="1"/>
  <c r="Y515" i="2"/>
  <c r="Y31" i="16" s="1"/>
  <c r="X515" i="2"/>
  <c r="X31" i="16" s="1"/>
  <c r="W515" i="2"/>
  <c r="W31" i="16" s="1"/>
  <c r="V515" i="2"/>
  <c r="V31" i="16" s="1"/>
  <c r="U515" i="2"/>
  <c r="U31" i="16" s="1"/>
  <c r="AC514" i="2"/>
  <c r="AC30" i="16" s="1"/>
  <c r="AA514" i="2"/>
  <c r="Z514" i="2"/>
  <c r="Z30" i="16" s="1"/>
  <c r="Y514" i="2"/>
  <c r="Y30" i="16" s="1"/>
  <c r="X514" i="2"/>
  <c r="X30" i="16" s="1"/>
  <c r="W514" i="2"/>
  <c r="W30" i="16" s="1"/>
  <c r="V514" i="2"/>
  <c r="V30" i="16" s="1"/>
  <c r="U514" i="2"/>
  <c r="U30" i="16" s="1"/>
  <c r="AC513" i="2"/>
  <c r="AC29" i="16" s="1"/>
  <c r="AA513" i="2"/>
  <c r="Z513" i="2"/>
  <c r="Z29" i="16" s="1"/>
  <c r="Y513" i="2"/>
  <c r="Y29" i="16" s="1"/>
  <c r="X513" i="2"/>
  <c r="X29" i="16" s="1"/>
  <c r="W513" i="2"/>
  <c r="W29" i="16" s="1"/>
  <c r="V513" i="2"/>
  <c r="V29" i="16" s="1"/>
  <c r="U513" i="2"/>
  <c r="U29" i="16" s="1"/>
  <c r="AC512" i="2"/>
  <c r="AC28" i="16" s="1"/>
  <c r="AA512" i="2"/>
  <c r="Z512" i="2"/>
  <c r="Z28" i="16" s="1"/>
  <c r="Y512" i="2"/>
  <c r="Y28" i="16" s="1"/>
  <c r="X512" i="2"/>
  <c r="X28" i="16" s="1"/>
  <c r="W512" i="2"/>
  <c r="W28" i="16" s="1"/>
  <c r="V512" i="2"/>
  <c r="V28" i="16" s="1"/>
  <c r="U512" i="2"/>
  <c r="U28" i="16" s="1"/>
  <c r="AC511" i="2"/>
  <c r="AC27" i="16" s="1"/>
  <c r="AA511" i="2"/>
  <c r="Z511" i="2"/>
  <c r="Z27" i="16" s="1"/>
  <c r="Y511" i="2"/>
  <c r="Y27" i="16" s="1"/>
  <c r="X511" i="2"/>
  <c r="X27" i="16" s="1"/>
  <c r="W511" i="2"/>
  <c r="W27" i="16" s="1"/>
  <c r="V511" i="2"/>
  <c r="V27" i="16" s="1"/>
  <c r="U511" i="2"/>
  <c r="U27" i="16" s="1"/>
  <c r="AC510" i="2"/>
  <c r="AC26" i="16" s="1"/>
  <c r="AA510" i="2"/>
  <c r="Z510" i="2"/>
  <c r="Z26" i="16" s="1"/>
  <c r="Y510" i="2"/>
  <c r="Y26" i="16" s="1"/>
  <c r="X510" i="2"/>
  <c r="X26" i="16" s="1"/>
  <c r="W510" i="2"/>
  <c r="W26" i="16" s="1"/>
  <c r="V510" i="2"/>
  <c r="V26" i="16" s="1"/>
  <c r="U510" i="2"/>
  <c r="U26" i="16" s="1"/>
  <c r="AC509" i="2"/>
  <c r="AC25" i="16" s="1"/>
  <c r="AA509" i="2"/>
  <c r="Z509" i="2"/>
  <c r="Z25" i="16" s="1"/>
  <c r="Y509" i="2"/>
  <c r="Y25" i="16" s="1"/>
  <c r="X509" i="2"/>
  <c r="X25" i="16" s="1"/>
  <c r="W509" i="2"/>
  <c r="W25" i="16" s="1"/>
  <c r="V509" i="2"/>
  <c r="V25" i="16" s="1"/>
  <c r="U509" i="2"/>
  <c r="U25" i="16" s="1"/>
  <c r="AC508" i="2"/>
  <c r="AC24" i="16" s="1"/>
  <c r="AA508" i="2"/>
  <c r="Z508" i="2"/>
  <c r="Z24" i="16" s="1"/>
  <c r="Y508" i="2"/>
  <c r="Y24" i="16" s="1"/>
  <c r="X508" i="2"/>
  <c r="X24" i="16" s="1"/>
  <c r="W508" i="2"/>
  <c r="W24" i="16" s="1"/>
  <c r="V508" i="2"/>
  <c r="V24" i="16" s="1"/>
  <c r="U508" i="2"/>
  <c r="U24" i="16" s="1"/>
  <c r="AC507" i="2"/>
  <c r="AC23" i="16" s="1"/>
  <c r="AA507" i="2"/>
  <c r="Z507" i="2"/>
  <c r="Z23" i="16" s="1"/>
  <c r="Y507" i="2"/>
  <c r="Y23" i="16" s="1"/>
  <c r="X507" i="2"/>
  <c r="X23" i="16" s="1"/>
  <c r="W507" i="2"/>
  <c r="W23" i="16" s="1"/>
  <c r="V507" i="2"/>
  <c r="V23" i="16" s="1"/>
  <c r="U507" i="2"/>
  <c r="U23" i="16" s="1"/>
  <c r="AC506" i="2"/>
  <c r="AC22" i="16" s="1"/>
  <c r="AA506" i="2"/>
  <c r="Z506" i="2"/>
  <c r="Z22" i="16" s="1"/>
  <c r="Y506" i="2"/>
  <c r="Y22" i="16" s="1"/>
  <c r="X506" i="2"/>
  <c r="X22" i="16" s="1"/>
  <c r="W506" i="2"/>
  <c r="W22" i="16" s="1"/>
  <c r="V506" i="2"/>
  <c r="V22" i="16" s="1"/>
  <c r="U506" i="2"/>
  <c r="U22" i="16" s="1"/>
  <c r="AC505" i="2"/>
  <c r="AC21" i="16" s="1"/>
  <c r="AA505" i="2"/>
  <c r="Z505" i="2"/>
  <c r="Z21" i="16" s="1"/>
  <c r="Y505" i="2"/>
  <c r="Y21" i="16" s="1"/>
  <c r="X505" i="2"/>
  <c r="X21" i="16" s="1"/>
  <c r="W505" i="2"/>
  <c r="W21" i="16" s="1"/>
  <c r="V505" i="2"/>
  <c r="V21" i="16" s="1"/>
  <c r="U505" i="2"/>
  <c r="U21" i="16" s="1"/>
  <c r="AC504" i="2"/>
  <c r="AC20" i="16" s="1"/>
  <c r="AA504" i="2"/>
  <c r="Z504" i="2"/>
  <c r="Z20" i="16" s="1"/>
  <c r="Y504" i="2"/>
  <c r="Y20" i="16" s="1"/>
  <c r="X504" i="2"/>
  <c r="X20" i="16" s="1"/>
  <c r="W504" i="2"/>
  <c r="W20" i="16" s="1"/>
  <c r="V504" i="2"/>
  <c r="V20" i="16" s="1"/>
  <c r="U504" i="2"/>
  <c r="U20" i="16" s="1"/>
  <c r="AC503" i="2"/>
  <c r="AC19" i="16" s="1"/>
  <c r="AA503" i="2"/>
  <c r="Z503" i="2"/>
  <c r="Z19" i="16" s="1"/>
  <c r="Y503" i="2"/>
  <c r="Y19" i="16" s="1"/>
  <c r="X503" i="2"/>
  <c r="X19" i="16" s="1"/>
  <c r="W503" i="2"/>
  <c r="W19" i="16" s="1"/>
  <c r="V503" i="2"/>
  <c r="V19" i="16" s="1"/>
  <c r="U503" i="2"/>
  <c r="U19" i="16" s="1"/>
  <c r="AC502" i="2"/>
  <c r="AC18" i="16" s="1"/>
  <c r="AA502" i="2"/>
  <c r="Z502" i="2"/>
  <c r="Z18" i="16" s="1"/>
  <c r="Y502" i="2"/>
  <c r="Y18" i="16" s="1"/>
  <c r="X502" i="2"/>
  <c r="X18" i="16" s="1"/>
  <c r="W502" i="2"/>
  <c r="W18" i="16" s="1"/>
  <c r="V502" i="2"/>
  <c r="V18" i="16" s="1"/>
  <c r="U502" i="2"/>
  <c r="U18" i="16" s="1"/>
  <c r="AC501" i="2"/>
  <c r="AC17" i="16" s="1"/>
  <c r="AA501" i="2"/>
  <c r="Z501" i="2"/>
  <c r="Z17" i="16" s="1"/>
  <c r="Y501" i="2"/>
  <c r="Y17" i="16" s="1"/>
  <c r="X501" i="2"/>
  <c r="X17" i="16" s="1"/>
  <c r="W501" i="2"/>
  <c r="W17" i="16" s="1"/>
  <c r="V501" i="2"/>
  <c r="V17" i="16" s="1"/>
  <c r="U501" i="2"/>
  <c r="U17" i="16" s="1"/>
  <c r="AC500" i="2"/>
  <c r="AC16" i="16" s="1"/>
  <c r="AA500" i="2"/>
  <c r="Z500" i="2"/>
  <c r="Z16" i="16" s="1"/>
  <c r="Y500" i="2"/>
  <c r="Y16" i="16" s="1"/>
  <c r="X500" i="2"/>
  <c r="X16" i="16" s="1"/>
  <c r="W500" i="2"/>
  <c r="W16" i="16" s="1"/>
  <c r="V500" i="2"/>
  <c r="V16" i="16" s="1"/>
  <c r="U500" i="2"/>
  <c r="U16" i="16" s="1"/>
  <c r="AC499" i="2"/>
  <c r="AC15" i="16" s="1"/>
  <c r="AA499" i="2"/>
  <c r="Z499" i="2"/>
  <c r="Z15" i="16" s="1"/>
  <c r="Y499" i="2"/>
  <c r="Y15" i="16" s="1"/>
  <c r="X499" i="2"/>
  <c r="X15" i="16" s="1"/>
  <c r="W499" i="2"/>
  <c r="W15" i="16" s="1"/>
  <c r="V499" i="2"/>
  <c r="V15" i="16" s="1"/>
  <c r="U499" i="2"/>
  <c r="U15" i="16" s="1"/>
  <c r="AC498" i="2"/>
  <c r="AC14" i="16" s="1"/>
  <c r="AA498" i="2"/>
  <c r="Z498" i="2"/>
  <c r="Z14" i="16" s="1"/>
  <c r="Y498" i="2"/>
  <c r="Y14" i="16" s="1"/>
  <c r="X498" i="2"/>
  <c r="X14" i="16" s="1"/>
  <c r="W498" i="2"/>
  <c r="W14" i="16" s="1"/>
  <c r="V498" i="2"/>
  <c r="V14" i="16" s="1"/>
  <c r="U498" i="2"/>
  <c r="U14" i="16" s="1"/>
  <c r="AC497" i="2"/>
  <c r="AC61" i="15" s="1"/>
  <c r="AA497" i="2"/>
  <c r="Z497" i="2"/>
  <c r="Z61" i="15" s="1"/>
  <c r="Y497" i="2"/>
  <c r="Y61" i="15" s="1"/>
  <c r="X497" i="2"/>
  <c r="X61" i="15" s="1"/>
  <c r="W497" i="2"/>
  <c r="W61" i="15" s="1"/>
  <c r="V497" i="2"/>
  <c r="V61" i="15" s="1"/>
  <c r="U497" i="2"/>
  <c r="U61" i="15" s="1"/>
  <c r="AC496" i="2"/>
  <c r="AC60" i="15" s="1"/>
  <c r="AA496" i="2"/>
  <c r="Z496" i="2"/>
  <c r="Z60" i="15" s="1"/>
  <c r="Y496" i="2"/>
  <c r="Y60" i="15" s="1"/>
  <c r="X496" i="2"/>
  <c r="X60" i="15" s="1"/>
  <c r="W496" i="2"/>
  <c r="W60" i="15" s="1"/>
  <c r="V496" i="2"/>
  <c r="V60" i="15" s="1"/>
  <c r="U496" i="2"/>
  <c r="U60" i="15" s="1"/>
  <c r="AC495" i="2"/>
  <c r="AC59" i="15" s="1"/>
  <c r="AA495" i="2"/>
  <c r="Z495" i="2"/>
  <c r="Z59" i="15" s="1"/>
  <c r="Y495" i="2"/>
  <c r="Y59" i="15" s="1"/>
  <c r="X495" i="2"/>
  <c r="X59" i="15" s="1"/>
  <c r="W495" i="2"/>
  <c r="W59" i="15" s="1"/>
  <c r="V495" i="2"/>
  <c r="V59" i="15" s="1"/>
  <c r="U495" i="2"/>
  <c r="U59" i="15" s="1"/>
  <c r="AC494" i="2"/>
  <c r="AC58" i="15" s="1"/>
  <c r="AA494" i="2"/>
  <c r="Z494" i="2"/>
  <c r="Z58" i="15" s="1"/>
  <c r="Y494" i="2"/>
  <c r="Y58" i="15" s="1"/>
  <c r="X494" i="2"/>
  <c r="X58" i="15" s="1"/>
  <c r="W494" i="2"/>
  <c r="W58" i="15" s="1"/>
  <c r="V494" i="2"/>
  <c r="V58" i="15" s="1"/>
  <c r="U494" i="2"/>
  <c r="U58" i="15" s="1"/>
  <c r="AC493" i="2"/>
  <c r="AC57" i="15" s="1"/>
  <c r="AA493" i="2"/>
  <c r="Z493" i="2"/>
  <c r="Z57" i="15" s="1"/>
  <c r="Y493" i="2"/>
  <c r="Y57" i="15" s="1"/>
  <c r="X493" i="2"/>
  <c r="X57" i="15" s="1"/>
  <c r="W493" i="2"/>
  <c r="W57" i="15" s="1"/>
  <c r="V493" i="2"/>
  <c r="V57" i="15" s="1"/>
  <c r="U493" i="2"/>
  <c r="U57" i="15" s="1"/>
  <c r="AC492" i="2"/>
  <c r="AC56" i="15" s="1"/>
  <c r="AA492" i="2"/>
  <c r="Z492" i="2"/>
  <c r="Z56" i="15" s="1"/>
  <c r="Y492" i="2"/>
  <c r="Y56" i="15" s="1"/>
  <c r="X492" i="2"/>
  <c r="X56" i="15" s="1"/>
  <c r="W492" i="2"/>
  <c r="W56" i="15" s="1"/>
  <c r="V492" i="2"/>
  <c r="V56" i="15" s="1"/>
  <c r="U492" i="2"/>
  <c r="U56" i="15" s="1"/>
  <c r="AC491" i="2"/>
  <c r="AC55" i="15" s="1"/>
  <c r="AA491" i="2"/>
  <c r="Z491" i="2"/>
  <c r="Z55" i="15" s="1"/>
  <c r="Y491" i="2"/>
  <c r="Y55" i="15" s="1"/>
  <c r="X491" i="2"/>
  <c r="X55" i="15" s="1"/>
  <c r="W491" i="2"/>
  <c r="W55" i="15" s="1"/>
  <c r="V491" i="2"/>
  <c r="V55" i="15" s="1"/>
  <c r="U491" i="2"/>
  <c r="U55" i="15" s="1"/>
  <c r="AC490" i="2"/>
  <c r="AC54" i="15" s="1"/>
  <c r="AA490" i="2"/>
  <c r="Z490" i="2"/>
  <c r="Z54" i="15" s="1"/>
  <c r="Y490" i="2"/>
  <c r="Y54" i="15" s="1"/>
  <c r="X490" i="2"/>
  <c r="X54" i="15" s="1"/>
  <c r="W490" i="2"/>
  <c r="W54" i="15" s="1"/>
  <c r="V490" i="2"/>
  <c r="V54" i="15" s="1"/>
  <c r="U490" i="2"/>
  <c r="U54" i="15" s="1"/>
  <c r="AC489" i="2"/>
  <c r="AC53" i="15" s="1"/>
  <c r="AA489" i="2"/>
  <c r="Z489" i="2"/>
  <c r="Z53" i="15" s="1"/>
  <c r="Y489" i="2"/>
  <c r="Y53" i="15" s="1"/>
  <c r="X489" i="2"/>
  <c r="X53" i="15" s="1"/>
  <c r="W489" i="2"/>
  <c r="W53" i="15" s="1"/>
  <c r="V489" i="2"/>
  <c r="V53" i="15" s="1"/>
  <c r="U489" i="2"/>
  <c r="U53" i="15" s="1"/>
  <c r="AC488" i="2"/>
  <c r="AC52" i="15" s="1"/>
  <c r="AA488" i="2"/>
  <c r="Z488" i="2"/>
  <c r="Z52" i="15" s="1"/>
  <c r="Y488" i="2"/>
  <c r="Y52" i="15" s="1"/>
  <c r="X488" i="2"/>
  <c r="X52" i="15" s="1"/>
  <c r="W488" i="2"/>
  <c r="W52" i="15" s="1"/>
  <c r="V488" i="2"/>
  <c r="V52" i="15" s="1"/>
  <c r="U488" i="2"/>
  <c r="U52" i="15" s="1"/>
  <c r="AC487" i="2"/>
  <c r="AC51" i="15" s="1"/>
  <c r="AA487" i="2"/>
  <c r="Z487" i="2"/>
  <c r="Z51" i="15" s="1"/>
  <c r="Y487" i="2"/>
  <c r="Y51" i="15" s="1"/>
  <c r="X487" i="2"/>
  <c r="X51" i="15" s="1"/>
  <c r="W487" i="2"/>
  <c r="W51" i="15" s="1"/>
  <c r="V487" i="2"/>
  <c r="V51" i="15" s="1"/>
  <c r="U487" i="2"/>
  <c r="U51" i="15" s="1"/>
  <c r="AC486" i="2"/>
  <c r="AC50" i="15" s="1"/>
  <c r="AA486" i="2"/>
  <c r="Z486" i="2"/>
  <c r="Z50" i="15" s="1"/>
  <c r="Y486" i="2"/>
  <c r="Y50" i="15" s="1"/>
  <c r="X486" i="2"/>
  <c r="X50" i="15" s="1"/>
  <c r="W486" i="2"/>
  <c r="W50" i="15" s="1"/>
  <c r="V486" i="2"/>
  <c r="V50" i="15" s="1"/>
  <c r="U486" i="2"/>
  <c r="U50" i="15" s="1"/>
  <c r="AC485" i="2"/>
  <c r="AC49" i="15" s="1"/>
  <c r="AA485" i="2"/>
  <c r="Z485" i="2"/>
  <c r="Z49" i="15" s="1"/>
  <c r="Y485" i="2"/>
  <c r="Y49" i="15" s="1"/>
  <c r="X485" i="2"/>
  <c r="X49" i="15" s="1"/>
  <c r="W485" i="2"/>
  <c r="W49" i="15" s="1"/>
  <c r="V485" i="2"/>
  <c r="V49" i="15" s="1"/>
  <c r="U485" i="2"/>
  <c r="U49" i="15" s="1"/>
  <c r="AC484" i="2"/>
  <c r="AC48" i="15" s="1"/>
  <c r="AA484" i="2"/>
  <c r="Z484" i="2"/>
  <c r="Z48" i="15" s="1"/>
  <c r="Y484" i="2"/>
  <c r="Y48" i="15" s="1"/>
  <c r="X484" i="2"/>
  <c r="X48" i="15" s="1"/>
  <c r="W484" i="2"/>
  <c r="W48" i="15" s="1"/>
  <c r="V484" i="2"/>
  <c r="V48" i="15" s="1"/>
  <c r="U484" i="2"/>
  <c r="U48" i="15" s="1"/>
  <c r="AC483" i="2"/>
  <c r="AC47" i="15" s="1"/>
  <c r="AA483" i="2"/>
  <c r="Z483" i="2"/>
  <c r="Z47" i="15" s="1"/>
  <c r="Y483" i="2"/>
  <c r="Y47" i="15" s="1"/>
  <c r="X483" i="2"/>
  <c r="X47" i="15" s="1"/>
  <c r="W483" i="2"/>
  <c r="W47" i="15" s="1"/>
  <c r="V483" i="2"/>
  <c r="V47" i="15" s="1"/>
  <c r="U483" i="2"/>
  <c r="U47" i="15" s="1"/>
  <c r="AC482" i="2"/>
  <c r="AC46" i="15" s="1"/>
  <c r="AA482" i="2"/>
  <c r="Z482" i="2"/>
  <c r="Z46" i="15" s="1"/>
  <c r="Y482" i="2"/>
  <c r="Y46" i="15" s="1"/>
  <c r="X482" i="2"/>
  <c r="X46" i="15" s="1"/>
  <c r="W482" i="2"/>
  <c r="W46" i="15" s="1"/>
  <c r="V482" i="2"/>
  <c r="V46" i="15" s="1"/>
  <c r="U482" i="2"/>
  <c r="U46" i="15" s="1"/>
  <c r="AC481" i="2"/>
  <c r="AC45" i="15" s="1"/>
  <c r="AA481" i="2"/>
  <c r="Z481" i="2"/>
  <c r="Z45" i="15" s="1"/>
  <c r="Y481" i="2"/>
  <c r="Y45" i="15" s="1"/>
  <c r="X481" i="2"/>
  <c r="X45" i="15" s="1"/>
  <c r="W481" i="2"/>
  <c r="W45" i="15" s="1"/>
  <c r="V481" i="2"/>
  <c r="V45" i="15" s="1"/>
  <c r="U481" i="2"/>
  <c r="U45" i="15" s="1"/>
  <c r="AC480" i="2"/>
  <c r="AC44" i="15" s="1"/>
  <c r="AA480" i="2"/>
  <c r="Z480" i="2"/>
  <c r="Z44" i="15" s="1"/>
  <c r="Y480" i="2"/>
  <c r="Y44" i="15" s="1"/>
  <c r="X480" i="2"/>
  <c r="X44" i="15" s="1"/>
  <c r="W480" i="2"/>
  <c r="W44" i="15" s="1"/>
  <c r="V480" i="2"/>
  <c r="V44" i="15" s="1"/>
  <c r="U480" i="2"/>
  <c r="U44" i="15" s="1"/>
  <c r="AC479" i="2"/>
  <c r="AC43" i="15" s="1"/>
  <c r="AA479" i="2"/>
  <c r="Z479" i="2"/>
  <c r="Z43" i="15" s="1"/>
  <c r="Y479" i="2"/>
  <c r="Y43" i="15" s="1"/>
  <c r="X479" i="2"/>
  <c r="X43" i="15" s="1"/>
  <c r="W479" i="2"/>
  <c r="W43" i="15" s="1"/>
  <c r="V479" i="2"/>
  <c r="V43" i="15" s="1"/>
  <c r="U479" i="2"/>
  <c r="U43" i="15" s="1"/>
  <c r="AC478" i="2"/>
  <c r="AC42" i="15" s="1"/>
  <c r="AA478" i="2"/>
  <c r="Z478" i="2"/>
  <c r="Z42" i="15" s="1"/>
  <c r="Y478" i="2"/>
  <c r="Y42" i="15" s="1"/>
  <c r="X478" i="2"/>
  <c r="X42" i="15" s="1"/>
  <c r="W478" i="2"/>
  <c r="W42" i="15" s="1"/>
  <c r="V478" i="2"/>
  <c r="V42" i="15" s="1"/>
  <c r="U478" i="2"/>
  <c r="U42" i="15" s="1"/>
  <c r="AC477" i="2"/>
  <c r="AC41" i="15" s="1"/>
  <c r="AA477" i="2"/>
  <c r="Z477" i="2"/>
  <c r="Z41" i="15" s="1"/>
  <c r="Y477" i="2"/>
  <c r="Y41" i="15" s="1"/>
  <c r="X477" i="2"/>
  <c r="X41" i="15" s="1"/>
  <c r="W477" i="2"/>
  <c r="W41" i="15" s="1"/>
  <c r="V477" i="2"/>
  <c r="V41" i="15" s="1"/>
  <c r="U477" i="2"/>
  <c r="U41" i="15" s="1"/>
  <c r="AC476" i="2"/>
  <c r="AC40" i="15" s="1"/>
  <c r="AA476" i="2"/>
  <c r="Z476" i="2"/>
  <c r="Z40" i="15" s="1"/>
  <c r="Y476" i="2"/>
  <c r="Y40" i="15" s="1"/>
  <c r="X476" i="2"/>
  <c r="X40" i="15" s="1"/>
  <c r="W476" i="2"/>
  <c r="W40" i="15" s="1"/>
  <c r="V476" i="2"/>
  <c r="V40" i="15" s="1"/>
  <c r="U476" i="2"/>
  <c r="U40" i="15" s="1"/>
  <c r="AC475" i="2"/>
  <c r="AC39" i="15" s="1"/>
  <c r="AA475" i="2"/>
  <c r="Z475" i="2"/>
  <c r="Z39" i="15" s="1"/>
  <c r="Y475" i="2"/>
  <c r="Y39" i="15" s="1"/>
  <c r="X475" i="2"/>
  <c r="X39" i="15" s="1"/>
  <c r="W475" i="2"/>
  <c r="W39" i="15" s="1"/>
  <c r="V475" i="2"/>
  <c r="V39" i="15" s="1"/>
  <c r="U475" i="2"/>
  <c r="U39" i="15" s="1"/>
  <c r="AC474" i="2"/>
  <c r="AC38" i="15" s="1"/>
  <c r="AA474" i="2"/>
  <c r="Z474" i="2"/>
  <c r="Z38" i="15" s="1"/>
  <c r="Y474" i="2"/>
  <c r="Y38" i="15" s="1"/>
  <c r="X474" i="2"/>
  <c r="X38" i="15" s="1"/>
  <c r="W474" i="2"/>
  <c r="W38" i="15" s="1"/>
  <c r="V474" i="2"/>
  <c r="V38" i="15" s="1"/>
  <c r="U474" i="2"/>
  <c r="U38" i="15" s="1"/>
  <c r="AC473" i="2"/>
  <c r="AC37" i="15" s="1"/>
  <c r="AA473" i="2"/>
  <c r="Z473" i="2"/>
  <c r="Z37" i="15" s="1"/>
  <c r="Y473" i="2"/>
  <c r="Y37" i="15" s="1"/>
  <c r="X473" i="2"/>
  <c r="X37" i="15" s="1"/>
  <c r="W473" i="2"/>
  <c r="W37" i="15" s="1"/>
  <c r="V473" i="2"/>
  <c r="V37" i="15" s="1"/>
  <c r="U473" i="2"/>
  <c r="U37" i="15" s="1"/>
  <c r="AC472" i="2"/>
  <c r="AC36" i="15" s="1"/>
  <c r="AA472" i="2"/>
  <c r="Z472" i="2"/>
  <c r="Z36" i="15" s="1"/>
  <c r="Y472" i="2"/>
  <c r="Y36" i="15" s="1"/>
  <c r="X472" i="2"/>
  <c r="X36" i="15" s="1"/>
  <c r="W472" i="2"/>
  <c r="W36" i="15" s="1"/>
  <c r="V472" i="2"/>
  <c r="V36" i="15" s="1"/>
  <c r="U472" i="2"/>
  <c r="U36" i="15" s="1"/>
  <c r="AC471" i="2"/>
  <c r="AC35" i="15" s="1"/>
  <c r="AA471" i="2"/>
  <c r="Z471" i="2"/>
  <c r="Z35" i="15" s="1"/>
  <c r="Y471" i="2"/>
  <c r="Y35" i="15" s="1"/>
  <c r="X471" i="2"/>
  <c r="X35" i="15" s="1"/>
  <c r="W471" i="2"/>
  <c r="W35" i="15" s="1"/>
  <c r="V471" i="2"/>
  <c r="V35" i="15" s="1"/>
  <c r="U471" i="2"/>
  <c r="U35" i="15" s="1"/>
  <c r="AC470" i="2"/>
  <c r="AC34" i="15" s="1"/>
  <c r="AA470" i="2"/>
  <c r="Z470" i="2"/>
  <c r="Z34" i="15" s="1"/>
  <c r="Y470" i="2"/>
  <c r="Y34" i="15" s="1"/>
  <c r="X470" i="2"/>
  <c r="X34" i="15" s="1"/>
  <c r="W470" i="2"/>
  <c r="W34" i="15" s="1"/>
  <c r="V470" i="2"/>
  <c r="V34" i="15" s="1"/>
  <c r="U470" i="2"/>
  <c r="U34" i="15" s="1"/>
  <c r="AC469" i="2"/>
  <c r="AC33" i="15" s="1"/>
  <c r="AA469" i="2"/>
  <c r="Z469" i="2"/>
  <c r="Z33" i="15" s="1"/>
  <c r="Y469" i="2"/>
  <c r="Y33" i="15" s="1"/>
  <c r="X469" i="2"/>
  <c r="X33" i="15" s="1"/>
  <c r="W469" i="2"/>
  <c r="W33" i="15" s="1"/>
  <c r="V469" i="2"/>
  <c r="V33" i="15" s="1"/>
  <c r="U469" i="2"/>
  <c r="U33" i="15" s="1"/>
  <c r="AC468" i="2"/>
  <c r="AC32" i="15" s="1"/>
  <c r="AA468" i="2"/>
  <c r="Z468" i="2"/>
  <c r="Z32" i="15" s="1"/>
  <c r="Y468" i="2"/>
  <c r="Y32" i="15" s="1"/>
  <c r="X468" i="2"/>
  <c r="X32" i="15" s="1"/>
  <c r="W468" i="2"/>
  <c r="W32" i="15" s="1"/>
  <c r="V468" i="2"/>
  <c r="V32" i="15" s="1"/>
  <c r="U468" i="2"/>
  <c r="U32" i="15" s="1"/>
  <c r="AC467" i="2"/>
  <c r="AC31" i="15" s="1"/>
  <c r="AA467" i="2"/>
  <c r="Z467" i="2"/>
  <c r="Z31" i="15" s="1"/>
  <c r="Y467" i="2"/>
  <c r="Y31" i="15" s="1"/>
  <c r="X467" i="2"/>
  <c r="X31" i="15" s="1"/>
  <c r="W467" i="2"/>
  <c r="W31" i="15" s="1"/>
  <c r="V467" i="2"/>
  <c r="V31" i="15" s="1"/>
  <c r="U467" i="2"/>
  <c r="U31" i="15" s="1"/>
  <c r="AC466" i="2"/>
  <c r="AC30" i="15" s="1"/>
  <c r="AA466" i="2"/>
  <c r="Z466" i="2"/>
  <c r="Z30" i="15" s="1"/>
  <c r="Y466" i="2"/>
  <c r="Y30" i="15" s="1"/>
  <c r="X466" i="2"/>
  <c r="X30" i="15" s="1"/>
  <c r="W466" i="2"/>
  <c r="W30" i="15" s="1"/>
  <c r="V466" i="2"/>
  <c r="V30" i="15" s="1"/>
  <c r="U466" i="2"/>
  <c r="U30" i="15" s="1"/>
  <c r="AC465" i="2"/>
  <c r="AC29" i="15" s="1"/>
  <c r="AA465" i="2"/>
  <c r="Z465" i="2"/>
  <c r="Z29" i="15" s="1"/>
  <c r="Y465" i="2"/>
  <c r="Y29" i="15" s="1"/>
  <c r="X465" i="2"/>
  <c r="X29" i="15" s="1"/>
  <c r="W465" i="2"/>
  <c r="W29" i="15" s="1"/>
  <c r="V465" i="2"/>
  <c r="V29" i="15" s="1"/>
  <c r="U465" i="2"/>
  <c r="U29" i="15" s="1"/>
  <c r="AC464" i="2"/>
  <c r="AC28" i="15" s="1"/>
  <c r="AA464" i="2"/>
  <c r="Z464" i="2"/>
  <c r="Z28" i="15" s="1"/>
  <c r="Y464" i="2"/>
  <c r="Y28" i="15" s="1"/>
  <c r="X464" i="2"/>
  <c r="X28" i="15" s="1"/>
  <c r="W464" i="2"/>
  <c r="W28" i="15" s="1"/>
  <c r="V464" i="2"/>
  <c r="V28" i="15" s="1"/>
  <c r="U464" i="2"/>
  <c r="U28" i="15" s="1"/>
  <c r="AC463" i="2"/>
  <c r="AC27" i="15" s="1"/>
  <c r="AA463" i="2"/>
  <c r="Z463" i="2"/>
  <c r="Z27" i="15" s="1"/>
  <c r="Y463" i="2"/>
  <c r="Y27" i="15" s="1"/>
  <c r="X463" i="2"/>
  <c r="X27" i="15" s="1"/>
  <c r="W463" i="2"/>
  <c r="W27" i="15" s="1"/>
  <c r="V463" i="2"/>
  <c r="V27" i="15" s="1"/>
  <c r="U463" i="2"/>
  <c r="U27" i="15" s="1"/>
  <c r="AC462" i="2"/>
  <c r="AC26" i="15" s="1"/>
  <c r="AA462" i="2"/>
  <c r="Z462" i="2"/>
  <c r="Z26" i="15" s="1"/>
  <c r="Y462" i="2"/>
  <c r="Y26" i="15" s="1"/>
  <c r="X462" i="2"/>
  <c r="X26" i="15" s="1"/>
  <c r="W462" i="2"/>
  <c r="W26" i="15" s="1"/>
  <c r="V462" i="2"/>
  <c r="V26" i="15" s="1"/>
  <c r="U462" i="2"/>
  <c r="U26" i="15" s="1"/>
  <c r="AC461" i="2"/>
  <c r="AC25" i="15" s="1"/>
  <c r="AA461" i="2"/>
  <c r="Z461" i="2"/>
  <c r="Z25" i="15" s="1"/>
  <c r="Y461" i="2"/>
  <c r="Y25" i="15" s="1"/>
  <c r="X461" i="2"/>
  <c r="X25" i="15" s="1"/>
  <c r="W461" i="2"/>
  <c r="W25" i="15" s="1"/>
  <c r="V461" i="2"/>
  <c r="V25" i="15" s="1"/>
  <c r="U461" i="2"/>
  <c r="U25" i="15" s="1"/>
  <c r="AC460" i="2"/>
  <c r="AC24" i="15" s="1"/>
  <c r="AA460" i="2"/>
  <c r="Z460" i="2"/>
  <c r="Z24" i="15" s="1"/>
  <c r="Y460" i="2"/>
  <c r="Y24" i="15" s="1"/>
  <c r="X460" i="2"/>
  <c r="X24" i="15" s="1"/>
  <c r="W460" i="2"/>
  <c r="W24" i="15" s="1"/>
  <c r="V460" i="2"/>
  <c r="V24" i="15" s="1"/>
  <c r="U460" i="2"/>
  <c r="U24" i="15" s="1"/>
  <c r="AC459" i="2"/>
  <c r="AC23" i="15" s="1"/>
  <c r="AA459" i="2"/>
  <c r="Z459" i="2"/>
  <c r="Z23" i="15" s="1"/>
  <c r="Y459" i="2"/>
  <c r="Y23" i="15" s="1"/>
  <c r="X459" i="2"/>
  <c r="X23" i="15" s="1"/>
  <c r="W459" i="2"/>
  <c r="W23" i="15" s="1"/>
  <c r="V459" i="2"/>
  <c r="V23" i="15" s="1"/>
  <c r="U459" i="2"/>
  <c r="U23" i="15" s="1"/>
  <c r="AC458" i="2"/>
  <c r="AC22" i="15" s="1"/>
  <c r="AA458" i="2"/>
  <c r="Z458" i="2"/>
  <c r="Z22" i="15" s="1"/>
  <c r="Y458" i="2"/>
  <c r="Y22" i="15" s="1"/>
  <c r="X458" i="2"/>
  <c r="X22" i="15" s="1"/>
  <c r="W458" i="2"/>
  <c r="W22" i="15" s="1"/>
  <c r="V458" i="2"/>
  <c r="V22" i="15" s="1"/>
  <c r="U458" i="2"/>
  <c r="U22" i="15" s="1"/>
  <c r="AC457" i="2"/>
  <c r="AC21" i="15" s="1"/>
  <c r="AA457" i="2"/>
  <c r="Z457" i="2"/>
  <c r="Z21" i="15" s="1"/>
  <c r="Y457" i="2"/>
  <c r="Y21" i="15" s="1"/>
  <c r="X457" i="2"/>
  <c r="X21" i="15" s="1"/>
  <c r="W457" i="2"/>
  <c r="W21" i="15" s="1"/>
  <c r="V457" i="2"/>
  <c r="V21" i="15" s="1"/>
  <c r="U457" i="2"/>
  <c r="U21" i="15" s="1"/>
  <c r="AC456" i="2"/>
  <c r="AC20" i="15" s="1"/>
  <c r="AA456" i="2"/>
  <c r="Z456" i="2"/>
  <c r="Z20" i="15" s="1"/>
  <c r="Y456" i="2"/>
  <c r="Y20" i="15" s="1"/>
  <c r="X456" i="2"/>
  <c r="X20" i="15" s="1"/>
  <c r="W456" i="2"/>
  <c r="W20" i="15" s="1"/>
  <c r="V456" i="2"/>
  <c r="V20" i="15" s="1"/>
  <c r="U456" i="2"/>
  <c r="U20" i="15" s="1"/>
  <c r="AC455" i="2"/>
  <c r="AC64" i="14" s="1"/>
  <c r="AA455" i="2"/>
  <c r="Z455" i="2"/>
  <c r="Z64" i="14" s="1"/>
  <c r="Y455" i="2"/>
  <c r="Y64" i="14" s="1"/>
  <c r="X455" i="2"/>
  <c r="X64" i="14" s="1"/>
  <c r="W455" i="2"/>
  <c r="W64" i="14" s="1"/>
  <c r="V455" i="2"/>
  <c r="V64" i="14" s="1"/>
  <c r="U455" i="2"/>
  <c r="U64" i="14" s="1"/>
  <c r="AC454" i="2"/>
  <c r="AC63" i="14" s="1"/>
  <c r="AA454" i="2"/>
  <c r="Z454" i="2"/>
  <c r="Z63" i="14" s="1"/>
  <c r="Y454" i="2"/>
  <c r="Y63" i="14" s="1"/>
  <c r="X454" i="2"/>
  <c r="X63" i="14" s="1"/>
  <c r="W454" i="2"/>
  <c r="W63" i="14" s="1"/>
  <c r="V454" i="2"/>
  <c r="V63" i="14" s="1"/>
  <c r="U454" i="2"/>
  <c r="U63" i="14" s="1"/>
  <c r="AC453" i="2"/>
  <c r="AC62" i="14" s="1"/>
  <c r="AA453" i="2"/>
  <c r="Z453" i="2"/>
  <c r="Z62" i="14" s="1"/>
  <c r="Y453" i="2"/>
  <c r="Y62" i="14" s="1"/>
  <c r="X453" i="2"/>
  <c r="X62" i="14" s="1"/>
  <c r="W453" i="2"/>
  <c r="W62" i="14" s="1"/>
  <c r="V453" i="2"/>
  <c r="V62" i="14" s="1"/>
  <c r="U453" i="2"/>
  <c r="U62" i="14" s="1"/>
  <c r="AC452" i="2"/>
  <c r="AC61" i="14" s="1"/>
  <c r="AA452" i="2"/>
  <c r="Z452" i="2"/>
  <c r="Z61" i="14" s="1"/>
  <c r="Y452" i="2"/>
  <c r="Y61" i="14" s="1"/>
  <c r="X452" i="2"/>
  <c r="X61" i="14" s="1"/>
  <c r="W452" i="2"/>
  <c r="W61" i="14" s="1"/>
  <c r="V452" i="2"/>
  <c r="V61" i="14" s="1"/>
  <c r="U452" i="2"/>
  <c r="U61" i="14" s="1"/>
  <c r="AC451" i="2"/>
  <c r="AC60" i="14" s="1"/>
  <c r="AA451" i="2"/>
  <c r="Z451" i="2"/>
  <c r="Z60" i="14" s="1"/>
  <c r="Y451" i="2"/>
  <c r="Y60" i="14" s="1"/>
  <c r="X451" i="2"/>
  <c r="X60" i="14" s="1"/>
  <c r="W451" i="2"/>
  <c r="W60" i="14" s="1"/>
  <c r="V451" i="2"/>
  <c r="V60" i="14" s="1"/>
  <c r="U451" i="2"/>
  <c r="U60" i="14" s="1"/>
  <c r="AC450" i="2"/>
  <c r="AC59" i="14" s="1"/>
  <c r="AA450" i="2"/>
  <c r="Z450" i="2"/>
  <c r="Z59" i="14" s="1"/>
  <c r="Y450" i="2"/>
  <c r="Y59" i="14" s="1"/>
  <c r="X450" i="2"/>
  <c r="X59" i="14" s="1"/>
  <c r="W450" i="2"/>
  <c r="W59" i="14" s="1"/>
  <c r="V450" i="2"/>
  <c r="V59" i="14" s="1"/>
  <c r="U450" i="2"/>
  <c r="U59" i="14" s="1"/>
  <c r="AC449" i="2"/>
  <c r="AC58" i="14" s="1"/>
  <c r="AA449" i="2"/>
  <c r="Z449" i="2"/>
  <c r="Z58" i="14" s="1"/>
  <c r="Y449" i="2"/>
  <c r="Y58" i="14" s="1"/>
  <c r="X449" i="2"/>
  <c r="X58" i="14" s="1"/>
  <c r="W449" i="2"/>
  <c r="W58" i="14" s="1"/>
  <c r="V449" i="2"/>
  <c r="V58" i="14" s="1"/>
  <c r="U449" i="2"/>
  <c r="U58" i="14" s="1"/>
  <c r="AC448" i="2"/>
  <c r="AC57" i="14" s="1"/>
  <c r="AA448" i="2"/>
  <c r="Z448" i="2"/>
  <c r="Z57" i="14" s="1"/>
  <c r="Y448" i="2"/>
  <c r="Y57" i="14" s="1"/>
  <c r="X448" i="2"/>
  <c r="X57" i="14" s="1"/>
  <c r="W448" i="2"/>
  <c r="W57" i="14" s="1"/>
  <c r="V448" i="2"/>
  <c r="V57" i="14" s="1"/>
  <c r="U448" i="2"/>
  <c r="U57" i="14" s="1"/>
  <c r="AC447" i="2"/>
  <c r="AC56" i="14" s="1"/>
  <c r="AA447" i="2"/>
  <c r="Z447" i="2"/>
  <c r="Z56" i="14" s="1"/>
  <c r="Y447" i="2"/>
  <c r="Y56" i="14" s="1"/>
  <c r="X447" i="2"/>
  <c r="X56" i="14" s="1"/>
  <c r="W447" i="2"/>
  <c r="W56" i="14" s="1"/>
  <c r="V447" i="2"/>
  <c r="V56" i="14" s="1"/>
  <c r="U447" i="2"/>
  <c r="U56" i="14" s="1"/>
  <c r="AC446" i="2"/>
  <c r="AC55" i="14" s="1"/>
  <c r="AA446" i="2"/>
  <c r="Z446" i="2"/>
  <c r="Z55" i="14" s="1"/>
  <c r="Y446" i="2"/>
  <c r="Y55" i="14" s="1"/>
  <c r="X446" i="2"/>
  <c r="X55" i="14" s="1"/>
  <c r="W446" i="2"/>
  <c r="W55" i="14" s="1"/>
  <c r="V446" i="2"/>
  <c r="V55" i="14" s="1"/>
  <c r="U446" i="2"/>
  <c r="U55" i="14" s="1"/>
  <c r="AC445" i="2"/>
  <c r="AC54" i="14" s="1"/>
  <c r="AA445" i="2"/>
  <c r="Z445" i="2"/>
  <c r="Z54" i="14" s="1"/>
  <c r="Y445" i="2"/>
  <c r="Y54" i="14" s="1"/>
  <c r="X445" i="2"/>
  <c r="X54" i="14" s="1"/>
  <c r="W445" i="2"/>
  <c r="W54" i="14" s="1"/>
  <c r="V445" i="2"/>
  <c r="V54" i="14" s="1"/>
  <c r="U445" i="2"/>
  <c r="U54" i="14" s="1"/>
  <c r="AC444" i="2"/>
  <c r="AC53" i="14" s="1"/>
  <c r="AA444" i="2"/>
  <c r="Z444" i="2"/>
  <c r="Z53" i="14" s="1"/>
  <c r="Y444" i="2"/>
  <c r="Y53" i="14" s="1"/>
  <c r="X444" i="2"/>
  <c r="X53" i="14" s="1"/>
  <c r="W444" i="2"/>
  <c r="W53" i="14" s="1"/>
  <c r="V444" i="2"/>
  <c r="V53" i="14" s="1"/>
  <c r="U444" i="2"/>
  <c r="U53" i="14" s="1"/>
  <c r="AC443" i="2"/>
  <c r="AC52" i="14" s="1"/>
  <c r="AA443" i="2"/>
  <c r="Z443" i="2"/>
  <c r="Z52" i="14" s="1"/>
  <c r="Y443" i="2"/>
  <c r="Y52" i="14" s="1"/>
  <c r="X443" i="2"/>
  <c r="X52" i="14" s="1"/>
  <c r="W443" i="2"/>
  <c r="W52" i="14" s="1"/>
  <c r="V443" i="2"/>
  <c r="V52" i="14" s="1"/>
  <c r="U443" i="2"/>
  <c r="U52" i="14" s="1"/>
  <c r="AC442" i="2"/>
  <c r="AC51" i="14" s="1"/>
  <c r="AA442" i="2"/>
  <c r="Z442" i="2"/>
  <c r="Z51" i="14" s="1"/>
  <c r="Y442" i="2"/>
  <c r="Y51" i="14" s="1"/>
  <c r="X442" i="2"/>
  <c r="X51" i="14" s="1"/>
  <c r="W442" i="2"/>
  <c r="W51" i="14" s="1"/>
  <c r="V442" i="2"/>
  <c r="V51" i="14" s="1"/>
  <c r="U442" i="2"/>
  <c r="U51" i="14" s="1"/>
  <c r="AC441" i="2"/>
  <c r="AC50" i="14" s="1"/>
  <c r="AA441" i="2"/>
  <c r="Z441" i="2"/>
  <c r="Z50" i="14" s="1"/>
  <c r="Y441" i="2"/>
  <c r="Y50" i="14" s="1"/>
  <c r="X441" i="2"/>
  <c r="X50" i="14" s="1"/>
  <c r="W441" i="2"/>
  <c r="W50" i="14" s="1"/>
  <c r="V441" i="2"/>
  <c r="V50" i="14" s="1"/>
  <c r="U441" i="2"/>
  <c r="U50" i="14" s="1"/>
  <c r="AC440" i="2"/>
  <c r="AC49" i="14" s="1"/>
  <c r="AA440" i="2"/>
  <c r="Z440" i="2"/>
  <c r="Z49" i="14" s="1"/>
  <c r="Y440" i="2"/>
  <c r="Y49" i="14" s="1"/>
  <c r="X440" i="2"/>
  <c r="X49" i="14" s="1"/>
  <c r="W440" i="2"/>
  <c r="W49" i="14" s="1"/>
  <c r="V440" i="2"/>
  <c r="V49" i="14" s="1"/>
  <c r="U440" i="2"/>
  <c r="U49" i="14" s="1"/>
  <c r="AC439" i="2"/>
  <c r="AC48" i="14" s="1"/>
  <c r="AA439" i="2"/>
  <c r="Z439" i="2"/>
  <c r="Z48" i="14" s="1"/>
  <c r="Y439" i="2"/>
  <c r="Y48" i="14" s="1"/>
  <c r="X439" i="2"/>
  <c r="X48" i="14" s="1"/>
  <c r="W439" i="2"/>
  <c r="W48" i="14" s="1"/>
  <c r="V439" i="2"/>
  <c r="V48" i="14" s="1"/>
  <c r="U439" i="2"/>
  <c r="U48" i="14" s="1"/>
  <c r="AC438" i="2"/>
  <c r="AC47" i="14" s="1"/>
  <c r="AA438" i="2"/>
  <c r="Z438" i="2"/>
  <c r="Z47" i="14" s="1"/>
  <c r="Y438" i="2"/>
  <c r="Y47" i="14" s="1"/>
  <c r="X438" i="2"/>
  <c r="X47" i="14" s="1"/>
  <c r="W438" i="2"/>
  <c r="W47" i="14" s="1"/>
  <c r="V438" i="2"/>
  <c r="V47" i="14" s="1"/>
  <c r="U438" i="2"/>
  <c r="U47" i="14" s="1"/>
  <c r="AC437" i="2"/>
  <c r="AC46" i="14" s="1"/>
  <c r="AA437" i="2"/>
  <c r="Z437" i="2"/>
  <c r="Z46" i="14" s="1"/>
  <c r="Y437" i="2"/>
  <c r="Y46" i="14" s="1"/>
  <c r="X437" i="2"/>
  <c r="X46" i="14" s="1"/>
  <c r="W437" i="2"/>
  <c r="W46" i="14" s="1"/>
  <c r="V437" i="2"/>
  <c r="V46" i="14" s="1"/>
  <c r="U437" i="2"/>
  <c r="U46" i="14" s="1"/>
  <c r="AC436" i="2"/>
  <c r="AC45" i="14" s="1"/>
  <c r="AA436" i="2"/>
  <c r="Z436" i="2"/>
  <c r="Z45" i="14" s="1"/>
  <c r="Y436" i="2"/>
  <c r="Y45" i="14" s="1"/>
  <c r="X436" i="2"/>
  <c r="X45" i="14" s="1"/>
  <c r="W436" i="2"/>
  <c r="W45" i="14" s="1"/>
  <c r="V436" i="2"/>
  <c r="V45" i="14" s="1"/>
  <c r="U436" i="2"/>
  <c r="U45" i="14" s="1"/>
  <c r="AC435" i="2"/>
  <c r="AC44" i="14" s="1"/>
  <c r="AA435" i="2"/>
  <c r="Z435" i="2"/>
  <c r="Z44" i="14" s="1"/>
  <c r="Y435" i="2"/>
  <c r="Y44" i="14" s="1"/>
  <c r="X435" i="2"/>
  <c r="X44" i="14" s="1"/>
  <c r="W435" i="2"/>
  <c r="W44" i="14" s="1"/>
  <c r="V435" i="2"/>
  <c r="V44" i="14" s="1"/>
  <c r="U435" i="2"/>
  <c r="U44" i="14" s="1"/>
  <c r="AC434" i="2"/>
  <c r="AC43" i="14" s="1"/>
  <c r="AA434" i="2"/>
  <c r="Z434" i="2"/>
  <c r="Z43" i="14" s="1"/>
  <c r="Y434" i="2"/>
  <c r="Y43" i="14" s="1"/>
  <c r="X434" i="2"/>
  <c r="X43" i="14" s="1"/>
  <c r="W434" i="2"/>
  <c r="W43" i="14" s="1"/>
  <c r="V434" i="2"/>
  <c r="V43" i="14" s="1"/>
  <c r="U434" i="2"/>
  <c r="U43" i="14" s="1"/>
  <c r="AC433" i="2"/>
  <c r="AC42" i="14" s="1"/>
  <c r="AA433" i="2"/>
  <c r="Z433" i="2"/>
  <c r="Z42" i="14" s="1"/>
  <c r="Y433" i="2"/>
  <c r="Y42" i="14" s="1"/>
  <c r="X433" i="2"/>
  <c r="X42" i="14" s="1"/>
  <c r="W433" i="2"/>
  <c r="W42" i="14" s="1"/>
  <c r="V433" i="2"/>
  <c r="V42" i="14" s="1"/>
  <c r="U433" i="2"/>
  <c r="U42" i="14" s="1"/>
  <c r="AC432" i="2"/>
  <c r="AC41" i="14" s="1"/>
  <c r="AA432" i="2"/>
  <c r="Z432" i="2"/>
  <c r="Z41" i="14" s="1"/>
  <c r="Y432" i="2"/>
  <c r="Y41" i="14" s="1"/>
  <c r="X432" i="2"/>
  <c r="X41" i="14" s="1"/>
  <c r="W432" i="2"/>
  <c r="W41" i="14" s="1"/>
  <c r="V432" i="2"/>
  <c r="V41" i="14" s="1"/>
  <c r="U432" i="2"/>
  <c r="U41" i="14" s="1"/>
  <c r="AC431" i="2"/>
  <c r="AC40" i="14" s="1"/>
  <c r="AA431" i="2"/>
  <c r="Z431" i="2"/>
  <c r="Z40" i="14" s="1"/>
  <c r="Y431" i="2"/>
  <c r="Y40" i="14" s="1"/>
  <c r="X431" i="2"/>
  <c r="X40" i="14" s="1"/>
  <c r="W431" i="2"/>
  <c r="W40" i="14" s="1"/>
  <c r="V431" i="2"/>
  <c r="V40" i="14" s="1"/>
  <c r="U431" i="2"/>
  <c r="U40" i="14" s="1"/>
  <c r="AC430" i="2"/>
  <c r="AC39" i="14" s="1"/>
  <c r="AA430" i="2"/>
  <c r="Z430" i="2"/>
  <c r="Z39" i="14" s="1"/>
  <c r="Y430" i="2"/>
  <c r="Y39" i="14" s="1"/>
  <c r="X430" i="2"/>
  <c r="X39" i="14" s="1"/>
  <c r="W430" i="2"/>
  <c r="W39" i="14" s="1"/>
  <c r="V430" i="2"/>
  <c r="V39" i="14" s="1"/>
  <c r="U430" i="2"/>
  <c r="U39" i="14" s="1"/>
  <c r="AC429" i="2"/>
  <c r="AC38" i="14" s="1"/>
  <c r="AA429" i="2"/>
  <c r="Z429" i="2"/>
  <c r="Z38" i="14" s="1"/>
  <c r="Y429" i="2"/>
  <c r="Y38" i="14" s="1"/>
  <c r="X429" i="2"/>
  <c r="X38" i="14" s="1"/>
  <c r="W429" i="2"/>
  <c r="W38" i="14" s="1"/>
  <c r="V429" i="2"/>
  <c r="V38" i="14" s="1"/>
  <c r="U429" i="2"/>
  <c r="U38" i="14" s="1"/>
  <c r="AC428" i="2"/>
  <c r="AC37" i="14" s="1"/>
  <c r="AA428" i="2"/>
  <c r="Z428" i="2"/>
  <c r="Z37" i="14" s="1"/>
  <c r="Y428" i="2"/>
  <c r="Y37" i="14" s="1"/>
  <c r="X428" i="2"/>
  <c r="X37" i="14" s="1"/>
  <c r="W428" i="2"/>
  <c r="W37" i="14" s="1"/>
  <c r="V428" i="2"/>
  <c r="V37" i="14" s="1"/>
  <c r="U428" i="2"/>
  <c r="U37" i="14" s="1"/>
  <c r="AC427" i="2"/>
  <c r="AC36" i="14" s="1"/>
  <c r="AA427" i="2"/>
  <c r="Z427" i="2"/>
  <c r="Z36" i="14" s="1"/>
  <c r="Y427" i="2"/>
  <c r="Y36" i="14" s="1"/>
  <c r="X427" i="2"/>
  <c r="X36" i="14" s="1"/>
  <c r="W427" i="2"/>
  <c r="W36" i="14" s="1"/>
  <c r="V427" i="2"/>
  <c r="V36" i="14" s="1"/>
  <c r="U427" i="2"/>
  <c r="U36" i="14" s="1"/>
  <c r="AC426" i="2"/>
  <c r="AC35" i="14" s="1"/>
  <c r="AA426" i="2"/>
  <c r="Z426" i="2"/>
  <c r="Z35" i="14" s="1"/>
  <c r="Y426" i="2"/>
  <c r="Y35" i="14" s="1"/>
  <c r="X426" i="2"/>
  <c r="X35" i="14" s="1"/>
  <c r="W426" i="2"/>
  <c r="W35" i="14" s="1"/>
  <c r="V426" i="2"/>
  <c r="V35" i="14" s="1"/>
  <c r="U426" i="2"/>
  <c r="U35" i="14" s="1"/>
  <c r="AC425" i="2"/>
  <c r="AC34" i="14" s="1"/>
  <c r="AA425" i="2"/>
  <c r="Z425" i="2"/>
  <c r="Z34" i="14" s="1"/>
  <c r="Y425" i="2"/>
  <c r="Y34" i="14" s="1"/>
  <c r="X425" i="2"/>
  <c r="X34" i="14" s="1"/>
  <c r="W425" i="2"/>
  <c r="W34" i="14" s="1"/>
  <c r="V425" i="2"/>
  <c r="V34" i="14" s="1"/>
  <c r="U425" i="2"/>
  <c r="U34" i="14" s="1"/>
  <c r="AC424" i="2"/>
  <c r="AC33" i="14" s="1"/>
  <c r="AA424" i="2"/>
  <c r="Z424" i="2"/>
  <c r="Z33" i="14" s="1"/>
  <c r="Y424" i="2"/>
  <c r="Y33" i="14" s="1"/>
  <c r="X424" i="2"/>
  <c r="X33" i="14" s="1"/>
  <c r="W424" i="2"/>
  <c r="W33" i="14" s="1"/>
  <c r="V424" i="2"/>
  <c r="V33" i="14" s="1"/>
  <c r="U424" i="2"/>
  <c r="U33" i="14" s="1"/>
  <c r="AC423" i="2"/>
  <c r="AC32" i="14" s="1"/>
  <c r="AA423" i="2"/>
  <c r="Z423" i="2"/>
  <c r="Z32" i="14" s="1"/>
  <c r="Y423" i="2"/>
  <c r="Y32" i="14" s="1"/>
  <c r="X423" i="2"/>
  <c r="X32" i="14" s="1"/>
  <c r="W423" i="2"/>
  <c r="W32" i="14" s="1"/>
  <c r="V423" i="2"/>
  <c r="V32" i="14" s="1"/>
  <c r="U423" i="2"/>
  <c r="U32" i="14" s="1"/>
  <c r="AC422" i="2"/>
  <c r="AC31" i="14" s="1"/>
  <c r="AA422" i="2"/>
  <c r="Z422" i="2"/>
  <c r="Z31" i="14" s="1"/>
  <c r="Y422" i="2"/>
  <c r="Y31" i="14" s="1"/>
  <c r="X422" i="2"/>
  <c r="X31" i="14" s="1"/>
  <c r="W422" i="2"/>
  <c r="W31" i="14" s="1"/>
  <c r="V422" i="2"/>
  <c r="V31" i="14" s="1"/>
  <c r="U422" i="2"/>
  <c r="U31" i="14" s="1"/>
  <c r="AC421" i="2"/>
  <c r="AC30" i="14" s="1"/>
  <c r="AA421" i="2"/>
  <c r="Z421" i="2"/>
  <c r="Z30" i="14" s="1"/>
  <c r="Y421" i="2"/>
  <c r="Y30" i="14" s="1"/>
  <c r="X421" i="2"/>
  <c r="X30" i="14" s="1"/>
  <c r="W421" i="2"/>
  <c r="W30" i="14" s="1"/>
  <c r="V421" i="2"/>
  <c r="V30" i="14" s="1"/>
  <c r="U421" i="2"/>
  <c r="U30" i="14" s="1"/>
  <c r="AC420" i="2"/>
  <c r="AC29" i="14" s="1"/>
  <c r="AA420" i="2"/>
  <c r="Z420" i="2"/>
  <c r="Z29" i="14" s="1"/>
  <c r="Y420" i="2"/>
  <c r="Y29" i="14" s="1"/>
  <c r="X420" i="2"/>
  <c r="X29" i="14" s="1"/>
  <c r="W420" i="2"/>
  <c r="W29" i="14" s="1"/>
  <c r="V420" i="2"/>
  <c r="V29" i="14" s="1"/>
  <c r="U420" i="2"/>
  <c r="U29" i="14" s="1"/>
  <c r="AC419" i="2"/>
  <c r="AC28" i="14" s="1"/>
  <c r="AA419" i="2"/>
  <c r="Z419" i="2"/>
  <c r="Z28" i="14" s="1"/>
  <c r="Y419" i="2"/>
  <c r="Y28" i="14" s="1"/>
  <c r="X419" i="2"/>
  <c r="X28" i="14" s="1"/>
  <c r="W419" i="2"/>
  <c r="W28" i="14" s="1"/>
  <c r="V419" i="2"/>
  <c r="V28" i="14" s="1"/>
  <c r="U419" i="2"/>
  <c r="U28" i="14" s="1"/>
  <c r="AC418" i="2"/>
  <c r="AC27" i="14" s="1"/>
  <c r="AA418" i="2"/>
  <c r="Z418" i="2"/>
  <c r="Z27" i="14" s="1"/>
  <c r="Y418" i="2"/>
  <c r="Y27" i="14" s="1"/>
  <c r="X418" i="2"/>
  <c r="X27" i="14" s="1"/>
  <c r="W418" i="2"/>
  <c r="W27" i="14" s="1"/>
  <c r="V418" i="2"/>
  <c r="V27" i="14" s="1"/>
  <c r="U418" i="2"/>
  <c r="U27" i="14" s="1"/>
  <c r="AC417" i="2"/>
  <c r="AC26" i="14" s="1"/>
  <c r="AA417" i="2"/>
  <c r="Z417" i="2"/>
  <c r="Z26" i="14" s="1"/>
  <c r="Y417" i="2"/>
  <c r="Y26" i="14" s="1"/>
  <c r="X417" i="2"/>
  <c r="X26" i="14" s="1"/>
  <c r="W417" i="2"/>
  <c r="W26" i="14" s="1"/>
  <c r="V417" i="2"/>
  <c r="V26" i="14" s="1"/>
  <c r="U417" i="2"/>
  <c r="U26" i="14" s="1"/>
  <c r="AC416" i="2"/>
  <c r="AC25" i="14" s="1"/>
  <c r="AA416" i="2"/>
  <c r="Z416" i="2"/>
  <c r="Z25" i="14" s="1"/>
  <c r="Y416" i="2"/>
  <c r="Y25" i="14" s="1"/>
  <c r="X416" i="2"/>
  <c r="X25" i="14" s="1"/>
  <c r="W416" i="2"/>
  <c r="W25" i="14" s="1"/>
  <c r="V416" i="2"/>
  <c r="V25" i="14" s="1"/>
  <c r="U416" i="2"/>
  <c r="U25" i="14" s="1"/>
  <c r="AC415" i="2"/>
  <c r="AC24" i="14" s="1"/>
  <c r="AA415" i="2"/>
  <c r="Z415" i="2"/>
  <c r="Z24" i="14" s="1"/>
  <c r="Y415" i="2"/>
  <c r="Y24" i="14" s="1"/>
  <c r="X415" i="2"/>
  <c r="X24" i="14" s="1"/>
  <c r="W415" i="2"/>
  <c r="W24" i="14" s="1"/>
  <c r="V415" i="2"/>
  <c r="V24" i="14" s="1"/>
  <c r="U415" i="2"/>
  <c r="U24" i="14" s="1"/>
  <c r="AC414" i="2"/>
  <c r="AC23" i="14" s="1"/>
  <c r="AA414" i="2"/>
  <c r="Z414" i="2"/>
  <c r="Z23" i="14" s="1"/>
  <c r="Y414" i="2"/>
  <c r="Y23" i="14" s="1"/>
  <c r="X414" i="2"/>
  <c r="X23" i="14" s="1"/>
  <c r="W414" i="2"/>
  <c r="W23" i="14" s="1"/>
  <c r="V414" i="2"/>
  <c r="V23" i="14" s="1"/>
  <c r="U414" i="2"/>
  <c r="U23" i="14" s="1"/>
  <c r="AC413" i="2"/>
  <c r="AC22" i="14" s="1"/>
  <c r="AA413" i="2"/>
  <c r="Z413" i="2"/>
  <c r="Z22" i="14" s="1"/>
  <c r="Y413" i="2"/>
  <c r="Y22" i="14" s="1"/>
  <c r="X413" i="2"/>
  <c r="X22" i="14" s="1"/>
  <c r="W413" i="2"/>
  <c r="W22" i="14" s="1"/>
  <c r="V413" i="2"/>
  <c r="V22" i="14" s="1"/>
  <c r="U413" i="2"/>
  <c r="U22" i="14" s="1"/>
  <c r="AC412" i="2"/>
  <c r="AC21" i="14" s="1"/>
  <c r="AA412" i="2"/>
  <c r="Z412" i="2"/>
  <c r="Z21" i="14" s="1"/>
  <c r="Y412" i="2"/>
  <c r="Y21" i="14" s="1"/>
  <c r="X412" i="2"/>
  <c r="X21" i="14" s="1"/>
  <c r="W412" i="2"/>
  <c r="W21" i="14" s="1"/>
  <c r="V412" i="2"/>
  <c r="V21" i="14" s="1"/>
  <c r="U412" i="2"/>
  <c r="U21" i="14" s="1"/>
  <c r="AC411" i="2"/>
  <c r="AC20" i="14" s="1"/>
  <c r="AA411" i="2"/>
  <c r="Z411" i="2"/>
  <c r="Z20" i="14" s="1"/>
  <c r="Y411" i="2"/>
  <c r="Y20" i="14" s="1"/>
  <c r="X411" i="2"/>
  <c r="X20" i="14" s="1"/>
  <c r="W411" i="2"/>
  <c r="W20" i="14" s="1"/>
  <c r="V411" i="2"/>
  <c r="V20" i="14" s="1"/>
  <c r="U411" i="2"/>
  <c r="U20" i="14" s="1"/>
  <c r="AC410" i="2"/>
  <c r="AC19" i="14" s="1"/>
  <c r="AA410" i="2"/>
  <c r="Z410" i="2"/>
  <c r="Z19" i="14" s="1"/>
  <c r="Y410" i="2"/>
  <c r="Y19" i="14" s="1"/>
  <c r="X410" i="2"/>
  <c r="X19" i="14" s="1"/>
  <c r="W410" i="2"/>
  <c r="W19" i="14" s="1"/>
  <c r="V410" i="2"/>
  <c r="V19" i="14" s="1"/>
  <c r="U410" i="2"/>
  <c r="U19" i="14" s="1"/>
  <c r="AC409" i="2"/>
  <c r="AC18" i="14" s="1"/>
  <c r="AA409" i="2"/>
  <c r="Z409" i="2"/>
  <c r="Z18" i="14" s="1"/>
  <c r="Y409" i="2"/>
  <c r="Y18" i="14" s="1"/>
  <c r="X409" i="2"/>
  <c r="X18" i="14" s="1"/>
  <c r="W409" i="2"/>
  <c r="W18" i="14" s="1"/>
  <c r="V409" i="2"/>
  <c r="V18" i="14" s="1"/>
  <c r="U409" i="2"/>
  <c r="U18" i="14" s="1"/>
  <c r="AC408" i="2"/>
  <c r="AC17" i="14" s="1"/>
  <c r="AA408" i="2"/>
  <c r="Z408" i="2"/>
  <c r="Z17" i="14" s="1"/>
  <c r="Y408" i="2"/>
  <c r="Y17" i="14" s="1"/>
  <c r="X408" i="2"/>
  <c r="X17" i="14" s="1"/>
  <c r="W408" i="2"/>
  <c r="W17" i="14" s="1"/>
  <c r="V408" i="2"/>
  <c r="V17" i="14" s="1"/>
  <c r="U408" i="2"/>
  <c r="U17" i="14" s="1"/>
  <c r="AC407" i="2"/>
  <c r="AC16" i="14" s="1"/>
  <c r="AA407" i="2"/>
  <c r="Z407" i="2"/>
  <c r="Z16" i="14" s="1"/>
  <c r="Y407" i="2"/>
  <c r="Y16" i="14" s="1"/>
  <c r="X407" i="2"/>
  <c r="X16" i="14" s="1"/>
  <c r="W407" i="2"/>
  <c r="W16" i="14" s="1"/>
  <c r="V407" i="2"/>
  <c r="V16" i="14" s="1"/>
  <c r="U407" i="2"/>
  <c r="U16" i="14" s="1"/>
  <c r="AC406" i="2"/>
  <c r="AC15" i="14" s="1"/>
  <c r="AA406" i="2"/>
  <c r="Z406" i="2"/>
  <c r="Z15" i="14" s="1"/>
  <c r="Y406" i="2"/>
  <c r="Y15" i="14" s="1"/>
  <c r="X406" i="2"/>
  <c r="X15" i="14" s="1"/>
  <c r="W406" i="2"/>
  <c r="W15" i="14" s="1"/>
  <c r="V406" i="2"/>
  <c r="V15" i="14" s="1"/>
  <c r="U406" i="2"/>
  <c r="U15" i="14" s="1"/>
  <c r="AC405" i="2"/>
  <c r="AC14" i="14" s="1"/>
  <c r="AA405" i="2"/>
  <c r="Z405" i="2"/>
  <c r="Z14" i="14" s="1"/>
  <c r="Y405" i="2"/>
  <c r="Y14" i="14" s="1"/>
  <c r="X405" i="2"/>
  <c r="X14" i="14" s="1"/>
  <c r="W405" i="2"/>
  <c r="W14" i="14" s="1"/>
  <c r="V405" i="2"/>
  <c r="V14" i="14" s="1"/>
  <c r="U405" i="2"/>
  <c r="U14" i="14" s="1"/>
  <c r="AC404" i="2"/>
  <c r="AC13" i="14" s="1"/>
  <c r="AA404" i="2"/>
  <c r="Z404" i="2"/>
  <c r="Z13" i="14" s="1"/>
  <c r="Y404" i="2"/>
  <c r="Y13" i="14" s="1"/>
  <c r="X404" i="2"/>
  <c r="X13" i="14" s="1"/>
  <c r="W404" i="2"/>
  <c r="W13" i="14" s="1"/>
  <c r="V404" i="2"/>
  <c r="V13" i="14" s="1"/>
  <c r="U404" i="2"/>
  <c r="U13" i="14" s="1"/>
  <c r="AC403" i="2"/>
  <c r="AC12" i="14" s="1"/>
  <c r="AA403" i="2"/>
  <c r="Z403" i="2"/>
  <c r="Z12" i="14" s="1"/>
  <c r="Y403" i="2"/>
  <c r="Y12" i="14" s="1"/>
  <c r="X403" i="2"/>
  <c r="X12" i="14" s="1"/>
  <c r="W403" i="2"/>
  <c r="W12" i="14" s="1"/>
  <c r="V403" i="2"/>
  <c r="V12" i="14" s="1"/>
  <c r="U403" i="2"/>
  <c r="U12" i="14" s="1"/>
  <c r="AC402" i="2"/>
  <c r="AC11" i="14" s="1"/>
  <c r="AA402" i="2"/>
  <c r="Z402" i="2"/>
  <c r="Z11" i="14" s="1"/>
  <c r="Y402" i="2"/>
  <c r="Y11" i="14" s="1"/>
  <c r="X402" i="2"/>
  <c r="X11" i="14" s="1"/>
  <c r="W402" i="2"/>
  <c r="W11" i="14" s="1"/>
  <c r="V402" i="2"/>
  <c r="V11" i="14" s="1"/>
  <c r="U402" i="2"/>
  <c r="U11" i="14" s="1"/>
  <c r="AC401" i="2"/>
  <c r="AC10" i="14" s="1"/>
  <c r="AA401" i="2"/>
  <c r="Z401" i="2"/>
  <c r="Z10" i="14" s="1"/>
  <c r="Y401" i="2"/>
  <c r="Y10" i="14" s="1"/>
  <c r="X401" i="2"/>
  <c r="X10" i="14" s="1"/>
  <c r="W401" i="2"/>
  <c r="W10" i="14" s="1"/>
  <c r="V401" i="2"/>
  <c r="V10" i="14" s="1"/>
  <c r="U401" i="2"/>
  <c r="U10" i="14" s="1"/>
  <c r="AC400" i="2"/>
  <c r="AC9" i="14" s="1"/>
  <c r="AA400" i="2"/>
  <c r="Z400" i="2"/>
  <c r="Z9" i="14" s="1"/>
  <c r="Y400" i="2"/>
  <c r="Y9" i="14" s="1"/>
  <c r="X400" i="2"/>
  <c r="X9" i="14" s="1"/>
  <c r="W400" i="2"/>
  <c r="W9" i="14" s="1"/>
  <c r="V400" i="2"/>
  <c r="V9" i="14" s="1"/>
  <c r="U400" i="2"/>
  <c r="U9" i="14" s="1"/>
  <c r="AC399" i="2"/>
  <c r="AC45" i="13" s="1"/>
  <c r="AA399" i="2"/>
  <c r="Z399" i="2"/>
  <c r="Z45" i="13" s="1"/>
  <c r="Y399" i="2"/>
  <c r="Y45" i="13" s="1"/>
  <c r="X399" i="2"/>
  <c r="X45" i="13" s="1"/>
  <c r="W399" i="2"/>
  <c r="W45" i="13" s="1"/>
  <c r="V399" i="2"/>
  <c r="V45" i="13" s="1"/>
  <c r="U399" i="2"/>
  <c r="U45" i="13" s="1"/>
  <c r="AC398" i="2"/>
  <c r="AC44" i="13" s="1"/>
  <c r="AA398" i="2"/>
  <c r="Z398" i="2"/>
  <c r="Z44" i="13" s="1"/>
  <c r="Y398" i="2"/>
  <c r="Y44" i="13" s="1"/>
  <c r="X398" i="2"/>
  <c r="X44" i="13" s="1"/>
  <c r="W398" i="2"/>
  <c r="W44" i="13" s="1"/>
  <c r="V398" i="2"/>
  <c r="V44" i="13" s="1"/>
  <c r="U398" i="2"/>
  <c r="U44" i="13" s="1"/>
  <c r="AC397" i="2"/>
  <c r="AC43" i="13" s="1"/>
  <c r="AA397" i="2"/>
  <c r="Z397" i="2"/>
  <c r="Z43" i="13" s="1"/>
  <c r="Y397" i="2"/>
  <c r="Y43" i="13" s="1"/>
  <c r="X397" i="2"/>
  <c r="X43" i="13" s="1"/>
  <c r="W397" i="2"/>
  <c r="W43" i="13" s="1"/>
  <c r="V397" i="2"/>
  <c r="V43" i="13" s="1"/>
  <c r="U397" i="2"/>
  <c r="U43" i="13" s="1"/>
  <c r="AC396" i="2"/>
  <c r="AC42" i="13" s="1"/>
  <c r="AA396" i="2"/>
  <c r="Z396" i="2"/>
  <c r="Z42" i="13" s="1"/>
  <c r="Y396" i="2"/>
  <c r="Y42" i="13" s="1"/>
  <c r="X396" i="2"/>
  <c r="X42" i="13" s="1"/>
  <c r="W396" i="2"/>
  <c r="W42" i="13" s="1"/>
  <c r="V396" i="2"/>
  <c r="V42" i="13" s="1"/>
  <c r="U396" i="2"/>
  <c r="U42" i="13" s="1"/>
  <c r="AC395" i="2"/>
  <c r="AC41" i="13" s="1"/>
  <c r="AA395" i="2"/>
  <c r="Z395" i="2"/>
  <c r="Z41" i="13" s="1"/>
  <c r="Y395" i="2"/>
  <c r="Y41" i="13" s="1"/>
  <c r="X395" i="2"/>
  <c r="X41" i="13" s="1"/>
  <c r="W395" i="2"/>
  <c r="W41" i="13" s="1"/>
  <c r="V395" i="2"/>
  <c r="V41" i="13" s="1"/>
  <c r="U395" i="2"/>
  <c r="U41" i="13" s="1"/>
  <c r="AC394" i="2"/>
  <c r="AC40" i="13" s="1"/>
  <c r="AA394" i="2"/>
  <c r="Z394" i="2"/>
  <c r="Z40" i="13" s="1"/>
  <c r="Y394" i="2"/>
  <c r="Y40" i="13" s="1"/>
  <c r="X394" i="2"/>
  <c r="X40" i="13" s="1"/>
  <c r="W394" i="2"/>
  <c r="W40" i="13" s="1"/>
  <c r="V394" i="2"/>
  <c r="V40" i="13" s="1"/>
  <c r="U394" i="2"/>
  <c r="U40" i="13" s="1"/>
  <c r="AC393" i="2"/>
  <c r="AC39" i="13" s="1"/>
  <c r="AA393" i="2"/>
  <c r="Z393" i="2"/>
  <c r="Z39" i="13" s="1"/>
  <c r="Y393" i="2"/>
  <c r="Y39" i="13" s="1"/>
  <c r="X393" i="2"/>
  <c r="X39" i="13" s="1"/>
  <c r="W393" i="2"/>
  <c r="W39" i="13" s="1"/>
  <c r="V393" i="2"/>
  <c r="V39" i="13" s="1"/>
  <c r="U393" i="2"/>
  <c r="U39" i="13" s="1"/>
  <c r="AC392" i="2"/>
  <c r="AC38" i="13" s="1"/>
  <c r="AA392" i="2"/>
  <c r="Z392" i="2"/>
  <c r="Z38" i="13" s="1"/>
  <c r="Y392" i="2"/>
  <c r="Y38" i="13" s="1"/>
  <c r="X392" i="2"/>
  <c r="X38" i="13" s="1"/>
  <c r="W392" i="2"/>
  <c r="W38" i="13" s="1"/>
  <c r="V392" i="2"/>
  <c r="V38" i="13" s="1"/>
  <c r="U392" i="2"/>
  <c r="U38" i="13" s="1"/>
  <c r="AC391" i="2"/>
  <c r="AC37" i="13" s="1"/>
  <c r="AA391" i="2"/>
  <c r="Z391" i="2"/>
  <c r="Z37" i="13" s="1"/>
  <c r="Y391" i="2"/>
  <c r="Y37" i="13" s="1"/>
  <c r="X391" i="2"/>
  <c r="X37" i="13" s="1"/>
  <c r="W391" i="2"/>
  <c r="W37" i="13" s="1"/>
  <c r="V391" i="2"/>
  <c r="V37" i="13" s="1"/>
  <c r="U391" i="2"/>
  <c r="U37" i="13" s="1"/>
  <c r="AC390" i="2"/>
  <c r="AC36" i="13" s="1"/>
  <c r="AA390" i="2"/>
  <c r="Z390" i="2"/>
  <c r="Z36" i="13" s="1"/>
  <c r="Y390" i="2"/>
  <c r="Y36" i="13" s="1"/>
  <c r="X390" i="2"/>
  <c r="X36" i="13" s="1"/>
  <c r="W390" i="2"/>
  <c r="W36" i="13" s="1"/>
  <c r="V390" i="2"/>
  <c r="V36" i="13" s="1"/>
  <c r="U390" i="2"/>
  <c r="U36" i="13" s="1"/>
  <c r="AC389" i="2"/>
  <c r="AC35" i="13" s="1"/>
  <c r="AA389" i="2"/>
  <c r="Z389" i="2"/>
  <c r="Z35" i="13" s="1"/>
  <c r="Y389" i="2"/>
  <c r="Y35" i="13" s="1"/>
  <c r="X389" i="2"/>
  <c r="X35" i="13" s="1"/>
  <c r="W389" i="2"/>
  <c r="W35" i="13" s="1"/>
  <c r="V389" i="2"/>
  <c r="V35" i="13" s="1"/>
  <c r="U389" i="2"/>
  <c r="U35" i="13" s="1"/>
  <c r="AC388" i="2"/>
  <c r="AC34" i="13" s="1"/>
  <c r="AA388" i="2"/>
  <c r="Z388" i="2"/>
  <c r="Z34" i="13" s="1"/>
  <c r="Y388" i="2"/>
  <c r="Y34" i="13" s="1"/>
  <c r="X388" i="2"/>
  <c r="X34" i="13" s="1"/>
  <c r="W388" i="2"/>
  <c r="W34" i="13" s="1"/>
  <c r="V388" i="2"/>
  <c r="V34" i="13" s="1"/>
  <c r="U388" i="2"/>
  <c r="U34" i="13" s="1"/>
  <c r="AC387" i="2"/>
  <c r="AC33" i="13" s="1"/>
  <c r="AA387" i="2"/>
  <c r="Z387" i="2"/>
  <c r="Z33" i="13" s="1"/>
  <c r="Y387" i="2"/>
  <c r="Y33" i="13" s="1"/>
  <c r="X387" i="2"/>
  <c r="X33" i="13" s="1"/>
  <c r="W387" i="2"/>
  <c r="W33" i="13" s="1"/>
  <c r="V387" i="2"/>
  <c r="V33" i="13" s="1"/>
  <c r="U387" i="2"/>
  <c r="U33" i="13" s="1"/>
  <c r="AC386" i="2"/>
  <c r="AC32" i="13" s="1"/>
  <c r="AA386" i="2"/>
  <c r="Z386" i="2"/>
  <c r="Z32" i="13" s="1"/>
  <c r="Y386" i="2"/>
  <c r="Y32" i="13" s="1"/>
  <c r="X386" i="2"/>
  <c r="X32" i="13" s="1"/>
  <c r="W386" i="2"/>
  <c r="W32" i="13" s="1"/>
  <c r="V386" i="2"/>
  <c r="V32" i="13" s="1"/>
  <c r="U386" i="2"/>
  <c r="U32" i="13" s="1"/>
  <c r="AC385" i="2"/>
  <c r="AC31" i="13" s="1"/>
  <c r="AA385" i="2"/>
  <c r="Z385" i="2"/>
  <c r="Z31" i="13" s="1"/>
  <c r="Y385" i="2"/>
  <c r="Y31" i="13" s="1"/>
  <c r="X385" i="2"/>
  <c r="X31" i="13" s="1"/>
  <c r="W385" i="2"/>
  <c r="W31" i="13" s="1"/>
  <c r="V385" i="2"/>
  <c r="V31" i="13" s="1"/>
  <c r="U385" i="2"/>
  <c r="U31" i="13" s="1"/>
  <c r="AC384" i="2"/>
  <c r="AC30" i="13" s="1"/>
  <c r="AA384" i="2"/>
  <c r="Z384" i="2"/>
  <c r="Z30" i="13" s="1"/>
  <c r="Y384" i="2"/>
  <c r="Y30" i="13" s="1"/>
  <c r="X384" i="2"/>
  <c r="X30" i="13" s="1"/>
  <c r="W384" i="2"/>
  <c r="W30" i="13" s="1"/>
  <c r="V384" i="2"/>
  <c r="V30" i="13" s="1"/>
  <c r="U384" i="2"/>
  <c r="U30" i="13" s="1"/>
  <c r="AC383" i="2"/>
  <c r="AC29" i="13" s="1"/>
  <c r="AA383" i="2"/>
  <c r="Z383" i="2"/>
  <c r="Z29" i="13" s="1"/>
  <c r="Y383" i="2"/>
  <c r="Y29" i="13" s="1"/>
  <c r="X383" i="2"/>
  <c r="X29" i="13" s="1"/>
  <c r="W383" i="2"/>
  <c r="W29" i="13" s="1"/>
  <c r="V383" i="2"/>
  <c r="V29" i="13" s="1"/>
  <c r="U383" i="2"/>
  <c r="U29" i="13" s="1"/>
  <c r="AC382" i="2"/>
  <c r="AC28" i="13" s="1"/>
  <c r="AA382" i="2"/>
  <c r="Z382" i="2"/>
  <c r="Z28" i="13" s="1"/>
  <c r="Y382" i="2"/>
  <c r="Y28" i="13" s="1"/>
  <c r="X382" i="2"/>
  <c r="X28" i="13" s="1"/>
  <c r="W382" i="2"/>
  <c r="W28" i="13" s="1"/>
  <c r="V382" i="2"/>
  <c r="V28" i="13" s="1"/>
  <c r="U382" i="2"/>
  <c r="U28" i="13" s="1"/>
  <c r="AC381" i="2"/>
  <c r="AC27" i="13" s="1"/>
  <c r="AA381" i="2"/>
  <c r="Z381" i="2"/>
  <c r="Z27" i="13" s="1"/>
  <c r="Y381" i="2"/>
  <c r="Y27" i="13" s="1"/>
  <c r="X381" i="2"/>
  <c r="X27" i="13" s="1"/>
  <c r="W381" i="2"/>
  <c r="W27" i="13" s="1"/>
  <c r="V381" i="2"/>
  <c r="V27" i="13" s="1"/>
  <c r="U381" i="2"/>
  <c r="U27" i="13" s="1"/>
  <c r="AC380" i="2"/>
  <c r="AC26" i="13" s="1"/>
  <c r="AA380" i="2"/>
  <c r="Z380" i="2"/>
  <c r="Z26" i="13" s="1"/>
  <c r="Y380" i="2"/>
  <c r="Y26" i="13" s="1"/>
  <c r="X380" i="2"/>
  <c r="X26" i="13" s="1"/>
  <c r="W380" i="2"/>
  <c r="W26" i="13" s="1"/>
  <c r="V380" i="2"/>
  <c r="V26" i="13" s="1"/>
  <c r="U380" i="2"/>
  <c r="U26" i="13" s="1"/>
  <c r="AC379" i="2"/>
  <c r="AC25" i="13" s="1"/>
  <c r="AA379" i="2"/>
  <c r="Z379" i="2"/>
  <c r="Z25" i="13" s="1"/>
  <c r="Y379" i="2"/>
  <c r="Y25" i="13" s="1"/>
  <c r="X379" i="2"/>
  <c r="X25" i="13" s="1"/>
  <c r="W379" i="2"/>
  <c r="W25" i="13" s="1"/>
  <c r="V379" i="2"/>
  <c r="V25" i="13" s="1"/>
  <c r="U379" i="2"/>
  <c r="U25" i="13" s="1"/>
  <c r="AC378" i="2"/>
  <c r="AC24" i="13" s="1"/>
  <c r="AA378" i="2"/>
  <c r="Z378" i="2"/>
  <c r="Z24" i="13" s="1"/>
  <c r="Y378" i="2"/>
  <c r="Y24" i="13" s="1"/>
  <c r="X378" i="2"/>
  <c r="X24" i="13" s="1"/>
  <c r="W378" i="2"/>
  <c r="W24" i="13" s="1"/>
  <c r="V378" i="2"/>
  <c r="V24" i="13" s="1"/>
  <c r="U378" i="2"/>
  <c r="U24" i="13" s="1"/>
  <c r="AC377" i="2"/>
  <c r="AC23" i="13" s="1"/>
  <c r="AA377" i="2"/>
  <c r="Z377" i="2"/>
  <c r="Z23" i="13" s="1"/>
  <c r="Y377" i="2"/>
  <c r="Y23" i="13" s="1"/>
  <c r="X377" i="2"/>
  <c r="X23" i="13" s="1"/>
  <c r="W377" i="2"/>
  <c r="W23" i="13" s="1"/>
  <c r="V377" i="2"/>
  <c r="V23" i="13" s="1"/>
  <c r="U377" i="2"/>
  <c r="U23" i="13" s="1"/>
  <c r="AC376" i="2"/>
  <c r="AC22" i="13" s="1"/>
  <c r="AA376" i="2"/>
  <c r="Z376" i="2"/>
  <c r="Z22" i="13" s="1"/>
  <c r="Y376" i="2"/>
  <c r="Y22" i="13" s="1"/>
  <c r="X376" i="2"/>
  <c r="X22" i="13" s="1"/>
  <c r="W376" i="2"/>
  <c r="W22" i="13" s="1"/>
  <c r="V376" i="2"/>
  <c r="V22" i="13" s="1"/>
  <c r="U376" i="2"/>
  <c r="U22" i="13" s="1"/>
  <c r="AC375" i="2"/>
  <c r="AC21" i="13" s="1"/>
  <c r="AA375" i="2"/>
  <c r="Z375" i="2"/>
  <c r="Z21" i="13" s="1"/>
  <c r="Y375" i="2"/>
  <c r="Y21" i="13" s="1"/>
  <c r="X375" i="2"/>
  <c r="X21" i="13" s="1"/>
  <c r="W375" i="2"/>
  <c r="W21" i="13" s="1"/>
  <c r="V375" i="2"/>
  <c r="V21" i="13" s="1"/>
  <c r="U375" i="2"/>
  <c r="U21" i="13" s="1"/>
  <c r="AC374" i="2"/>
  <c r="AC20" i="13" s="1"/>
  <c r="AA374" i="2"/>
  <c r="Z374" i="2"/>
  <c r="Z20" i="13" s="1"/>
  <c r="Y374" i="2"/>
  <c r="Y20" i="13" s="1"/>
  <c r="X374" i="2"/>
  <c r="X20" i="13" s="1"/>
  <c r="W374" i="2"/>
  <c r="W20" i="13" s="1"/>
  <c r="V374" i="2"/>
  <c r="V20" i="13" s="1"/>
  <c r="U374" i="2"/>
  <c r="U20" i="13" s="1"/>
  <c r="AC373" i="2"/>
  <c r="AC19" i="13" s="1"/>
  <c r="AA373" i="2"/>
  <c r="Z373" i="2"/>
  <c r="Z19" i="13" s="1"/>
  <c r="Y373" i="2"/>
  <c r="Y19" i="13" s="1"/>
  <c r="X373" i="2"/>
  <c r="X19" i="13" s="1"/>
  <c r="W373" i="2"/>
  <c r="W19" i="13" s="1"/>
  <c r="V373" i="2"/>
  <c r="V19" i="13" s="1"/>
  <c r="U373" i="2"/>
  <c r="U19" i="13" s="1"/>
  <c r="AC372" i="2"/>
  <c r="AC18" i="13" s="1"/>
  <c r="AA372" i="2"/>
  <c r="Z372" i="2"/>
  <c r="Z18" i="13" s="1"/>
  <c r="Y372" i="2"/>
  <c r="Y18" i="13" s="1"/>
  <c r="X372" i="2"/>
  <c r="X18" i="13" s="1"/>
  <c r="W372" i="2"/>
  <c r="W18" i="13" s="1"/>
  <c r="V372" i="2"/>
  <c r="V18" i="13" s="1"/>
  <c r="U372" i="2"/>
  <c r="U18" i="13" s="1"/>
  <c r="AC371" i="2"/>
  <c r="AC17" i="13" s="1"/>
  <c r="AA371" i="2"/>
  <c r="Z371" i="2"/>
  <c r="Z17" i="13" s="1"/>
  <c r="Y371" i="2"/>
  <c r="Y17" i="13" s="1"/>
  <c r="X371" i="2"/>
  <c r="X17" i="13" s="1"/>
  <c r="W371" i="2"/>
  <c r="W17" i="13" s="1"/>
  <c r="V371" i="2"/>
  <c r="V17" i="13" s="1"/>
  <c r="U371" i="2"/>
  <c r="U17" i="13" s="1"/>
  <c r="AC370" i="2"/>
  <c r="AC16" i="13" s="1"/>
  <c r="AA370" i="2"/>
  <c r="Z370" i="2"/>
  <c r="Z16" i="13" s="1"/>
  <c r="Y370" i="2"/>
  <c r="Y16" i="13" s="1"/>
  <c r="X370" i="2"/>
  <c r="X16" i="13" s="1"/>
  <c r="W370" i="2"/>
  <c r="W16" i="13" s="1"/>
  <c r="V370" i="2"/>
  <c r="V16" i="13" s="1"/>
  <c r="U370" i="2"/>
  <c r="U16" i="13" s="1"/>
  <c r="AC369" i="2"/>
  <c r="AC15" i="13" s="1"/>
  <c r="AA369" i="2"/>
  <c r="Z369" i="2"/>
  <c r="Z15" i="13" s="1"/>
  <c r="Y369" i="2"/>
  <c r="Y15" i="13" s="1"/>
  <c r="X369" i="2"/>
  <c r="X15" i="13" s="1"/>
  <c r="W369" i="2"/>
  <c r="W15" i="13" s="1"/>
  <c r="V369" i="2"/>
  <c r="V15" i="13" s="1"/>
  <c r="U369" i="2"/>
  <c r="U15" i="13" s="1"/>
  <c r="AC368" i="2"/>
  <c r="AC14" i="13" s="1"/>
  <c r="AA368" i="2"/>
  <c r="Z368" i="2"/>
  <c r="Z14" i="13" s="1"/>
  <c r="Y368" i="2"/>
  <c r="Y14" i="13" s="1"/>
  <c r="X368" i="2"/>
  <c r="X14" i="13" s="1"/>
  <c r="W368" i="2"/>
  <c r="W14" i="13" s="1"/>
  <c r="V368" i="2"/>
  <c r="V14" i="13" s="1"/>
  <c r="U368" i="2"/>
  <c r="U14" i="13" s="1"/>
  <c r="AC367" i="2"/>
  <c r="AC13" i="13" s="1"/>
  <c r="AA367" i="2"/>
  <c r="Z367" i="2"/>
  <c r="Z13" i="13" s="1"/>
  <c r="Y367" i="2"/>
  <c r="Y13" i="13" s="1"/>
  <c r="X367" i="2"/>
  <c r="X13" i="13" s="1"/>
  <c r="W367" i="2"/>
  <c r="W13" i="13" s="1"/>
  <c r="V367" i="2"/>
  <c r="V13" i="13" s="1"/>
  <c r="U367" i="2"/>
  <c r="U13" i="13" s="1"/>
  <c r="AC366" i="2"/>
  <c r="AC12" i="13" s="1"/>
  <c r="AA366" i="2"/>
  <c r="Z366" i="2"/>
  <c r="Z12" i="13" s="1"/>
  <c r="Y366" i="2"/>
  <c r="Y12" i="13" s="1"/>
  <c r="X366" i="2"/>
  <c r="X12" i="13" s="1"/>
  <c r="W366" i="2"/>
  <c r="W12" i="13" s="1"/>
  <c r="V366" i="2"/>
  <c r="V12" i="13" s="1"/>
  <c r="U366" i="2"/>
  <c r="U12" i="13" s="1"/>
  <c r="AC365" i="2"/>
  <c r="AC11" i="13" s="1"/>
  <c r="AA365" i="2"/>
  <c r="Z365" i="2"/>
  <c r="Z11" i="13" s="1"/>
  <c r="Y365" i="2"/>
  <c r="Y11" i="13" s="1"/>
  <c r="X365" i="2"/>
  <c r="X11" i="13" s="1"/>
  <c r="W365" i="2"/>
  <c r="W11" i="13" s="1"/>
  <c r="V365" i="2"/>
  <c r="V11" i="13" s="1"/>
  <c r="U365" i="2"/>
  <c r="U11" i="13" s="1"/>
  <c r="AC364" i="2"/>
  <c r="AC10" i="13" s="1"/>
  <c r="AA364" i="2"/>
  <c r="Z364" i="2"/>
  <c r="Z10" i="13" s="1"/>
  <c r="Y364" i="2"/>
  <c r="Y10" i="13" s="1"/>
  <c r="X364" i="2"/>
  <c r="X10" i="13" s="1"/>
  <c r="W364" i="2"/>
  <c r="W10" i="13" s="1"/>
  <c r="V364" i="2"/>
  <c r="V10" i="13" s="1"/>
  <c r="U364" i="2"/>
  <c r="U10" i="13" s="1"/>
  <c r="AC363" i="2"/>
  <c r="AC24" i="12" s="1"/>
  <c r="AA363" i="2"/>
  <c r="Z363" i="2"/>
  <c r="Z24" i="12" s="1"/>
  <c r="Y363" i="2"/>
  <c r="Y24" i="12" s="1"/>
  <c r="X363" i="2"/>
  <c r="X24" i="12" s="1"/>
  <c r="W363" i="2"/>
  <c r="W24" i="12" s="1"/>
  <c r="V363" i="2"/>
  <c r="V24" i="12" s="1"/>
  <c r="U363" i="2"/>
  <c r="U24" i="12" s="1"/>
  <c r="AC362" i="2"/>
  <c r="AC23" i="12" s="1"/>
  <c r="AA362" i="2"/>
  <c r="Z362" i="2"/>
  <c r="Z23" i="12" s="1"/>
  <c r="Y362" i="2"/>
  <c r="Y23" i="12" s="1"/>
  <c r="X362" i="2"/>
  <c r="X23" i="12" s="1"/>
  <c r="W362" i="2"/>
  <c r="W23" i="12" s="1"/>
  <c r="V362" i="2"/>
  <c r="V23" i="12" s="1"/>
  <c r="U362" i="2"/>
  <c r="U23" i="12" s="1"/>
  <c r="AC361" i="2"/>
  <c r="AC22" i="12" s="1"/>
  <c r="AA361" i="2"/>
  <c r="Z361" i="2"/>
  <c r="Z22" i="12" s="1"/>
  <c r="Y361" i="2"/>
  <c r="Y22" i="12" s="1"/>
  <c r="X361" i="2"/>
  <c r="X22" i="12" s="1"/>
  <c r="W361" i="2"/>
  <c r="W22" i="12" s="1"/>
  <c r="V361" i="2"/>
  <c r="V22" i="12" s="1"/>
  <c r="U361" i="2"/>
  <c r="U22" i="12" s="1"/>
  <c r="AC360" i="2"/>
  <c r="AC21" i="12" s="1"/>
  <c r="AA360" i="2"/>
  <c r="Z360" i="2"/>
  <c r="Z21" i="12" s="1"/>
  <c r="Y360" i="2"/>
  <c r="Y21" i="12" s="1"/>
  <c r="X360" i="2"/>
  <c r="X21" i="12" s="1"/>
  <c r="W360" i="2"/>
  <c r="W21" i="12" s="1"/>
  <c r="V360" i="2"/>
  <c r="V21" i="12" s="1"/>
  <c r="U360" i="2"/>
  <c r="U21" i="12" s="1"/>
  <c r="AC359" i="2"/>
  <c r="AC20" i="12" s="1"/>
  <c r="AA359" i="2"/>
  <c r="Z359" i="2"/>
  <c r="Z20" i="12" s="1"/>
  <c r="Y359" i="2"/>
  <c r="Y20" i="12" s="1"/>
  <c r="X359" i="2"/>
  <c r="X20" i="12" s="1"/>
  <c r="W359" i="2"/>
  <c r="W20" i="12" s="1"/>
  <c r="V359" i="2"/>
  <c r="V20" i="12" s="1"/>
  <c r="U359" i="2"/>
  <c r="U20" i="12" s="1"/>
  <c r="AC358" i="2"/>
  <c r="AC19" i="12" s="1"/>
  <c r="AA358" i="2"/>
  <c r="Z358" i="2"/>
  <c r="Z19" i="12" s="1"/>
  <c r="Y358" i="2"/>
  <c r="Y19" i="12" s="1"/>
  <c r="X358" i="2"/>
  <c r="X19" i="12" s="1"/>
  <c r="W358" i="2"/>
  <c r="W19" i="12" s="1"/>
  <c r="V358" i="2"/>
  <c r="V19" i="12" s="1"/>
  <c r="U358" i="2"/>
  <c r="U19" i="12" s="1"/>
  <c r="AC357" i="2"/>
  <c r="AC18" i="12" s="1"/>
  <c r="AA357" i="2"/>
  <c r="Z357" i="2"/>
  <c r="Z18" i="12" s="1"/>
  <c r="Y357" i="2"/>
  <c r="Y18" i="12" s="1"/>
  <c r="X357" i="2"/>
  <c r="X18" i="12" s="1"/>
  <c r="W357" i="2"/>
  <c r="W18" i="12" s="1"/>
  <c r="V357" i="2"/>
  <c r="V18" i="12" s="1"/>
  <c r="U357" i="2"/>
  <c r="U18" i="12" s="1"/>
  <c r="AC356" i="2"/>
  <c r="AC17" i="12" s="1"/>
  <c r="AA356" i="2"/>
  <c r="Z356" i="2"/>
  <c r="Z17" i="12" s="1"/>
  <c r="Y356" i="2"/>
  <c r="Y17" i="12" s="1"/>
  <c r="X356" i="2"/>
  <c r="X17" i="12" s="1"/>
  <c r="W356" i="2"/>
  <c r="W17" i="12" s="1"/>
  <c r="V356" i="2"/>
  <c r="V17" i="12" s="1"/>
  <c r="U356" i="2"/>
  <c r="U17" i="12" s="1"/>
  <c r="AC355" i="2"/>
  <c r="AC16" i="12" s="1"/>
  <c r="AA355" i="2"/>
  <c r="Z355" i="2"/>
  <c r="Z16" i="12" s="1"/>
  <c r="Y355" i="2"/>
  <c r="Y16" i="12" s="1"/>
  <c r="X355" i="2"/>
  <c r="X16" i="12" s="1"/>
  <c r="W355" i="2"/>
  <c r="W16" i="12" s="1"/>
  <c r="V355" i="2"/>
  <c r="V16" i="12" s="1"/>
  <c r="U355" i="2"/>
  <c r="U16" i="12" s="1"/>
  <c r="AC354" i="2"/>
  <c r="AC15" i="12" s="1"/>
  <c r="AA354" i="2"/>
  <c r="Z354" i="2"/>
  <c r="Z15" i="12" s="1"/>
  <c r="Y354" i="2"/>
  <c r="Y15" i="12" s="1"/>
  <c r="X354" i="2"/>
  <c r="X15" i="12" s="1"/>
  <c r="W354" i="2"/>
  <c r="W15" i="12" s="1"/>
  <c r="V354" i="2"/>
  <c r="V15" i="12" s="1"/>
  <c r="U354" i="2"/>
  <c r="U15" i="12" s="1"/>
  <c r="AC353" i="2"/>
  <c r="AC14" i="12" s="1"/>
  <c r="AA353" i="2"/>
  <c r="Z353" i="2"/>
  <c r="Z14" i="12" s="1"/>
  <c r="Y353" i="2"/>
  <c r="Y14" i="12" s="1"/>
  <c r="X353" i="2"/>
  <c r="X14" i="12" s="1"/>
  <c r="W353" i="2"/>
  <c r="W14" i="12" s="1"/>
  <c r="V353" i="2"/>
  <c r="V14" i="12" s="1"/>
  <c r="U353" i="2"/>
  <c r="U14" i="12" s="1"/>
  <c r="AC352" i="2"/>
  <c r="AC13" i="12" s="1"/>
  <c r="AA352" i="2"/>
  <c r="Z352" i="2"/>
  <c r="Z13" i="12" s="1"/>
  <c r="Y352" i="2"/>
  <c r="Y13" i="12" s="1"/>
  <c r="X352" i="2"/>
  <c r="X13" i="12" s="1"/>
  <c r="W352" i="2"/>
  <c r="W13" i="12" s="1"/>
  <c r="V352" i="2"/>
  <c r="V13" i="12" s="1"/>
  <c r="U352" i="2"/>
  <c r="U13" i="12" s="1"/>
  <c r="AC351" i="2"/>
  <c r="AC12" i="12" s="1"/>
  <c r="AA351" i="2"/>
  <c r="Z351" i="2"/>
  <c r="Z12" i="12" s="1"/>
  <c r="Y351" i="2"/>
  <c r="Y12" i="12" s="1"/>
  <c r="X351" i="2"/>
  <c r="X12" i="12" s="1"/>
  <c r="W351" i="2"/>
  <c r="W12" i="12" s="1"/>
  <c r="V351" i="2"/>
  <c r="V12" i="12" s="1"/>
  <c r="U351" i="2"/>
  <c r="U12" i="12" s="1"/>
  <c r="AC350" i="2"/>
  <c r="AC11" i="12" s="1"/>
  <c r="AA350" i="2"/>
  <c r="Z350" i="2"/>
  <c r="Z11" i="12" s="1"/>
  <c r="Y350" i="2"/>
  <c r="Y11" i="12" s="1"/>
  <c r="X350" i="2"/>
  <c r="X11" i="12" s="1"/>
  <c r="W350" i="2"/>
  <c r="W11" i="12" s="1"/>
  <c r="V350" i="2"/>
  <c r="V11" i="12" s="1"/>
  <c r="U350" i="2"/>
  <c r="U11" i="12" s="1"/>
  <c r="AC349" i="2"/>
  <c r="AC10" i="12" s="1"/>
  <c r="AA349" i="2"/>
  <c r="Z349" i="2"/>
  <c r="Z10" i="12" s="1"/>
  <c r="Y349" i="2"/>
  <c r="Y10" i="12" s="1"/>
  <c r="X349" i="2"/>
  <c r="X10" i="12" s="1"/>
  <c r="W349" i="2"/>
  <c r="W10" i="12" s="1"/>
  <c r="V349" i="2"/>
  <c r="V10" i="12" s="1"/>
  <c r="U349" i="2"/>
  <c r="U10" i="12" s="1"/>
  <c r="AC348" i="2"/>
  <c r="AC9" i="12" s="1"/>
  <c r="AA348" i="2"/>
  <c r="Z348" i="2"/>
  <c r="Z9" i="12" s="1"/>
  <c r="Y348" i="2"/>
  <c r="Y9" i="12" s="1"/>
  <c r="X348" i="2"/>
  <c r="X9" i="12" s="1"/>
  <c r="W348" i="2"/>
  <c r="W9" i="12" s="1"/>
  <c r="V348" i="2"/>
  <c r="V9" i="12" s="1"/>
  <c r="U348" i="2"/>
  <c r="U9" i="12" s="1"/>
  <c r="AC347" i="2"/>
  <c r="AC8" i="12" s="1"/>
  <c r="AA347" i="2"/>
  <c r="Z347" i="2"/>
  <c r="Z8" i="12" s="1"/>
  <c r="Y347" i="2"/>
  <c r="Y8" i="12" s="1"/>
  <c r="X347" i="2"/>
  <c r="X8" i="12" s="1"/>
  <c r="W347" i="2"/>
  <c r="W8" i="12" s="1"/>
  <c r="V347" i="2"/>
  <c r="V8" i="12" s="1"/>
  <c r="U347" i="2"/>
  <c r="U8" i="12" s="1"/>
  <c r="AC346" i="2"/>
  <c r="AC7" i="12" s="1"/>
  <c r="AA346" i="2"/>
  <c r="Z346" i="2"/>
  <c r="Z7" i="12" s="1"/>
  <c r="Y346" i="2"/>
  <c r="Y7" i="12" s="1"/>
  <c r="X346" i="2"/>
  <c r="X7" i="12" s="1"/>
  <c r="W346" i="2"/>
  <c r="W7" i="12" s="1"/>
  <c r="V346" i="2"/>
  <c r="V7" i="12" s="1"/>
  <c r="U346" i="2"/>
  <c r="U7" i="12" s="1"/>
  <c r="AC345" i="2"/>
  <c r="AC6" i="12" s="1"/>
  <c r="AA345" i="2"/>
  <c r="Z345" i="2"/>
  <c r="Z6" i="12" s="1"/>
  <c r="Y345" i="2"/>
  <c r="Y6" i="12" s="1"/>
  <c r="X345" i="2"/>
  <c r="X6" i="12" s="1"/>
  <c r="W345" i="2"/>
  <c r="W6" i="12" s="1"/>
  <c r="V345" i="2"/>
  <c r="V6" i="12" s="1"/>
  <c r="U345" i="2"/>
  <c r="U6" i="12" s="1"/>
  <c r="AC344" i="2"/>
  <c r="AC5" i="12" s="1"/>
  <c r="AA344" i="2"/>
  <c r="Z344" i="2"/>
  <c r="Z5" i="12" s="1"/>
  <c r="Y344" i="2"/>
  <c r="Y5" i="12" s="1"/>
  <c r="X344" i="2"/>
  <c r="X5" i="12" s="1"/>
  <c r="W344" i="2"/>
  <c r="W5" i="12" s="1"/>
  <c r="V344" i="2"/>
  <c r="V5" i="12" s="1"/>
  <c r="U344" i="2"/>
  <c r="U5" i="12" s="1"/>
  <c r="AC343" i="2"/>
  <c r="AC4" i="12" s="1"/>
  <c r="AA343" i="2"/>
  <c r="Z343" i="2"/>
  <c r="Z4" i="12" s="1"/>
  <c r="Y343" i="2"/>
  <c r="Y4" i="12" s="1"/>
  <c r="X343" i="2"/>
  <c r="X4" i="12" s="1"/>
  <c r="W343" i="2"/>
  <c r="W4" i="12" s="1"/>
  <c r="V343" i="2"/>
  <c r="V4" i="12" s="1"/>
  <c r="U343" i="2"/>
  <c r="U4" i="12" s="1"/>
  <c r="AC342" i="2"/>
  <c r="AC3" i="12" s="1"/>
  <c r="AA342" i="2"/>
  <c r="Z342" i="2"/>
  <c r="Z3" i="12" s="1"/>
  <c r="Y342" i="2"/>
  <c r="Y3" i="12" s="1"/>
  <c r="X342" i="2"/>
  <c r="X3" i="12" s="1"/>
  <c r="W342" i="2"/>
  <c r="W3" i="12" s="1"/>
  <c r="V342" i="2"/>
  <c r="V3" i="12" s="1"/>
  <c r="U342" i="2"/>
  <c r="U3" i="12" s="1"/>
  <c r="AC341" i="2"/>
  <c r="AC2" i="12" s="1"/>
  <c r="AA341" i="2"/>
  <c r="Z341" i="2"/>
  <c r="Z2" i="12" s="1"/>
  <c r="Y341" i="2"/>
  <c r="Y2" i="12" s="1"/>
  <c r="X341" i="2"/>
  <c r="X2" i="12" s="1"/>
  <c r="W341" i="2"/>
  <c r="W2" i="12" s="1"/>
  <c r="V341" i="2"/>
  <c r="V2" i="12" s="1"/>
  <c r="U341" i="2"/>
  <c r="U2" i="12" s="1"/>
  <c r="AC340" i="2"/>
  <c r="AC56" i="11" s="1"/>
  <c r="AA340" i="2"/>
  <c r="Z340" i="2"/>
  <c r="Z56" i="11" s="1"/>
  <c r="Y340" i="2"/>
  <c r="Y56" i="11" s="1"/>
  <c r="X340" i="2"/>
  <c r="X56" i="11" s="1"/>
  <c r="W340" i="2"/>
  <c r="W56" i="11" s="1"/>
  <c r="V340" i="2"/>
  <c r="V56" i="11" s="1"/>
  <c r="U340" i="2"/>
  <c r="U56" i="11" s="1"/>
  <c r="AC339" i="2"/>
  <c r="AC55" i="11" s="1"/>
  <c r="AA339" i="2"/>
  <c r="Z339" i="2"/>
  <c r="Z55" i="11" s="1"/>
  <c r="Y339" i="2"/>
  <c r="Y55" i="11" s="1"/>
  <c r="X339" i="2"/>
  <c r="X55" i="11" s="1"/>
  <c r="W339" i="2"/>
  <c r="W55" i="11" s="1"/>
  <c r="V339" i="2"/>
  <c r="V55" i="11" s="1"/>
  <c r="U339" i="2"/>
  <c r="U55" i="11" s="1"/>
  <c r="AC338" i="2"/>
  <c r="AC54" i="11" s="1"/>
  <c r="AA338" i="2"/>
  <c r="Z338" i="2"/>
  <c r="Z54" i="11" s="1"/>
  <c r="Y338" i="2"/>
  <c r="Y54" i="11" s="1"/>
  <c r="X338" i="2"/>
  <c r="X54" i="11" s="1"/>
  <c r="W338" i="2"/>
  <c r="W54" i="11" s="1"/>
  <c r="V338" i="2"/>
  <c r="V54" i="11" s="1"/>
  <c r="U338" i="2"/>
  <c r="U54" i="11" s="1"/>
  <c r="AC337" i="2"/>
  <c r="AC53" i="11" s="1"/>
  <c r="AA337" i="2"/>
  <c r="Z337" i="2"/>
  <c r="Z53" i="11" s="1"/>
  <c r="Y337" i="2"/>
  <c r="Y53" i="11" s="1"/>
  <c r="X337" i="2"/>
  <c r="X53" i="11" s="1"/>
  <c r="W337" i="2"/>
  <c r="W53" i="11" s="1"/>
  <c r="V337" i="2"/>
  <c r="V53" i="11" s="1"/>
  <c r="U337" i="2"/>
  <c r="U53" i="11" s="1"/>
  <c r="AC336" i="2"/>
  <c r="AC52" i="11" s="1"/>
  <c r="AA336" i="2"/>
  <c r="Z336" i="2"/>
  <c r="Z52" i="11" s="1"/>
  <c r="Y336" i="2"/>
  <c r="Y52" i="11" s="1"/>
  <c r="X336" i="2"/>
  <c r="X52" i="11" s="1"/>
  <c r="W336" i="2"/>
  <c r="W52" i="11" s="1"/>
  <c r="V336" i="2"/>
  <c r="V52" i="11" s="1"/>
  <c r="U336" i="2"/>
  <c r="U52" i="11" s="1"/>
  <c r="AC335" i="2"/>
  <c r="AC51" i="11" s="1"/>
  <c r="AA335" i="2"/>
  <c r="Z335" i="2"/>
  <c r="Z51" i="11" s="1"/>
  <c r="Y335" i="2"/>
  <c r="Y51" i="11" s="1"/>
  <c r="X335" i="2"/>
  <c r="X51" i="11" s="1"/>
  <c r="W335" i="2"/>
  <c r="W51" i="11" s="1"/>
  <c r="V335" i="2"/>
  <c r="V51" i="11" s="1"/>
  <c r="U335" i="2"/>
  <c r="U51" i="11" s="1"/>
  <c r="AC334" i="2"/>
  <c r="AC50" i="11" s="1"/>
  <c r="AA334" i="2"/>
  <c r="Z334" i="2"/>
  <c r="Z50" i="11" s="1"/>
  <c r="Y334" i="2"/>
  <c r="Y50" i="11" s="1"/>
  <c r="X334" i="2"/>
  <c r="X50" i="11" s="1"/>
  <c r="W334" i="2"/>
  <c r="W50" i="11" s="1"/>
  <c r="V334" i="2"/>
  <c r="V50" i="11" s="1"/>
  <c r="U334" i="2"/>
  <c r="U50" i="11" s="1"/>
  <c r="AC333" i="2"/>
  <c r="AC49" i="11" s="1"/>
  <c r="AA333" i="2"/>
  <c r="Z333" i="2"/>
  <c r="Z49" i="11" s="1"/>
  <c r="Y333" i="2"/>
  <c r="Y49" i="11" s="1"/>
  <c r="X333" i="2"/>
  <c r="X49" i="11" s="1"/>
  <c r="W333" i="2"/>
  <c r="W49" i="11" s="1"/>
  <c r="V333" i="2"/>
  <c r="V49" i="11" s="1"/>
  <c r="U333" i="2"/>
  <c r="U49" i="11" s="1"/>
  <c r="AC332" i="2"/>
  <c r="AC48" i="11" s="1"/>
  <c r="AA332" i="2"/>
  <c r="Z332" i="2"/>
  <c r="Z48" i="11" s="1"/>
  <c r="Y332" i="2"/>
  <c r="Y48" i="11" s="1"/>
  <c r="X332" i="2"/>
  <c r="X48" i="11" s="1"/>
  <c r="W332" i="2"/>
  <c r="W48" i="11" s="1"/>
  <c r="V332" i="2"/>
  <c r="V48" i="11" s="1"/>
  <c r="U332" i="2"/>
  <c r="U48" i="11" s="1"/>
  <c r="AC331" i="2"/>
  <c r="AC47" i="11" s="1"/>
  <c r="AA331" i="2"/>
  <c r="Z331" i="2"/>
  <c r="Z47" i="11" s="1"/>
  <c r="Y331" i="2"/>
  <c r="Y47" i="11" s="1"/>
  <c r="X331" i="2"/>
  <c r="X47" i="11" s="1"/>
  <c r="W331" i="2"/>
  <c r="W47" i="11" s="1"/>
  <c r="V331" i="2"/>
  <c r="V47" i="11" s="1"/>
  <c r="U331" i="2"/>
  <c r="U47" i="11" s="1"/>
  <c r="AC330" i="2"/>
  <c r="AC46" i="11" s="1"/>
  <c r="AA330" i="2"/>
  <c r="Z330" i="2"/>
  <c r="Z46" i="11" s="1"/>
  <c r="Y330" i="2"/>
  <c r="Y46" i="11" s="1"/>
  <c r="X330" i="2"/>
  <c r="X46" i="11" s="1"/>
  <c r="W330" i="2"/>
  <c r="W46" i="11" s="1"/>
  <c r="V330" i="2"/>
  <c r="V46" i="11" s="1"/>
  <c r="U330" i="2"/>
  <c r="U46" i="11" s="1"/>
  <c r="AC329" i="2"/>
  <c r="AC45" i="11" s="1"/>
  <c r="AA329" i="2"/>
  <c r="Z329" i="2"/>
  <c r="Z45" i="11" s="1"/>
  <c r="Y329" i="2"/>
  <c r="Y45" i="11" s="1"/>
  <c r="X329" i="2"/>
  <c r="X45" i="11" s="1"/>
  <c r="W329" i="2"/>
  <c r="W45" i="11" s="1"/>
  <c r="V329" i="2"/>
  <c r="V45" i="11" s="1"/>
  <c r="U329" i="2"/>
  <c r="U45" i="11" s="1"/>
  <c r="AC328" i="2"/>
  <c r="AC44" i="11" s="1"/>
  <c r="AA328" i="2"/>
  <c r="Z328" i="2"/>
  <c r="Z44" i="11" s="1"/>
  <c r="Y328" i="2"/>
  <c r="Y44" i="11" s="1"/>
  <c r="X328" i="2"/>
  <c r="X44" i="11" s="1"/>
  <c r="W328" i="2"/>
  <c r="W44" i="11" s="1"/>
  <c r="V328" i="2"/>
  <c r="V44" i="11" s="1"/>
  <c r="U328" i="2"/>
  <c r="U44" i="11" s="1"/>
  <c r="AC327" i="2"/>
  <c r="AC43" i="11" s="1"/>
  <c r="AA327" i="2"/>
  <c r="Z327" i="2"/>
  <c r="Z43" i="11" s="1"/>
  <c r="Y327" i="2"/>
  <c r="Y43" i="11" s="1"/>
  <c r="X327" i="2"/>
  <c r="X43" i="11" s="1"/>
  <c r="W327" i="2"/>
  <c r="W43" i="11" s="1"/>
  <c r="V327" i="2"/>
  <c r="V43" i="11" s="1"/>
  <c r="U327" i="2"/>
  <c r="U43" i="11" s="1"/>
  <c r="AC326" i="2"/>
  <c r="AC42" i="11" s="1"/>
  <c r="AA326" i="2"/>
  <c r="Z326" i="2"/>
  <c r="Z42" i="11" s="1"/>
  <c r="Y326" i="2"/>
  <c r="Y42" i="11" s="1"/>
  <c r="X326" i="2"/>
  <c r="X42" i="11" s="1"/>
  <c r="W326" i="2"/>
  <c r="W42" i="11" s="1"/>
  <c r="V326" i="2"/>
  <c r="V42" i="11" s="1"/>
  <c r="U326" i="2"/>
  <c r="U42" i="11" s="1"/>
  <c r="AC325" i="2"/>
  <c r="AC41" i="11" s="1"/>
  <c r="AA325" i="2"/>
  <c r="Z325" i="2"/>
  <c r="Z41" i="11" s="1"/>
  <c r="Y325" i="2"/>
  <c r="Y41" i="11" s="1"/>
  <c r="X325" i="2"/>
  <c r="X41" i="11" s="1"/>
  <c r="W325" i="2"/>
  <c r="W41" i="11" s="1"/>
  <c r="V325" i="2"/>
  <c r="V41" i="11" s="1"/>
  <c r="U325" i="2"/>
  <c r="U41" i="11" s="1"/>
  <c r="AC324" i="2"/>
  <c r="AC40" i="11" s="1"/>
  <c r="AA324" i="2"/>
  <c r="Z324" i="2"/>
  <c r="Z40" i="11" s="1"/>
  <c r="Y324" i="2"/>
  <c r="Y40" i="11" s="1"/>
  <c r="X324" i="2"/>
  <c r="X40" i="11" s="1"/>
  <c r="W324" i="2"/>
  <c r="W40" i="11" s="1"/>
  <c r="V324" i="2"/>
  <c r="V40" i="11" s="1"/>
  <c r="U324" i="2"/>
  <c r="U40" i="11" s="1"/>
  <c r="AC323" i="2"/>
  <c r="AC39" i="11" s="1"/>
  <c r="AA323" i="2"/>
  <c r="Z323" i="2"/>
  <c r="Z39" i="11" s="1"/>
  <c r="Y323" i="2"/>
  <c r="Y39" i="11" s="1"/>
  <c r="X323" i="2"/>
  <c r="X39" i="11" s="1"/>
  <c r="W323" i="2"/>
  <c r="W39" i="11" s="1"/>
  <c r="V323" i="2"/>
  <c r="V39" i="11" s="1"/>
  <c r="U323" i="2"/>
  <c r="U39" i="11" s="1"/>
  <c r="AC322" i="2"/>
  <c r="AC38" i="11" s="1"/>
  <c r="AA322" i="2"/>
  <c r="Z322" i="2"/>
  <c r="Z38" i="11" s="1"/>
  <c r="Y322" i="2"/>
  <c r="Y38" i="11" s="1"/>
  <c r="X322" i="2"/>
  <c r="X38" i="11" s="1"/>
  <c r="W322" i="2"/>
  <c r="W38" i="11" s="1"/>
  <c r="V322" i="2"/>
  <c r="V38" i="11" s="1"/>
  <c r="U322" i="2"/>
  <c r="U38" i="11" s="1"/>
  <c r="AC321" i="2"/>
  <c r="AC37" i="11" s="1"/>
  <c r="AA321" i="2"/>
  <c r="Z321" i="2"/>
  <c r="Z37" i="11" s="1"/>
  <c r="Y321" i="2"/>
  <c r="Y37" i="11" s="1"/>
  <c r="X321" i="2"/>
  <c r="X37" i="11" s="1"/>
  <c r="W321" i="2"/>
  <c r="W37" i="11" s="1"/>
  <c r="V321" i="2"/>
  <c r="V37" i="11" s="1"/>
  <c r="U321" i="2"/>
  <c r="U37" i="11" s="1"/>
  <c r="AC320" i="2"/>
  <c r="AC36" i="11" s="1"/>
  <c r="AA320" i="2"/>
  <c r="Z320" i="2"/>
  <c r="Z36" i="11" s="1"/>
  <c r="Y320" i="2"/>
  <c r="Y36" i="11" s="1"/>
  <c r="X320" i="2"/>
  <c r="X36" i="11" s="1"/>
  <c r="W320" i="2"/>
  <c r="W36" i="11" s="1"/>
  <c r="V320" i="2"/>
  <c r="V36" i="11" s="1"/>
  <c r="U320" i="2"/>
  <c r="U36" i="11" s="1"/>
  <c r="AC319" i="2"/>
  <c r="AC35" i="11" s="1"/>
  <c r="AA319" i="2"/>
  <c r="Z319" i="2"/>
  <c r="Z35" i="11" s="1"/>
  <c r="Y319" i="2"/>
  <c r="Y35" i="11" s="1"/>
  <c r="X319" i="2"/>
  <c r="X35" i="11" s="1"/>
  <c r="W319" i="2"/>
  <c r="W35" i="11" s="1"/>
  <c r="V319" i="2"/>
  <c r="V35" i="11" s="1"/>
  <c r="U319" i="2"/>
  <c r="U35" i="11" s="1"/>
  <c r="AC318" i="2"/>
  <c r="AC34" i="11" s="1"/>
  <c r="AA318" i="2"/>
  <c r="Z318" i="2"/>
  <c r="Z34" i="11" s="1"/>
  <c r="Y318" i="2"/>
  <c r="Y34" i="11" s="1"/>
  <c r="X318" i="2"/>
  <c r="X34" i="11" s="1"/>
  <c r="W318" i="2"/>
  <c r="W34" i="11" s="1"/>
  <c r="V318" i="2"/>
  <c r="V34" i="11" s="1"/>
  <c r="U318" i="2"/>
  <c r="U34" i="11" s="1"/>
  <c r="AC317" i="2"/>
  <c r="AC33" i="11" s="1"/>
  <c r="AA317" i="2"/>
  <c r="Z317" i="2"/>
  <c r="Z33" i="11" s="1"/>
  <c r="Y317" i="2"/>
  <c r="Y33" i="11" s="1"/>
  <c r="X317" i="2"/>
  <c r="X33" i="11" s="1"/>
  <c r="W317" i="2"/>
  <c r="W33" i="11" s="1"/>
  <c r="V317" i="2"/>
  <c r="V33" i="11" s="1"/>
  <c r="U317" i="2"/>
  <c r="U33" i="11" s="1"/>
  <c r="AC316" i="2"/>
  <c r="AC32" i="11" s="1"/>
  <c r="AA316" i="2"/>
  <c r="Z316" i="2"/>
  <c r="Z32" i="11" s="1"/>
  <c r="Y316" i="2"/>
  <c r="Y32" i="11" s="1"/>
  <c r="X316" i="2"/>
  <c r="X32" i="11" s="1"/>
  <c r="W316" i="2"/>
  <c r="W32" i="11" s="1"/>
  <c r="V316" i="2"/>
  <c r="V32" i="11" s="1"/>
  <c r="U316" i="2"/>
  <c r="U32" i="11" s="1"/>
  <c r="AC315" i="2"/>
  <c r="AC31" i="11" s="1"/>
  <c r="AA315" i="2"/>
  <c r="Z315" i="2"/>
  <c r="Z31" i="11" s="1"/>
  <c r="Y315" i="2"/>
  <c r="Y31" i="11" s="1"/>
  <c r="X315" i="2"/>
  <c r="X31" i="11" s="1"/>
  <c r="W315" i="2"/>
  <c r="W31" i="11" s="1"/>
  <c r="V315" i="2"/>
  <c r="V31" i="11" s="1"/>
  <c r="U315" i="2"/>
  <c r="U31" i="11" s="1"/>
  <c r="AC314" i="2"/>
  <c r="AC30" i="11" s="1"/>
  <c r="AA314" i="2"/>
  <c r="Z314" i="2"/>
  <c r="Z30" i="11" s="1"/>
  <c r="Y314" i="2"/>
  <c r="Y30" i="11" s="1"/>
  <c r="X314" i="2"/>
  <c r="X30" i="11" s="1"/>
  <c r="W314" i="2"/>
  <c r="W30" i="11" s="1"/>
  <c r="V314" i="2"/>
  <c r="V30" i="11" s="1"/>
  <c r="U314" i="2"/>
  <c r="U30" i="11" s="1"/>
  <c r="AC313" i="2"/>
  <c r="AC29" i="11" s="1"/>
  <c r="AA313" i="2"/>
  <c r="Z313" i="2"/>
  <c r="Z29" i="11" s="1"/>
  <c r="Y313" i="2"/>
  <c r="Y29" i="11" s="1"/>
  <c r="X313" i="2"/>
  <c r="X29" i="11" s="1"/>
  <c r="W313" i="2"/>
  <c r="W29" i="11" s="1"/>
  <c r="V313" i="2"/>
  <c r="V29" i="11" s="1"/>
  <c r="U313" i="2"/>
  <c r="U29" i="11" s="1"/>
  <c r="AC312" i="2"/>
  <c r="AC28" i="11" s="1"/>
  <c r="AA312" i="2"/>
  <c r="Z312" i="2"/>
  <c r="Z28" i="11" s="1"/>
  <c r="Y312" i="2"/>
  <c r="Y28" i="11" s="1"/>
  <c r="X312" i="2"/>
  <c r="X28" i="11" s="1"/>
  <c r="W312" i="2"/>
  <c r="W28" i="11" s="1"/>
  <c r="V312" i="2"/>
  <c r="V28" i="11" s="1"/>
  <c r="U312" i="2"/>
  <c r="U28" i="11" s="1"/>
  <c r="AC311" i="2"/>
  <c r="AC27" i="11" s="1"/>
  <c r="AA311" i="2"/>
  <c r="Z311" i="2"/>
  <c r="Z27" i="11" s="1"/>
  <c r="Y311" i="2"/>
  <c r="Y27" i="11" s="1"/>
  <c r="X311" i="2"/>
  <c r="X27" i="11" s="1"/>
  <c r="W311" i="2"/>
  <c r="W27" i="11" s="1"/>
  <c r="V311" i="2"/>
  <c r="V27" i="11" s="1"/>
  <c r="U311" i="2"/>
  <c r="U27" i="11" s="1"/>
  <c r="AC310" i="2"/>
  <c r="AC26" i="11" s="1"/>
  <c r="AA310" i="2"/>
  <c r="Z310" i="2"/>
  <c r="Z26" i="11" s="1"/>
  <c r="Y310" i="2"/>
  <c r="Y26" i="11" s="1"/>
  <c r="X310" i="2"/>
  <c r="X26" i="11" s="1"/>
  <c r="W310" i="2"/>
  <c r="W26" i="11" s="1"/>
  <c r="V310" i="2"/>
  <c r="V26" i="11" s="1"/>
  <c r="U310" i="2"/>
  <c r="U26" i="11" s="1"/>
  <c r="AC309" i="2"/>
  <c r="AC25" i="11" s="1"/>
  <c r="AA309" i="2"/>
  <c r="Z309" i="2"/>
  <c r="Z25" i="11" s="1"/>
  <c r="Y309" i="2"/>
  <c r="Y25" i="11" s="1"/>
  <c r="X309" i="2"/>
  <c r="X25" i="11" s="1"/>
  <c r="W309" i="2"/>
  <c r="W25" i="11" s="1"/>
  <c r="V309" i="2"/>
  <c r="V25" i="11" s="1"/>
  <c r="U309" i="2"/>
  <c r="U25" i="11" s="1"/>
  <c r="AC308" i="2"/>
  <c r="AC24" i="11" s="1"/>
  <c r="AA308" i="2"/>
  <c r="Z308" i="2"/>
  <c r="Z24" i="11" s="1"/>
  <c r="Y308" i="2"/>
  <c r="Y24" i="11" s="1"/>
  <c r="X308" i="2"/>
  <c r="X24" i="11" s="1"/>
  <c r="W308" i="2"/>
  <c r="W24" i="11" s="1"/>
  <c r="V308" i="2"/>
  <c r="V24" i="11" s="1"/>
  <c r="U308" i="2"/>
  <c r="U24" i="11" s="1"/>
  <c r="AC307" i="2"/>
  <c r="AC23" i="11" s="1"/>
  <c r="AA307" i="2"/>
  <c r="Z307" i="2"/>
  <c r="Z23" i="11" s="1"/>
  <c r="Y307" i="2"/>
  <c r="Y23" i="11" s="1"/>
  <c r="X307" i="2"/>
  <c r="X23" i="11" s="1"/>
  <c r="W307" i="2"/>
  <c r="W23" i="11" s="1"/>
  <c r="V307" i="2"/>
  <c r="V23" i="11" s="1"/>
  <c r="U307" i="2"/>
  <c r="U23" i="11" s="1"/>
  <c r="AC306" i="2"/>
  <c r="AC22" i="11" s="1"/>
  <c r="AA306" i="2"/>
  <c r="Z306" i="2"/>
  <c r="Z22" i="11" s="1"/>
  <c r="Y306" i="2"/>
  <c r="Y22" i="11" s="1"/>
  <c r="X306" i="2"/>
  <c r="X22" i="11" s="1"/>
  <c r="W306" i="2"/>
  <c r="W22" i="11" s="1"/>
  <c r="V306" i="2"/>
  <c r="V22" i="11" s="1"/>
  <c r="U306" i="2"/>
  <c r="U22" i="11" s="1"/>
  <c r="AC305" i="2"/>
  <c r="AC21" i="11" s="1"/>
  <c r="AA305" i="2"/>
  <c r="Z305" i="2"/>
  <c r="Z21" i="11" s="1"/>
  <c r="Y305" i="2"/>
  <c r="Y21" i="11" s="1"/>
  <c r="X305" i="2"/>
  <c r="X21" i="11" s="1"/>
  <c r="W305" i="2"/>
  <c r="W21" i="11" s="1"/>
  <c r="V305" i="2"/>
  <c r="V21" i="11" s="1"/>
  <c r="U305" i="2"/>
  <c r="U21" i="11" s="1"/>
  <c r="AC304" i="2"/>
  <c r="AC20" i="11" s="1"/>
  <c r="AA304" i="2"/>
  <c r="Z304" i="2"/>
  <c r="Z20" i="11" s="1"/>
  <c r="Y304" i="2"/>
  <c r="Y20" i="11" s="1"/>
  <c r="X304" i="2"/>
  <c r="X20" i="11" s="1"/>
  <c r="W304" i="2"/>
  <c r="W20" i="11" s="1"/>
  <c r="V304" i="2"/>
  <c r="V20" i="11" s="1"/>
  <c r="U304" i="2"/>
  <c r="U20" i="11" s="1"/>
  <c r="AC303" i="2"/>
  <c r="AC19" i="11" s="1"/>
  <c r="AA303" i="2"/>
  <c r="Z303" i="2"/>
  <c r="Z19" i="11" s="1"/>
  <c r="Y303" i="2"/>
  <c r="Y19" i="11" s="1"/>
  <c r="X303" i="2"/>
  <c r="X19" i="11" s="1"/>
  <c r="W303" i="2"/>
  <c r="W19" i="11" s="1"/>
  <c r="V303" i="2"/>
  <c r="V19" i="11" s="1"/>
  <c r="U303" i="2"/>
  <c r="U19" i="11" s="1"/>
  <c r="AC302" i="2"/>
  <c r="AC18" i="11" s="1"/>
  <c r="AA302" i="2"/>
  <c r="Z302" i="2"/>
  <c r="Z18" i="11" s="1"/>
  <c r="Y302" i="2"/>
  <c r="Y18" i="11" s="1"/>
  <c r="X302" i="2"/>
  <c r="X18" i="11" s="1"/>
  <c r="W302" i="2"/>
  <c r="W18" i="11" s="1"/>
  <c r="V302" i="2"/>
  <c r="V18" i="11" s="1"/>
  <c r="U302" i="2"/>
  <c r="U18" i="11" s="1"/>
  <c r="AC301" i="2"/>
  <c r="AC17" i="11" s="1"/>
  <c r="AA301" i="2"/>
  <c r="Z301" i="2"/>
  <c r="Z17" i="11" s="1"/>
  <c r="Y301" i="2"/>
  <c r="Y17" i="11" s="1"/>
  <c r="X301" i="2"/>
  <c r="X17" i="11" s="1"/>
  <c r="W301" i="2"/>
  <c r="W17" i="11" s="1"/>
  <c r="V301" i="2"/>
  <c r="V17" i="11" s="1"/>
  <c r="U301" i="2"/>
  <c r="U17" i="11" s="1"/>
  <c r="AC300" i="2"/>
  <c r="AC16" i="11" s="1"/>
  <c r="AA300" i="2"/>
  <c r="Z300" i="2"/>
  <c r="Z16" i="11" s="1"/>
  <c r="Y300" i="2"/>
  <c r="Y16" i="11" s="1"/>
  <c r="X300" i="2"/>
  <c r="X16" i="11" s="1"/>
  <c r="W300" i="2"/>
  <c r="W16" i="11" s="1"/>
  <c r="V300" i="2"/>
  <c r="V16" i="11" s="1"/>
  <c r="U300" i="2"/>
  <c r="U16" i="11" s="1"/>
  <c r="AC299" i="2"/>
  <c r="AC15" i="11" s="1"/>
  <c r="AA299" i="2"/>
  <c r="Z299" i="2"/>
  <c r="Z15" i="11" s="1"/>
  <c r="Y299" i="2"/>
  <c r="Y15" i="11" s="1"/>
  <c r="X299" i="2"/>
  <c r="X15" i="11" s="1"/>
  <c r="W299" i="2"/>
  <c r="W15" i="11" s="1"/>
  <c r="V299" i="2"/>
  <c r="V15" i="11" s="1"/>
  <c r="U299" i="2"/>
  <c r="U15" i="11" s="1"/>
  <c r="AC298" i="2"/>
  <c r="AC14" i="11" s="1"/>
  <c r="AA298" i="2"/>
  <c r="Z298" i="2"/>
  <c r="Z14" i="11" s="1"/>
  <c r="Y298" i="2"/>
  <c r="Y14" i="11" s="1"/>
  <c r="X298" i="2"/>
  <c r="X14" i="11" s="1"/>
  <c r="W298" i="2"/>
  <c r="W14" i="11" s="1"/>
  <c r="V298" i="2"/>
  <c r="V14" i="11" s="1"/>
  <c r="U298" i="2"/>
  <c r="U14" i="11" s="1"/>
  <c r="AC297" i="2"/>
  <c r="AC13" i="11" s="1"/>
  <c r="AA297" i="2"/>
  <c r="Z297" i="2"/>
  <c r="Z13" i="11" s="1"/>
  <c r="Y297" i="2"/>
  <c r="Y13" i="11" s="1"/>
  <c r="X297" i="2"/>
  <c r="X13" i="11" s="1"/>
  <c r="W297" i="2"/>
  <c r="W13" i="11" s="1"/>
  <c r="V297" i="2"/>
  <c r="V13" i="11" s="1"/>
  <c r="U297" i="2"/>
  <c r="U13" i="11" s="1"/>
  <c r="AC296" i="2"/>
  <c r="AC12" i="11" s="1"/>
  <c r="AA296" i="2"/>
  <c r="Z296" i="2"/>
  <c r="Z12" i="11" s="1"/>
  <c r="Y296" i="2"/>
  <c r="Y12" i="11" s="1"/>
  <c r="X296" i="2"/>
  <c r="X12" i="11" s="1"/>
  <c r="W296" i="2"/>
  <c r="W12" i="11" s="1"/>
  <c r="V296" i="2"/>
  <c r="V12" i="11" s="1"/>
  <c r="U296" i="2"/>
  <c r="U12" i="11" s="1"/>
  <c r="AC295" i="2"/>
  <c r="AC11" i="11" s="1"/>
  <c r="AA295" i="2"/>
  <c r="Z295" i="2"/>
  <c r="Z11" i="11" s="1"/>
  <c r="Y295" i="2"/>
  <c r="Y11" i="11" s="1"/>
  <c r="X295" i="2"/>
  <c r="X11" i="11" s="1"/>
  <c r="W295" i="2"/>
  <c r="W11" i="11" s="1"/>
  <c r="V295" i="2"/>
  <c r="V11" i="11" s="1"/>
  <c r="U295" i="2"/>
  <c r="U11" i="11" s="1"/>
  <c r="AC294" i="2"/>
  <c r="AC10" i="11" s="1"/>
  <c r="AA294" i="2"/>
  <c r="Z294" i="2"/>
  <c r="Z10" i="11" s="1"/>
  <c r="Y294" i="2"/>
  <c r="Y10" i="11" s="1"/>
  <c r="X294" i="2"/>
  <c r="X10" i="11" s="1"/>
  <c r="W294" i="2"/>
  <c r="W10" i="11" s="1"/>
  <c r="V294" i="2"/>
  <c r="V10" i="11" s="1"/>
  <c r="U294" i="2"/>
  <c r="U10" i="11" s="1"/>
  <c r="AC293" i="2"/>
  <c r="AC9" i="11" s="1"/>
  <c r="AA293" i="2"/>
  <c r="Z293" i="2"/>
  <c r="Z9" i="11" s="1"/>
  <c r="Y293" i="2"/>
  <c r="Y9" i="11" s="1"/>
  <c r="X293" i="2"/>
  <c r="X9" i="11" s="1"/>
  <c r="W293" i="2"/>
  <c r="W9" i="11" s="1"/>
  <c r="V293" i="2"/>
  <c r="V9" i="11" s="1"/>
  <c r="U293" i="2"/>
  <c r="U9" i="11" s="1"/>
  <c r="AC292" i="2"/>
  <c r="AC8" i="11" s="1"/>
  <c r="AA292" i="2"/>
  <c r="Z292" i="2"/>
  <c r="Z8" i="11" s="1"/>
  <c r="Y292" i="2"/>
  <c r="Y8" i="11" s="1"/>
  <c r="X292" i="2"/>
  <c r="X8" i="11" s="1"/>
  <c r="W292" i="2"/>
  <c r="W8" i="11" s="1"/>
  <c r="V292" i="2"/>
  <c r="V8" i="11" s="1"/>
  <c r="U292" i="2"/>
  <c r="U8" i="11" s="1"/>
  <c r="AC291" i="2"/>
  <c r="AC49" i="10" s="1"/>
  <c r="AA291" i="2"/>
  <c r="Z291" i="2"/>
  <c r="Z49" i="10" s="1"/>
  <c r="Y291" i="2"/>
  <c r="Y49" i="10" s="1"/>
  <c r="X291" i="2"/>
  <c r="X49" i="10" s="1"/>
  <c r="W291" i="2"/>
  <c r="W49" i="10" s="1"/>
  <c r="V291" i="2"/>
  <c r="V49" i="10" s="1"/>
  <c r="U291" i="2"/>
  <c r="U49" i="10" s="1"/>
  <c r="AC290" i="2"/>
  <c r="AC48" i="10" s="1"/>
  <c r="AA290" i="2"/>
  <c r="Z290" i="2"/>
  <c r="Z48" i="10" s="1"/>
  <c r="Y290" i="2"/>
  <c r="Y48" i="10" s="1"/>
  <c r="X290" i="2"/>
  <c r="X48" i="10" s="1"/>
  <c r="W290" i="2"/>
  <c r="W48" i="10" s="1"/>
  <c r="V290" i="2"/>
  <c r="V48" i="10" s="1"/>
  <c r="U290" i="2"/>
  <c r="U48" i="10" s="1"/>
  <c r="AC289" i="2"/>
  <c r="AC47" i="10" s="1"/>
  <c r="AA289" i="2"/>
  <c r="Z289" i="2"/>
  <c r="Z47" i="10" s="1"/>
  <c r="Y289" i="2"/>
  <c r="Y47" i="10" s="1"/>
  <c r="X289" i="2"/>
  <c r="X47" i="10" s="1"/>
  <c r="W289" i="2"/>
  <c r="W47" i="10" s="1"/>
  <c r="V289" i="2"/>
  <c r="V47" i="10" s="1"/>
  <c r="U289" i="2"/>
  <c r="U47" i="10" s="1"/>
  <c r="AC288" i="2"/>
  <c r="AC46" i="10" s="1"/>
  <c r="AA288" i="2"/>
  <c r="Z288" i="2"/>
  <c r="Z46" i="10" s="1"/>
  <c r="Y288" i="2"/>
  <c r="Y46" i="10" s="1"/>
  <c r="X288" i="2"/>
  <c r="X46" i="10" s="1"/>
  <c r="W288" i="2"/>
  <c r="W46" i="10" s="1"/>
  <c r="V288" i="2"/>
  <c r="V46" i="10" s="1"/>
  <c r="U288" i="2"/>
  <c r="U46" i="10" s="1"/>
  <c r="AC287" i="2"/>
  <c r="AC45" i="10" s="1"/>
  <c r="AA287" i="2"/>
  <c r="Z287" i="2"/>
  <c r="Z45" i="10" s="1"/>
  <c r="Y287" i="2"/>
  <c r="Y45" i="10" s="1"/>
  <c r="X287" i="2"/>
  <c r="X45" i="10" s="1"/>
  <c r="W287" i="2"/>
  <c r="W45" i="10" s="1"/>
  <c r="V287" i="2"/>
  <c r="V45" i="10" s="1"/>
  <c r="U287" i="2"/>
  <c r="U45" i="10" s="1"/>
  <c r="AC286" i="2"/>
  <c r="AC44" i="10" s="1"/>
  <c r="AA286" i="2"/>
  <c r="Z286" i="2"/>
  <c r="Z44" i="10" s="1"/>
  <c r="Y286" i="2"/>
  <c r="Y44" i="10" s="1"/>
  <c r="X286" i="2"/>
  <c r="X44" i="10" s="1"/>
  <c r="W286" i="2"/>
  <c r="W44" i="10" s="1"/>
  <c r="V286" i="2"/>
  <c r="V44" i="10" s="1"/>
  <c r="U286" i="2"/>
  <c r="U44" i="10" s="1"/>
  <c r="AC285" i="2"/>
  <c r="AC43" i="10" s="1"/>
  <c r="AA285" i="2"/>
  <c r="Z285" i="2"/>
  <c r="Z43" i="10" s="1"/>
  <c r="Y285" i="2"/>
  <c r="Y43" i="10" s="1"/>
  <c r="X285" i="2"/>
  <c r="X43" i="10" s="1"/>
  <c r="W285" i="2"/>
  <c r="W43" i="10" s="1"/>
  <c r="V285" i="2"/>
  <c r="V43" i="10" s="1"/>
  <c r="U285" i="2"/>
  <c r="U43" i="10" s="1"/>
  <c r="AC284" i="2"/>
  <c r="AC42" i="10" s="1"/>
  <c r="AA284" i="2"/>
  <c r="Z284" i="2"/>
  <c r="Z42" i="10" s="1"/>
  <c r="Y284" i="2"/>
  <c r="Y42" i="10" s="1"/>
  <c r="X284" i="2"/>
  <c r="X42" i="10" s="1"/>
  <c r="W284" i="2"/>
  <c r="W42" i="10" s="1"/>
  <c r="V284" i="2"/>
  <c r="V42" i="10" s="1"/>
  <c r="U284" i="2"/>
  <c r="U42" i="10" s="1"/>
  <c r="AC283" i="2"/>
  <c r="AC41" i="10" s="1"/>
  <c r="AA283" i="2"/>
  <c r="Z283" i="2"/>
  <c r="Z41" i="10" s="1"/>
  <c r="Y283" i="2"/>
  <c r="Y41" i="10" s="1"/>
  <c r="X283" i="2"/>
  <c r="X41" i="10" s="1"/>
  <c r="W283" i="2"/>
  <c r="W41" i="10" s="1"/>
  <c r="V283" i="2"/>
  <c r="V41" i="10" s="1"/>
  <c r="U283" i="2"/>
  <c r="U41" i="10" s="1"/>
  <c r="AC282" i="2"/>
  <c r="AC40" i="10" s="1"/>
  <c r="AA282" i="2"/>
  <c r="Z282" i="2"/>
  <c r="Z40" i="10" s="1"/>
  <c r="Y282" i="2"/>
  <c r="Y40" i="10" s="1"/>
  <c r="X282" i="2"/>
  <c r="X40" i="10" s="1"/>
  <c r="W282" i="2"/>
  <c r="W40" i="10" s="1"/>
  <c r="V282" i="2"/>
  <c r="V40" i="10" s="1"/>
  <c r="U282" i="2"/>
  <c r="U40" i="10" s="1"/>
  <c r="AC281" i="2"/>
  <c r="AC39" i="10" s="1"/>
  <c r="AA281" i="2"/>
  <c r="Z281" i="2"/>
  <c r="Z39" i="10" s="1"/>
  <c r="Y281" i="2"/>
  <c r="Y39" i="10" s="1"/>
  <c r="X281" i="2"/>
  <c r="X39" i="10" s="1"/>
  <c r="W281" i="2"/>
  <c r="W39" i="10" s="1"/>
  <c r="V281" i="2"/>
  <c r="V39" i="10" s="1"/>
  <c r="U281" i="2"/>
  <c r="U39" i="10" s="1"/>
  <c r="AC280" i="2"/>
  <c r="AC38" i="10" s="1"/>
  <c r="AA280" i="2"/>
  <c r="Z280" i="2"/>
  <c r="Z38" i="10" s="1"/>
  <c r="Y280" i="2"/>
  <c r="Y38" i="10" s="1"/>
  <c r="X280" i="2"/>
  <c r="X38" i="10" s="1"/>
  <c r="W280" i="2"/>
  <c r="W38" i="10" s="1"/>
  <c r="V280" i="2"/>
  <c r="V38" i="10" s="1"/>
  <c r="U280" i="2"/>
  <c r="U38" i="10" s="1"/>
  <c r="AC279" i="2"/>
  <c r="AC37" i="10" s="1"/>
  <c r="AA279" i="2"/>
  <c r="Z279" i="2"/>
  <c r="Z37" i="10" s="1"/>
  <c r="Y279" i="2"/>
  <c r="Y37" i="10" s="1"/>
  <c r="X279" i="2"/>
  <c r="X37" i="10" s="1"/>
  <c r="W279" i="2"/>
  <c r="W37" i="10" s="1"/>
  <c r="V279" i="2"/>
  <c r="V37" i="10" s="1"/>
  <c r="U279" i="2"/>
  <c r="U37" i="10" s="1"/>
  <c r="AC278" i="2"/>
  <c r="AC36" i="10" s="1"/>
  <c r="AA278" i="2"/>
  <c r="Z278" i="2"/>
  <c r="Z36" i="10" s="1"/>
  <c r="Y278" i="2"/>
  <c r="Y36" i="10" s="1"/>
  <c r="X278" i="2"/>
  <c r="X36" i="10" s="1"/>
  <c r="W278" i="2"/>
  <c r="W36" i="10" s="1"/>
  <c r="V278" i="2"/>
  <c r="V36" i="10" s="1"/>
  <c r="U278" i="2"/>
  <c r="U36" i="10" s="1"/>
  <c r="AC277" i="2"/>
  <c r="AC35" i="10" s="1"/>
  <c r="AA277" i="2"/>
  <c r="Z277" i="2"/>
  <c r="Z35" i="10" s="1"/>
  <c r="Y277" i="2"/>
  <c r="Y35" i="10" s="1"/>
  <c r="X277" i="2"/>
  <c r="X35" i="10" s="1"/>
  <c r="W277" i="2"/>
  <c r="W35" i="10" s="1"/>
  <c r="V277" i="2"/>
  <c r="V35" i="10" s="1"/>
  <c r="U277" i="2"/>
  <c r="U35" i="10" s="1"/>
  <c r="AC276" i="2"/>
  <c r="AC34" i="10" s="1"/>
  <c r="AA276" i="2"/>
  <c r="Z276" i="2"/>
  <c r="Z34" i="10" s="1"/>
  <c r="Y276" i="2"/>
  <c r="Y34" i="10" s="1"/>
  <c r="X276" i="2"/>
  <c r="X34" i="10" s="1"/>
  <c r="W276" i="2"/>
  <c r="W34" i="10" s="1"/>
  <c r="V276" i="2"/>
  <c r="V34" i="10" s="1"/>
  <c r="U276" i="2"/>
  <c r="U34" i="10" s="1"/>
  <c r="AC275" i="2"/>
  <c r="AC33" i="10" s="1"/>
  <c r="AA275" i="2"/>
  <c r="Z275" i="2"/>
  <c r="Z33" i="10" s="1"/>
  <c r="Y275" i="2"/>
  <c r="Y33" i="10" s="1"/>
  <c r="X275" i="2"/>
  <c r="X33" i="10" s="1"/>
  <c r="W275" i="2"/>
  <c r="W33" i="10" s="1"/>
  <c r="V275" i="2"/>
  <c r="V33" i="10" s="1"/>
  <c r="U275" i="2"/>
  <c r="U33" i="10" s="1"/>
  <c r="AC274" i="2"/>
  <c r="AC32" i="10" s="1"/>
  <c r="AA274" i="2"/>
  <c r="Z274" i="2"/>
  <c r="Z32" i="10" s="1"/>
  <c r="Y274" i="2"/>
  <c r="Y32" i="10" s="1"/>
  <c r="X274" i="2"/>
  <c r="X32" i="10" s="1"/>
  <c r="W274" i="2"/>
  <c r="W32" i="10" s="1"/>
  <c r="V274" i="2"/>
  <c r="V32" i="10" s="1"/>
  <c r="U274" i="2"/>
  <c r="U32" i="10" s="1"/>
  <c r="AC273" i="2"/>
  <c r="AC31" i="10" s="1"/>
  <c r="AA273" i="2"/>
  <c r="Z273" i="2"/>
  <c r="Z31" i="10" s="1"/>
  <c r="Y273" i="2"/>
  <c r="Y31" i="10" s="1"/>
  <c r="X273" i="2"/>
  <c r="X31" i="10" s="1"/>
  <c r="W273" i="2"/>
  <c r="W31" i="10" s="1"/>
  <c r="V273" i="2"/>
  <c r="V31" i="10" s="1"/>
  <c r="U273" i="2"/>
  <c r="U31" i="10" s="1"/>
  <c r="AC272" i="2"/>
  <c r="AC30" i="10" s="1"/>
  <c r="AA272" i="2"/>
  <c r="Z272" i="2"/>
  <c r="Z30" i="10" s="1"/>
  <c r="Y272" i="2"/>
  <c r="Y30" i="10" s="1"/>
  <c r="X272" i="2"/>
  <c r="X30" i="10" s="1"/>
  <c r="W272" i="2"/>
  <c r="W30" i="10" s="1"/>
  <c r="V272" i="2"/>
  <c r="V30" i="10" s="1"/>
  <c r="U272" i="2"/>
  <c r="U30" i="10" s="1"/>
  <c r="AC271" i="2"/>
  <c r="AC29" i="10" s="1"/>
  <c r="AA271" i="2"/>
  <c r="Z271" i="2"/>
  <c r="Z29" i="10" s="1"/>
  <c r="Y271" i="2"/>
  <c r="Y29" i="10" s="1"/>
  <c r="X271" i="2"/>
  <c r="X29" i="10" s="1"/>
  <c r="W271" i="2"/>
  <c r="W29" i="10" s="1"/>
  <c r="V271" i="2"/>
  <c r="V29" i="10" s="1"/>
  <c r="U271" i="2"/>
  <c r="U29" i="10" s="1"/>
  <c r="AC270" i="2"/>
  <c r="AC28" i="10" s="1"/>
  <c r="AA270" i="2"/>
  <c r="Z270" i="2"/>
  <c r="Z28" i="10" s="1"/>
  <c r="Y270" i="2"/>
  <c r="Y28" i="10" s="1"/>
  <c r="X270" i="2"/>
  <c r="X28" i="10" s="1"/>
  <c r="W270" i="2"/>
  <c r="W28" i="10" s="1"/>
  <c r="V270" i="2"/>
  <c r="V28" i="10" s="1"/>
  <c r="U270" i="2"/>
  <c r="U28" i="10" s="1"/>
  <c r="AC269" i="2"/>
  <c r="AC27" i="10" s="1"/>
  <c r="AA269" i="2"/>
  <c r="Z269" i="2"/>
  <c r="Z27" i="10" s="1"/>
  <c r="Y269" i="2"/>
  <c r="Y27" i="10" s="1"/>
  <c r="X269" i="2"/>
  <c r="X27" i="10" s="1"/>
  <c r="W269" i="2"/>
  <c r="W27" i="10" s="1"/>
  <c r="V269" i="2"/>
  <c r="V27" i="10" s="1"/>
  <c r="U269" i="2"/>
  <c r="U27" i="10" s="1"/>
  <c r="AC268" i="2"/>
  <c r="AC26" i="10" s="1"/>
  <c r="AA268" i="2"/>
  <c r="Z268" i="2"/>
  <c r="Z26" i="10" s="1"/>
  <c r="Y268" i="2"/>
  <c r="Y26" i="10" s="1"/>
  <c r="X268" i="2"/>
  <c r="X26" i="10" s="1"/>
  <c r="W268" i="2"/>
  <c r="W26" i="10" s="1"/>
  <c r="V268" i="2"/>
  <c r="V26" i="10" s="1"/>
  <c r="U268" i="2"/>
  <c r="U26" i="10" s="1"/>
  <c r="AC267" i="2"/>
  <c r="AC25" i="10" s="1"/>
  <c r="AA267" i="2"/>
  <c r="Z267" i="2"/>
  <c r="Z25" i="10" s="1"/>
  <c r="Y267" i="2"/>
  <c r="Y25" i="10" s="1"/>
  <c r="X267" i="2"/>
  <c r="X25" i="10" s="1"/>
  <c r="W267" i="2"/>
  <c r="W25" i="10" s="1"/>
  <c r="V267" i="2"/>
  <c r="V25" i="10" s="1"/>
  <c r="U267" i="2"/>
  <c r="U25" i="10" s="1"/>
  <c r="AC266" i="2"/>
  <c r="AC24" i="10" s="1"/>
  <c r="AA266" i="2"/>
  <c r="Z266" i="2"/>
  <c r="Z24" i="10" s="1"/>
  <c r="Y266" i="2"/>
  <c r="Y24" i="10" s="1"/>
  <c r="X266" i="2"/>
  <c r="X24" i="10" s="1"/>
  <c r="W266" i="2"/>
  <c r="W24" i="10" s="1"/>
  <c r="V266" i="2"/>
  <c r="V24" i="10" s="1"/>
  <c r="U266" i="2"/>
  <c r="U24" i="10" s="1"/>
  <c r="AC265" i="2"/>
  <c r="AC23" i="10" s="1"/>
  <c r="AA265" i="2"/>
  <c r="Z265" i="2"/>
  <c r="Z23" i="10" s="1"/>
  <c r="Y265" i="2"/>
  <c r="Y23" i="10" s="1"/>
  <c r="X265" i="2"/>
  <c r="X23" i="10" s="1"/>
  <c r="W265" i="2"/>
  <c r="W23" i="10" s="1"/>
  <c r="V265" i="2"/>
  <c r="V23" i="10" s="1"/>
  <c r="U265" i="2"/>
  <c r="U23" i="10" s="1"/>
  <c r="AC264" i="2"/>
  <c r="AC22" i="10" s="1"/>
  <c r="AA264" i="2"/>
  <c r="Z264" i="2"/>
  <c r="Z22" i="10" s="1"/>
  <c r="Y264" i="2"/>
  <c r="Y22" i="10" s="1"/>
  <c r="X264" i="2"/>
  <c r="X22" i="10" s="1"/>
  <c r="W264" i="2"/>
  <c r="W22" i="10" s="1"/>
  <c r="V264" i="2"/>
  <c r="V22" i="10" s="1"/>
  <c r="U264" i="2"/>
  <c r="U22" i="10" s="1"/>
  <c r="AC263" i="2"/>
  <c r="AC21" i="10" s="1"/>
  <c r="AA263" i="2"/>
  <c r="Z263" i="2"/>
  <c r="Z21" i="10" s="1"/>
  <c r="Y263" i="2"/>
  <c r="Y21" i="10" s="1"/>
  <c r="X263" i="2"/>
  <c r="X21" i="10" s="1"/>
  <c r="W263" i="2"/>
  <c r="W21" i="10" s="1"/>
  <c r="V263" i="2"/>
  <c r="V21" i="10" s="1"/>
  <c r="U263" i="2"/>
  <c r="U21" i="10" s="1"/>
  <c r="AC262" i="2"/>
  <c r="AC20" i="10" s="1"/>
  <c r="AA262" i="2"/>
  <c r="Z262" i="2"/>
  <c r="Z20" i="10" s="1"/>
  <c r="Y262" i="2"/>
  <c r="Y20" i="10" s="1"/>
  <c r="X262" i="2"/>
  <c r="X20" i="10" s="1"/>
  <c r="W262" i="2"/>
  <c r="W20" i="10" s="1"/>
  <c r="V262" i="2"/>
  <c r="V20" i="10" s="1"/>
  <c r="U262" i="2"/>
  <c r="U20" i="10" s="1"/>
  <c r="AC261" i="2"/>
  <c r="AC19" i="10" s="1"/>
  <c r="AA261" i="2"/>
  <c r="Z261" i="2"/>
  <c r="Z19" i="10" s="1"/>
  <c r="Y261" i="2"/>
  <c r="Y19" i="10" s="1"/>
  <c r="X261" i="2"/>
  <c r="X19" i="10" s="1"/>
  <c r="W261" i="2"/>
  <c r="W19" i="10" s="1"/>
  <c r="V261" i="2"/>
  <c r="V19" i="10" s="1"/>
  <c r="U261" i="2"/>
  <c r="U19" i="10" s="1"/>
  <c r="AC260" i="2"/>
  <c r="AC37" i="9" s="1"/>
  <c r="AA260" i="2"/>
  <c r="Z260" i="2"/>
  <c r="Z37" i="9" s="1"/>
  <c r="Y260" i="2"/>
  <c r="Y37" i="9" s="1"/>
  <c r="X260" i="2"/>
  <c r="X37" i="9" s="1"/>
  <c r="W260" i="2"/>
  <c r="W37" i="9" s="1"/>
  <c r="V260" i="2"/>
  <c r="V37" i="9" s="1"/>
  <c r="U260" i="2"/>
  <c r="U37" i="9" s="1"/>
  <c r="AC259" i="2"/>
  <c r="AC36" i="9" s="1"/>
  <c r="AA259" i="2"/>
  <c r="Z259" i="2"/>
  <c r="Z36" i="9" s="1"/>
  <c r="Y259" i="2"/>
  <c r="Y36" i="9" s="1"/>
  <c r="X259" i="2"/>
  <c r="X36" i="9" s="1"/>
  <c r="W259" i="2"/>
  <c r="W36" i="9" s="1"/>
  <c r="V259" i="2"/>
  <c r="V36" i="9" s="1"/>
  <c r="U259" i="2"/>
  <c r="U36" i="9" s="1"/>
  <c r="AC258" i="2"/>
  <c r="AC35" i="9" s="1"/>
  <c r="AA258" i="2"/>
  <c r="Z258" i="2"/>
  <c r="Z35" i="9" s="1"/>
  <c r="Y258" i="2"/>
  <c r="Y35" i="9" s="1"/>
  <c r="X258" i="2"/>
  <c r="X35" i="9" s="1"/>
  <c r="W258" i="2"/>
  <c r="W35" i="9" s="1"/>
  <c r="V258" i="2"/>
  <c r="V35" i="9" s="1"/>
  <c r="U258" i="2"/>
  <c r="U35" i="9" s="1"/>
  <c r="AC257" i="2"/>
  <c r="AC34" i="9" s="1"/>
  <c r="AA257" i="2"/>
  <c r="Z257" i="2"/>
  <c r="Z34" i="9" s="1"/>
  <c r="Y257" i="2"/>
  <c r="Y34" i="9" s="1"/>
  <c r="X257" i="2"/>
  <c r="X34" i="9" s="1"/>
  <c r="W257" i="2"/>
  <c r="W34" i="9" s="1"/>
  <c r="V257" i="2"/>
  <c r="V34" i="9" s="1"/>
  <c r="U257" i="2"/>
  <c r="U34" i="9" s="1"/>
  <c r="AC256" i="2"/>
  <c r="AC33" i="9" s="1"/>
  <c r="AA256" i="2"/>
  <c r="Z256" i="2"/>
  <c r="Z33" i="9" s="1"/>
  <c r="Y256" i="2"/>
  <c r="Y33" i="9" s="1"/>
  <c r="X256" i="2"/>
  <c r="X33" i="9" s="1"/>
  <c r="W256" i="2"/>
  <c r="W33" i="9" s="1"/>
  <c r="V256" i="2"/>
  <c r="V33" i="9" s="1"/>
  <c r="U256" i="2"/>
  <c r="U33" i="9" s="1"/>
  <c r="AC255" i="2"/>
  <c r="AC32" i="9" s="1"/>
  <c r="AA255" i="2"/>
  <c r="Z255" i="2"/>
  <c r="Z32" i="9" s="1"/>
  <c r="Y255" i="2"/>
  <c r="Y32" i="9" s="1"/>
  <c r="X255" i="2"/>
  <c r="X32" i="9" s="1"/>
  <c r="W255" i="2"/>
  <c r="W32" i="9" s="1"/>
  <c r="V255" i="2"/>
  <c r="V32" i="9" s="1"/>
  <c r="U255" i="2"/>
  <c r="U32" i="9" s="1"/>
  <c r="AC254" i="2"/>
  <c r="AC31" i="9" s="1"/>
  <c r="AA254" i="2"/>
  <c r="Z254" i="2"/>
  <c r="Z31" i="9" s="1"/>
  <c r="Y254" i="2"/>
  <c r="Y31" i="9" s="1"/>
  <c r="X254" i="2"/>
  <c r="X31" i="9" s="1"/>
  <c r="W254" i="2"/>
  <c r="W31" i="9" s="1"/>
  <c r="V254" i="2"/>
  <c r="V31" i="9" s="1"/>
  <c r="U254" i="2"/>
  <c r="U31" i="9" s="1"/>
  <c r="AC253" i="2"/>
  <c r="AC30" i="9" s="1"/>
  <c r="AA253" i="2"/>
  <c r="Z253" i="2"/>
  <c r="Z30" i="9" s="1"/>
  <c r="Y253" i="2"/>
  <c r="Y30" i="9" s="1"/>
  <c r="X253" i="2"/>
  <c r="X30" i="9" s="1"/>
  <c r="W253" i="2"/>
  <c r="W30" i="9" s="1"/>
  <c r="V253" i="2"/>
  <c r="V30" i="9" s="1"/>
  <c r="U253" i="2"/>
  <c r="U30" i="9" s="1"/>
  <c r="AC252" i="2"/>
  <c r="AC29" i="9" s="1"/>
  <c r="AA252" i="2"/>
  <c r="Z252" i="2"/>
  <c r="Z29" i="9" s="1"/>
  <c r="Y252" i="2"/>
  <c r="Y29" i="9" s="1"/>
  <c r="X252" i="2"/>
  <c r="X29" i="9" s="1"/>
  <c r="W252" i="2"/>
  <c r="W29" i="9" s="1"/>
  <c r="V252" i="2"/>
  <c r="V29" i="9" s="1"/>
  <c r="U252" i="2"/>
  <c r="U29" i="9" s="1"/>
  <c r="AC251" i="2"/>
  <c r="AC28" i="9" s="1"/>
  <c r="AA251" i="2"/>
  <c r="Z251" i="2"/>
  <c r="Z28" i="9" s="1"/>
  <c r="Y251" i="2"/>
  <c r="Y28" i="9" s="1"/>
  <c r="X251" i="2"/>
  <c r="X28" i="9" s="1"/>
  <c r="W251" i="2"/>
  <c r="W28" i="9" s="1"/>
  <c r="V251" i="2"/>
  <c r="V28" i="9" s="1"/>
  <c r="U251" i="2"/>
  <c r="U28" i="9" s="1"/>
  <c r="AC250" i="2"/>
  <c r="AC27" i="9" s="1"/>
  <c r="AA250" i="2"/>
  <c r="Z250" i="2"/>
  <c r="Z27" i="9" s="1"/>
  <c r="Y250" i="2"/>
  <c r="Y27" i="9" s="1"/>
  <c r="X250" i="2"/>
  <c r="X27" i="9" s="1"/>
  <c r="W250" i="2"/>
  <c r="W27" i="9" s="1"/>
  <c r="V250" i="2"/>
  <c r="V27" i="9" s="1"/>
  <c r="U250" i="2"/>
  <c r="U27" i="9" s="1"/>
  <c r="AC249" i="2"/>
  <c r="AC26" i="9" s="1"/>
  <c r="AA249" i="2"/>
  <c r="Z249" i="2"/>
  <c r="Z26" i="9" s="1"/>
  <c r="Y249" i="2"/>
  <c r="Y26" i="9" s="1"/>
  <c r="X249" i="2"/>
  <c r="X26" i="9" s="1"/>
  <c r="W249" i="2"/>
  <c r="W26" i="9" s="1"/>
  <c r="V249" i="2"/>
  <c r="V26" i="9" s="1"/>
  <c r="U249" i="2"/>
  <c r="U26" i="9" s="1"/>
  <c r="AC248" i="2"/>
  <c r="AC25" i="9" s="1"/>
  <c r="AA248" i="2"/>
  <c r="Z248" i="2"/>
  <c r="Z25" i="9" s="1"/>
  <c r="Y248" i="2"/>
  <c r="Y25" i="9" s="1"/>
  <c r="X248" i="2"/>
  <c r="X25" i="9" s="1"/>
  <c r="W248" i="2"/>
  <c r="W25" i="9" s="1"/>
  <c r="V248" i="2"/>
  <c r="V25" i="9" s="1"/>
  <c r="U248" i="2"/>
  <c r="U25" i="9" s="1"/>
  <c r="AC247" i="2"/>
  <c r="AC24" i="9" s="1"/>
  <c r="AA247" i="2"/>
  <c r="Z247" i="2"/>
  <c r="Z24" i="9" s="1"/>
  <c r="Y247" i="2"/>
  <c r="Y24" i="9" s="1"/>
  <c r="X247" i="2"/>
  <c r="X24" i="9" s="1"/>
  <c r="W247" i="2"/>
  <c r="W24" i="9" s="1"/>
  <c r="V247" i="2"/>
  <c r="V24" i="9" s="1"/>
  <c r="U247" i="2"/>
  <c r="U24" i="9" s="1"/>
  <c r="AC246" i="2"/>
  <c r="AC23" i="9" s="1"/>
  <c r="AA246" i="2"/>
  <c r="Z246" i="2"/>
  <c r="Z23" i="9" s="1"/>
  <c r="Y246" i="2"/>
  <c r="Y23" i="9" s="1"/>
  <c r="X246" i="2"/>
  <c r="X23" i="9" s="1"/>
  <c r="W246" i="2"/>
  <c r="W23" i="9" s="1"/>
  <c r="V246" i="2"/>
  <c r="V23" i="9" s="1"/>
  <c r="U246" i="2"/>
  <c r="U23" i="9" s="1"/>
  <c r="AC245" i="2"/>
  <c r="AC22" i="9" s="1"/>
  <c r="AA245" i="2"/>
  <c r="Z245" i="2"/>
  <c r="Z22" i="9" s="1"/>
  <c r="Y245" i="2"/>
  <c r="Y22" i="9" s="1"/>
  <c r="X245" i="2"/>
  <c r="X22" i="9" s="1"/>
  <c r="W245" i="2"/>
  <c r="W22" i="9" s="1"/>
  <c r="V245" i="2"/>
  <c r="V22" i="9" s="1"/>
  <c r="U245" i="2"/>
  <c r="U22" i="9" s="1"/>
  <c r="AC244" i="2"/>
  <c r="AC21" i="9" s="1"/>
  <c r="AA244" i="2"/>
  <c r="Z244" i="2"/>
  <c r="Z21" i="9" s="1"/>
  <c r="Y244" i="2"/>
  <c r="Y21" i="9" s="1"/>
  <c r="X244" i="2"/>
  <c r="X21" i="9" s="1"/>
  <c r="W244" i="2"/>
  <c r="W21" i="9" s="1"/>
  <c r="V244" i="2"/>
  <c r="V21" i="9" s="1"/>
  <c r="U244" i="2"/>
  <c r="U21" i="9" s="1"/>
  <c r="AC243" i="2"/>
  <c r="AC20" i="9" s="1"/>
  <c r="AA243" i="2"/>
  <c r="Z243" i="2"/>
  <c r="Z20" i="9" s="1"/>
  <c r="Y243" i="2"/>
  <c r="Y20" i="9" s="1"/>
  <c r="X243" i="2"/>
  <c r="X20" i="9" s="1"/>
  <c r="W243" i="2"/>
  <c r="W20" i="9" s="1"/>
  <c r="V243" i="2"/>
  <c r="V20" i="9" s="1"/>
  <c r="U243" i="2"/>
  <c r="U20" i="9" s="1"/>
  <c r="AC242" i="2"/>
  <c r="AC19" i="9" s="1"/>
  <c r="AA242" i="2"/>
  <c r="Z242" i="2"/>
  <c r="Z19" i="9" s="1"/>
  <c r="Y242" i="2"/>
  <c r="Y19" i="9" s="1"/>
  <c r="X242" i="2"/>
  <c r="X19" i="9" s="1"/>
  <c r="W242" i="2"/>
  <c r="W19" i="9" s="1"/>
  <c r="V242" i="2"/>
  <c r="V19" i="9" s="1"/>
  <c r="U242" i="2"/>
  <c r="U19" i="9" s="1"/>
  <c r="AC241" i="2"/>
  <c r="AC18" i="9" s="1"/>
  <c r="AA241" i="2"/>
  <c r="Z241" i="2"/>
  <c r="Z18" i="9" s="1"/>
  <c r="Y241" i="2"/>
  <c r="Y18" i="9" s="1"/>
  <c r="X241" i="2"/>
  <c r="X18" i="9" s="1"/>
  <c r="W241" i="2"/>
  <c r="W18" i="9" s="1"/>
  <c r="V241" i="2"/>
  <c r="V18" i="9" s="1"/>
  <c r="U241" i="2"/>
  <c r="U18" i="9" s="1"/>
  <c r="AC240" i="2"/>
  <c r="AC17" i="9" s="1"/>
  <c r="AA240" i="2"/>
  <c r="Z240" i="2"/>
  <c r="Z17" i="9" s="1"/>
  <c r="Y240" i="2"/>
  <c r="Y17" i="9" s="1"/>
  <c r="X240" i="2"/>
  <c r="X17" i="9" s="1"/>
  <c r="W240" i="2"/>
  <c r="W17" i="9" s="1"/>
  <c r="V240" i="2"/>
  <c r="V17" i="9" s="1"/>
  <c r="U240" i="2"/>
  <c r="U17" i="9" s="1"/>
  <c r="AC239" i="2"/>
  <c r="AC16" i="9" s="1"/>
  <c r="AA239" i="2"/>
  <c r="Z239" i="2"/>
  <c r="Z16" i="9" s="1"/>
  <c r="Y239" i="2"/>
  <c r="Y16" i="9" s="1"/>
  <c r="X239" i="2"/>
  <c r="X16" i="9" s="1"/>
  <c r="W239" i="2"/>
  <c r="W16" i="9" s="1"/>
  <c r="V239" i="2"/>
  <c r="V16" i="9" s="1"/>
  <c r="U239" i="2"/>
  <c r="U16" i="9" s="1"/>
  <c r="AC238" i="2"/>
  <c r="AC15" i="9" s="1"/>
  <c r="AA238" i="2"/>
  <c r="Z238" i="2"/>
  <c r="Z15" i="9" s="1"/>
  <c r="Y238" i="2"/>
  <c r="Y15" i="9" s="1"/>
  <c r="X238" i="2"/>
  <c r="X15" i="9" s="1"/>
  <c r="W238" i="2"/>
  <c r="W15" i="9" s="1"/>
  <c r="V238" i="2"/>
  <c r="V15" i="9" s="1"/>
  <c r="U238" i="2"/>
  <c r="U15" i="9" s="1"/>
  <c r="AC237" i="2"/>
  <c r="AC14" i="9" s="1"/>
  <c r="AA237" i="2"/>
  <c r="Z237" i="2"/>
  <c r="Z14" i="9" s="1"/>
  <c r="Y237" i="2"/>
  <c r="Y14" i="9" s="1"/>
  <c r="X237" i="2"/>
  <c r="X14" i="9" s="1"/>
  <c r="W237" i="2"/>
  <c r="W14" i="9" s="1"/>
  <c r="V237" i="2"/>
  <c r="V14" i="9" s="1"/>
  <c r="U237" i="2"/>
  <c r="U14" i="9" s="1"/>
  <c r="AC236" i="2"/>
  <c r="AC13" i="9" s="1"/>
  <c r="AA236" i="2"/>
  <c r="Z236" i="2"/>
  <c r="Z13" i="9" s="1"/>
  <c r="Y236" i="2"/>
  <c r="Y13" i="9" s="1"/>
  <c r="X236" i="2"/>
  <c r="X13" i="9" s="1"/>
  <c r="W236" i="2"/>
  <c r="W13" i="9" s="1"/>
  <c r="V236" i="2"/>
  <c r="V13" i="9" s="1"/>
  <c r="U236" i="2"/>
  <c r="U13" i="9" s="1"/>
  <c r="AC235" i="2"/>
  <c r="AC12" i="9" s="1"/>
  <c r="AA235" i="2"/>
  <c r="Z235" i="2"/>
  <c r="Z12" i="9" s="1"/>
  <c r="Y235" i="2"/>
  <c r="Y12" i="9" s="1"/>
  <c r="X235" i="2"/>
  <c r="X12" i="9" s="1"/>
  <c r="W235" i="2"/>
  <c r="W12" i="9" s="1"/>
  <c r="V235" i="2"/>
  <c r="V12" i="9" s="1"/>
  <c r="U235" i="2"/>
  <c r="U12" i="9" s="1"/>
  <c r="AC234" i="2"/>
  <c r="AC18" i="8" s="1"/>
  <c r="AA234" i="2"/>
  <c r="Z234" i="2"/>
  <c r="Z18" i="8" s="1"/>
  <c r="Y234" i="2"/>
  <c r="Y18" i="8" s="1"/>
  <c r="X234" i="2"/>
  <c r="X18" i="8" s="1"/>
  <c r="W234" i="2"/>
  <c r="W18" i="8" s="1"/>
  <c r="V234" i="2"/>
  <c r="V18" i="8" s="1"/>
  <c r="U234" i="2"/>
  <c r="U18" i="8" s="1"/>
  <c r="AC233" i="2"/>
  <c r="AC17" i="8" s="1"/>
  <c r="AA233" i="2"/>
  <c r="Z233" i="2"/>
  <c r="Z17" i="8" s="1"/>
  <c r="Y233" i="2"/>
  <c r="Y17" i="8" s="1"/>
  <c r="X233" i="2"/>
  <c r="X17" i="8" s="1"/>
  <c r="W233" i="2"/>
  <c r="W17" i="8" s="1"/>
  <c r="V233" i="2"/>
  <c r="V17" i="8" s="1"/>
  <c r="U233" i="2"/>
  <c r="U17" i="8" s="1"/>
  <c r="AC232" i="2"/>
  <c r="AC16" i="8" s="1"/>
  <c r="AA232" i="2"/>
  <c r="Z232" i="2"/>
  <c r="Z16" i="8" s="1"/>
  <c r="Y232" i="2"/>
  <c r="Y16" i="8" s="1"/>
  <c r="X232" i="2"/>
  <c r="X16" i="8" s="1"/>
  <c r="W232" i="2"/>
  <c r="W16" i="8" s="1"/>
  <c r="V232" i="2"/>
  <c r="V16" i="8" s="1"/>
  <c r="U232" i="2"/>
  <c r="U16" i="8" s="1"/>
  <c r="AC231" i="2"/>
  <c r="AC15" i="8" s="1"/>
  <c r="AA231" i="2"/>
  <c r="Z231" i="2"/>
  <c r="Z15" i="8" s="1"/>
  <c r="Y231" i="2"/>
  <c r="Y15" i="8" s="1"/>
  <c r="X231" i="2"/>
  <c r="X15" i="8" s="1"/>
  <c r="W231" i="2"/>
  <c r="W15" i="8" s="1"/>
  <c r="V231" i="2"/>
  <c r="V15" i="8" s="1"/>
  <c r="U231" i="2"/>
  <c r="U15" i="8" s="1"/>
  <c r="AC230" i="2"/>
  <c r="AC14" i="8" s="1"/>
  <c r="AA230" i="2"/>
  <c r="Z230" i="2"/>
  <c r="Z14" i="8" s="1"/>
  <c r="Y230" i="2"/>
  <c r="Y14" i="8" s="1"/>
  <c r="X230" i="2"/>
  <c r="X14" i="8" s="1"/>
  <c r="W230" i="2"/>
  <c r="W14" i="8" s="1"/>
  <c r="V230" i="2"/>
  <c r="V14" i="8" s="1"/>
  <c r="U230" i="2"/>
  <c r="U14" i="8" s="1"/>
  <c r="AC229" i="2"/>
  <c r="AC13" i="8" s="1"/>
  <c r="AA229" i="2"/>
  <c r="Z229" i="2"/>
  <c r="Z13" i="8" s="1"/>
  <c r="Y229" i="2"/>
  <c r="Y13" i="8" s="1"/>
  <c r="X229" i="2"/>
  <c r="X13" i="8" s="1"/>
  <c r="W229" i="2"/>
  <c r="W13" i="8" s="1"/>
  <c r="V229" i="2"/>
  <c r="V13" i="8" s="1"/>
  <c r="U229" i="2"/>
  <c r="U13" i="8" s="1"/>
  <c r="AC228" i="2"/>
  <c r="AC12" i="8" s="1"/>
  <c r="AA228" i="2"/>
  <c r="Z228" i="2"/>
  <c r="Z12" i="8" s="1"/>
  <c r="Y228" i="2"/>
  <c r="Y12" i="8" s="1"/>
  <c r="X228" i="2"/>
  <c r="X12" i="8" s="1"/>
  <c r="W228" i="2"/>
  <c r="W12" i="8" s="1"/>
  <c r="V228" i="2"/>
  <c r="V12" i="8" s="1"/>
  <c r="U228" i="2"/>
  <c r="U12" i="8" s="1"/>
  <c r="AC227" i="2"/>
  <c r="AC11" i="8" s="1"/>
  <c r="AA227" i="2"/>
  <c r="Z227" i="2"/>
  <c r="Z11" i="8" s="1"/>
  <c r="Y227" i="2"/>
  <c r="Y11" i="8" s="1"/>
  <c r="X227" i="2"/>
  <c r="X11" i="8" s="1"/>
  <c r="W227" i="2"/>
  <c r="W11" i="8" s="1"/>
  <c r="V227" i="2"/>
  <c r="V11" i="8" s="1"/>
  <c r="U227" i="2"/>
  <c r="U11" i="8" s="1"/>
  <c r="AC226" i="2"/>
  <c r="AC10" i="8" s="1"/>
  <c r="AA226" i="2"/>
  <c r="Z226" i="2"/>
  <c r="Z10" i="8" s="1"/>
  <c r="Y226" i="2"/>
  <c r="Y10" i="8" s="1"/>
  <c r="X226" i="2"/>
  <c r="X10" i="8" s="1"/>
  <c r="W226" i="2"/>
  <c r="W10" i="8" s="1"/>
  <c r="V226" i="2"/>
  <c r="V10" i="8" s="1"/>
  <c r="U226" i="2"/>
  <c r="U10" i="8" s="1"/>
  <c r="AC225" i="2"/>
  <c r="AC9" i="8" s="1"/>
  <c r="AA225" i="2"/>
  <c r="Z225" i="2"/>
  <c r="Z9" i="8" s="1"/>
  <c r="Y225" i="2"/>
  <c r="Y9" i="8" s="1"/>
  <c r="X225" i="2"/>
  <c r="X9" i="8" s="1"/>
  <c r="W225" i="2"/>
  <c r="W9" i="8" s="1"/>
  <c r="V225" i="2"/>
  <c r="V9" i="8" s="1"/>
  <c r="U225" i="2"/>
  <c r="U9" i="8" s="1"/>
  <c r="AC224" i="2"/>
  <c r="AC8" i="8" s="1"/>
  <c r="AA224" i="2"/>
  <c r="Z224" i="2"/>
  <c r="Z8" i="8" s="1"/>
  <c r="Y224" i="2"/>
  <c r="Y8" i="8" s="1"/>
  <c r="X224" i="2"/>
  <c r="X8" i="8" s="1"/>
  <c r="W224" i="2"/>
  <c r="W8" i="8" s="1"/>
  <c r="V224" i="2"/>
  <c r="V8" i="8" s="1"/>
  <c r="U224" i="2"/>
  <c r="U8" i="8" s="1"/>
  <c r="AC223" i="2"/>
  <c r="AC7" i="8" s="1"/>
  <c r="AA223" i="2"/>
  <c r="Z223" i="2"/>
  <c r="Z7" i="8" s="1"/>
  <c r="Y223" i="2"/>
  <c r="Y7" i="8" s="1"/>
  <c r="X223" i="2"/>
  <c r="X7" i="8" s="1"/>
  <c r="W223" i="2"/>
  <c r="W7" i="8" s="1"/>
  <c r="V223" i="2"/>
  <c r="V7" i="8" s="1"/>
  <c r="U223" i="2"/>
  <c r="U7" i="8" s="1"/>
  <c r="AC222" i="2"/>
  <c r="AC6" i="8" s="1"/>
  <c r="AA222" i="2"/>
  <c r="Z222" i="2"/>
  <c r="Z6" i="8" s="1"/>
  <c r="Y222" i="2"/>
  <c r="Y6" i="8" s="1"/>
  <c r="X222" i="2"/>
  <c r="X6" i="8" s="1"/>
  <c r="W222" i="2"/>
  <c r="W6" i="8" s="1"/>
  <c r="V222" i="2"/>
  <c r="V6" i="8" s="1"/>
  <c r="U222" i="2"/>
  <c r="U6" i="8" s="1"/>
  <c r="AC221" i="2"/>
  <c r="AC5" i="8" s="1"/>
  <c r="AA221" i="2"/>
  <c r="Z221" i="2"/>
  <c r="Z5" i="8" s="1"/>
  <c r="Y221" i="2"/>
  <c r="Y5" i="8" s="1"/>
  <c r="X221" i="2"/>
  <c r="X5" i="8" s="1"/>
  <c r="W221" i="2"/>
  <c r="W5" i="8" s="1"/>
  <c r="V221" i="2"/>
  <c r="V5" i="8" s="1"/>
  <c r="U221" i="2"/>
  <c r="U5" i="8" s="1"/>
  <c r="AC220" i="2"/>
  <c r="AC4" i="8" s="1"/>
  <c r="AA220" i="2"/>
  <c r="Z220" i="2"/>
  <c r="Z4" i="8" s="1"/>
  <c r="Y220" i="2"/>
  <c r="Y4" i="8" s="1"/>
  <c r="X220" i="2"/>
  <c r="X4" i="8" s="1"/>
  <c r="W220" i="2"/>
  <c r="W4" i="8" s="1"/>
  <c r="V220" i="2"/>
  <c r="V4" i="8" s="1"/>
  <c r="U220" i="2"/>
  <c r="U4" i="8" s="1"/>
  <c r="AC219" i="2"/>
  <c r="AC3" i="8" s="1"/>
  <c r="AA219" i="2"/>
  <c r="Z219" i="2"/>
  <c r="Z3" i="8" s="1"/>
  <c r="Y219" i="2"/>
  <c r="Y3" i="8" s="1"/>
  <c r="X219" i="2"/>
  <c r="X3" i="8" s="1"/>
  <c r="W219" i="2"/>
  <c r="W3" i="8" s="1"/>
  <c r="V219" i="2"/>
  <c r="V3" i="8" s="1"/>
  <c r="U219" i="2"/>
  <c r="U3" i="8" s="1"/>
  <c r="AC218" i="2"/>
  <c r="AC56" i="7" s="1"/>
  <c r="AA218" i="2"/>
  <c r="Z218" i="2"/>
  <c r="Z56" i="7" s="1"/>
  <c r="Y218" i="2"/>
  <c r="Y56" i="7" s="1"/>
  <c r="X218" i="2"/>
  <c r="X56" i="7" s="1"/>
  <c r="W218" i="2"/>
  <c r="W56" i="7" s="1"/>
  <c r="V218" i="2"/>
  <c r="V56" i="7" s="1"/>
  <c r="U218" i="2"/>
  <c r="U56" i="7" s="1"/>
  <c r="AC217" i="2"/>
  <c r="AC55" i="7" s="1"/>
  <c r="AA217" i="2"/>
  <c r="Z217" i="2"/>
  <c r="Z55" i="7" s="1"/>
  <c r="Y217" i="2"/>
  <c r="Y55" i="7" s="1"/>
  <c r="X217" i="2"/>
  <c r="X55" i="7" s="1"/>
  <c r="W217" i="2"/>
  <c r="W55" i="7" s="1"/>
  <c r="V217" i="2"/>
  <c r="V55" i="7" s="1"/>
  <c r="U217" i="2"/>
  <c r="U55" i="7" s="1"/>
  <c r="AC216" i="2"/>
  <c r="AC54" i="7" s="1"/>
  <c r="AA216" i="2"/>
  <c r="Z216" i="2"/>
  <c r="Z54" i="7" s="1"/>
  <c r="Y216" i="2"/>
  <c r="Y54" i="7" s="1"/>
  <c r="X216" i="2"/>
  <c r="X54" i="7" s="1"/>
  <c r="W216" i="2"/>
  <c r="W54" i="7" s="1"/>
  <c r="V216" i="2"/>
  <c r="V54" i="7" s="1"/>
  <c r="U216" i="2"/>
  <c r="U54" i="7" s="1"/>
  <c r="AC215" i="2"/>
  <c r="AC53" i="7" s="1"/>
  <c r="AA215" i="2"/>
  <c r="Z215" i="2"/>
  <c r="Z53" i="7" s="1"/>
  <c r="Y215" i="2"/>
  <c r="Y53" i="7" s="1"/>
  <c r="X215" i="2"/>
  <c r="X53" i="7" s="1"/>
  <c r="W215" i="2"/>
  <c r="W53" i="7" s="1"/>
  <c r="V215" i="2"/>
  <c r="V53" i="7" s="1"/>
  <c r="U215" i="2"/>
  <c r="U53" i="7" s="1"/>
  <c r="AC214" i="2"/>
  <c r="AC52" i="7" s="1"/>
  <c r="AA214" i="2"/>
  <c r="Z214" i="2"/>
  <c r="Z52" i="7" s="1"/>
  <c r="Y214" i="2"/>
  <c r="Y52" i="7" s="1"/>
  <c r="X214" i="2"/>
  <c r="X52" i="7" s="1"/>
  <c r="W214" i="2"/>
  <c r="W52" i="7" s="1"/>
  <c r="V214" i="2"/>
  <c r="V52" i="7" s="1"/>
  <c r="U214" i="2"/>
  <c r="U52" i="7" s="1"/>
  <c r="AC213" i="2"/>
  <c r="AC51" i="7" s="1"/>
  <c r="AA213" i="2"/>
  <c r="Z213" i="2"/>
  <c r="Z51" i="7" s="1"/>
  <c r="Y213" i="2"/>
  <c r="Y51" i="7" s="1"/>
  <c r="X213" i="2"/>
  <c r="X51" i="7" s="1"/>
  <c r="W213" i="2"/>
  <c r="W51" i="7" s="1"/>
  <c r="V213" i="2"/>
  <c r="V51" i="7" s="1"/>
  <c r="U213" i="2"/>
  <c r="U51" i="7" s="1"/>
  <c r="AC212" i="2"/>
  <c r="AC50" i="7" s="1"/>
  <c r="AA212" i="2"/>
  <c r="Z212" i="2"/>
  <c r="Z50" i="7" s="1"/>
  <c r="Y212" i="2"/>
  <c r="Y50" i="7" s="1"/>
  <c r="X212" i="2"/>
  <c r="X50" i="7" s="1"/>
  <c r="W212" i="2"/>
  <c r="W50" i="7" s="1"/>
  <c r="V212" i="2"/>
  <c r="V50" i="7" s="1"/>
  <c r="U212" i="2"/>
  <c r="U50" i="7" s="1"/>
  <c r="AC211" i="2"/>
  <c r="AC49" i="7" s="1"/>
  <c r="AA211" i="2"/>
  <c r="Z211" i="2"/>
  <c r="Z49" i="7" s="1"/>
  <c r="Y211" i="2"/>
  <c r="Y49" i="7" s="1"/>
  <c r="X211" i="2"/>
  <c r="X49" i="7" s="1"/>
  <c r="W211" i="2"/>
  <c r="W49" i="7" s="1"/>
  <c r="V211" i="2"/>
  <c r="V49" i="7" s="1"/>
  <c r="U211" i="2"/>
  <c r="U49" i="7" s="1"/>
  <c r="AC210" i="2"/>
  <c r="AC48" i="7" s="1"/>
  <c r="AA210" i="2"/>
  <c r="Z210" i="2"/>
  <c r="Z48" i="7" s="1"/>
  <c r="Y210" i="2"/>
  <c r="Y48" i="7" s="1"/>
  <c r="X210" i="2"/>
  <c r="X48" i="7" s="1"/>
  <c r="W210" i="2"/>
  <c r="W48" i="7" s="1"/>
  <c r="V210" i="2"/>
  <c r="V48" i="7" s="1"/>
  <c r="U210" i="2"/>
  <c r="U48" i="7" s="1"/>
  <c r="AC209" i="2"/>
  <c r="AC47" i="7" s="1"/>
  <c r="AA209" i="2"/>
  <c r="Z209" i="2"/>
  <c r="Z47" i="7" s="1"/>
  <c r="Y209" i="2"/>
  <c r="Y47" i="7" s="1"/>
  <c r="X209" i="2"/>
  <c r="X47" i="7" s="1"/>
  <c r="W209" i="2"/>
  <c r="W47" i="7" s="1"/>
  <c r="V209" i="2"/>
  <c r="V47" i="7" s="1"/>
  <c r="U209" i="2"/>
  <c r="U47" i="7" s="1"/>
  <c r="AC208" i="2"/>
  <c r="AC46" i="7" s="1"/>
  <c r="AA208" i="2"/>
  <c r="Z208" i="2"/>
  <c r="Z46" i="7" s="1"/>
  <c r="Y208" i="2"/>
  <c r="Y46" i="7" s="1"/>
  <c r="X208" i="2"/>
  <c r="X46" i="7" s="1"/>
  <c r="W208" i="2"/>
  <c r="W46" i="7" s="1"/>
  <c r="V208" i="2"/>
  <c r="V46" i="7" s="1"/>
  <c r="U208" i="2"/>
  <c r="U46" i="7" s="1"/>
  <c r="AC207" i="2"/>
  <c r="AC45" i="7" s="1"/>
  <c r="AA207" i="2"/>
  <c r="Z207" i="2"/>
  <c r="Z45" i="7" s="1"/>
  <c r="Y207" i="2"/>
  <c r="Y45" i="7" s="1"/>
  <c r="X207" i="2"/>
  <c r="X45" i="7" s="1"/>
  <c r="W207" i="2"/>
  <c r="W45" i="7" s="1"/>
  <c r="V207" i="2"/>
  <c r="V45" i="7" s="1"/>
  <c r="U207" i="2"/>
  <c r="U45" i="7" s="1"/>
  <c r="AC206" i="2"/>
  <c r="AC44" i="7" s="1"/>
  <c r="AA206" i="2"/>
  <c r="Z206" i="2"/>
  <c r="Z44" i="7" s="1"/>
  <c r="Y206" i="2"/>
  <c r="Y44" i="7" s="1"/>
  <c r="X206" i="2"/>
  <c r="X44" i="7" s="1"/>
  <c r="W206" i="2"/>
  <c r="W44" i="7" s="1"/>
  <c r="V206" i="2"/>
  <c r="V44" i="7" s="1"/>
  <c r="U206" i="2"/>
  <c r="U44" i="7" s="1"/>
  <c r="AC205" i="2"/>
  <c r="AC43" i="7" s="1"/>
  <c r="AA205" i="2"/>
  <c r="Z205" i="2"/>
  <c r="Z43" i="7" s="1"/>
  <c r="Y205" i="2"/>
  <c r="Y43" i="7" s="1"/>
  <c r="X205" i="2"/>
  <c r="X43" i="7" s="1"/>
  <c r="W205" i="2"/>
  <c r="W43" i="7" s="1"/>
  <c r="V205" i="2"/>
  <c r="V43" i="7" s="1"/>
  <c r="U205" i="2"/>
  <c r="U43" i="7" s="1"/>
  <c r="AC204" i="2"/>
  <c r="AC42" i="7" s="1"/>
  <c r="AA204" i="2"/>
  <c r="Z204" i="2"/>
  <c r="Z42" i="7" s="1"/>
  <c r="Y204" i="2"/>
  <c r="Y42" i="7" s="1"/>
  <c r="X204" i="2"/>
  <c r="X42" i="7" s="1"/>
  <c r="W204" i="2"/>
  <c r="W42" i="7" s="1"/>
  <c r="V204" i="2"/>
  <c r="V42" i="7" s="1"/>
  <c r="U204" i="2"/>
  <c r="U42" i="7" s="1"/>
  <c r="AC203" i="2"/>
  <c r="AC41" i="7" s="1"/>
  <c r="AA203" i="2"/>
  <c r="Z203" i="2"/>
  <c r="Z41" i="7" s="1"/>
  <c r="Y203" i="2"/>
  <c r="Y41" i="7" s="1"/>
  <c r="X203" i="2"/>
  <c r="X41" i="7" s="1"/>
  <c r="W203" i="2"/>
  <c r="W41" i="7" s="1"/>
  <c r="V203" i="2"/>
  <c r="V41" i="7" s="1"/>
  <c r="U203" i="2"/>
  <c r="U41" i="7" s="1"/>
  <c r="AC202" i="2"/>
  <c r="AC40" i="7" s="1"/>
  <c r="AA202" i="2"/>
  <c r="Z202" i="2"/>
  <c r="Z40" i="7" s="1"/>
  <c r="Y202" i="2"/>
  <c r="Y40" i="7" s="1"/>
  <c r="X202" i="2"/>
  <c r="X40" i="7" s="1"/>
  <c r="W202" i="2"/>
  <c r="W40" i="7" s="1"/>
  <c r="V202" i="2"/>
  <c r="V40" i="7" s="1"/>
  <c r="U202" i="2"/>
  <c r="U40" i="7" s="1"/>
  <c r="AC201" i="2"/>
  <c r="AC39" i="7" s="1"/>
  <c r="AA201" i="2"/>
  <c r="Z201" i="2"/>
  <c r="Z39" i="7" s="1"/>
  <c r="Y201" i="2"/>
  <c r="Y39" i="7" s="1"/>
  <c r="X201" i="2"/>
  <c r="X39" i="7" s="1"/>
  <c r="W201" i="2"/>
  <c r="W39" i="7" s="1"/>
  <c r="V201" i="2"/>
  <c r="V39" i="7" s="1"/>
  <c r="U201" i="2"/>
  <c r="U39" i="7" s="1"/>
  <c r="AC200" i="2"/>
  <c r="AC38" i="7" s="1"/>
  <c r="AA200" i="2"/>
  <c r="Z200" i="2"/>
  <c r="Z38" i="7" s="1"/>
  <c r="Y200" i="2"/>
  <c r="Y38" i="7" s="1"/>
  <c r="X200" i="2"/>
  <c r="X38" i="7" s="1"/>
  <c r="W200" i="2"/>
  <c r="W38" i="7" s="1"/>
  <c r="V200" i="2"/>
  <c r="V38" i="7" s="1"/>
  <c r="U200" i="2"/>
  <c r="U38" i="7" s="1"/>
  <c r="AC199" i="2"/>
  <c r="AC37" i="7" s="1"/>
  <c r="AA199" i="2"/>
  <c r="Z199" i="2"/>
  <c r="Z37" i="7" s="1"/>
  <c r="Y199" i="2"/>
  <c r="Y37" i="7" s="1"/>
  <c r="X199" i="2"/>
  <c r="X37" i="7" s="1"/>
  <c r="W199" i="2"/>
  <c r="W37" i="7" s="1"/>
  <c r="V199" i="2"/>
  <c r="V37" i="7" s="1"/>
  <c r="U199" i="2"/>
  <c r="U37" i="7" s="1"/>
  <c r="AC198" i="2"/>
  <c r="AC36" i="7" s="1"/>
  <c r="AA198" i="2"/>
  <c r="Z198" i="2"/>
  <c r="Z36" i="7" s="1"/>
  <c r="Y198" i="2"/>
  <c r="Y36" i="7" s="1"/>
  <c r="X198" i="2"/>
  <c r="X36" i="7" s="1"/>
  <c r="W198" i="2"/>
  <c r="W36" i="7" s="1"/>
  <c r="V198" i="2"/>
  <c r="V36" i="7" s="1"/>
  <c r="U198" i="2"/>
  <c r="U36" i="7" s="1"/>
  <c r="AC197" i="2"/>
  <c r="AC35" i="7" s="1"/>
  <c r="AA197" i="2"/>
  <c r="Z197" i="2"/>
  <c r="Z35" i="7" s="1"/>
  <c r="Y197" i="2"/>
  <c r="Y35" i="7" s="1"/>
  <c r="X197" i="2"/>
  <c r="X35" i="7" s="1"/>
  <c r="W197" i="2"/>
  <c r="W35" i="7" s="1"/>
  <c r="V197" i="2"/>
  <c r="V35" i="7" s="1"/>
  <c r="U197" i="2"/>
  <c r="U35" i="7" s="1"/>
  <c r="AC196" i="2"/>
  <c r="AC34" i="7" s="1"/>
  <c r="AA196" i="2"/>
  <c r="Z196" i="2"/>
  <c r="Z34" i="7" s="1"/>
  <c r="Y196" i="2"/>
  <c r="Y34" i="7" s="1"/>
  <c r="X196" i="2"/>
  <c r="X34" i="7" s="1"/>
  <c r="W196" i="2"/>
  <c r="W34" i="7" s="1"/>
  <c r="V196" i="2"/>
  <c r="V34" i="7" s="1"/>
  <c r="U196" i="2"/>
  <c r="U34" i="7" s="1"/>
  <c r="AC195" i="2"/>
  <c r="AC33" i="7" s="1"/>
  <c r="AA195" i="2"/>
  <c r="Z195" i="2"/>
  <c r="Z33" i="7" s="1"/>
  <c r="Y195" i="2"/>
  <c r="Y33" i="7" s="1"/>
  <c r="X195" i="2"/>
  <c r="X33" i="7" s="1"/>
  <c r="W195" i="2"/>
  <c r="W33" i="7" s="1"/>
  <c r="V195" i="2"/>
  <c r="V33" i="7" s="1"/>
  <c r="U195" i="2"/>
  <c r="U33" i="7" s="1"/>
  <c r="AC194" i="2"/>
  <c r="AC32" i="7" s="1"/>
  <c r="AA194" i="2"/>
  <c r="Z194" i="2"/>
  <c r="Z32" i="7" s="1"/>
  <c r="Y194" i="2"/>
  <c r="Y32" i="7" s="1"/>
  <c r="X194" i="2"/>
  <c r="X32" i="7" s="1"/>
  <c r="W194" i="2"/>
  <c r="W32" i="7" s="1"/>
  <c r="V194" i="2"/>
  <c r="V32" i="7" s="1"/>
  <c r="U194" i="2"/>
  <c r="U32" i="7" s="1"/>
  <c r="AC193" i="2"/>
  <c r="AC31" i="7" s="1"/>
  <c r="AA193" i="2"/>
  <c r="Z193" i="2"/>
  <c r="Z31" i="7" s="1"/>
  <c r="Y193" i="2"/>
  <c r="Y31" i="7" s="1"/>
  <c r="X193" i="2"/>
  <c r="X31" i="7" s="1"/>
  <c r="W193" i="2"/>
  <c r="W31" i="7" s="1"/>
  <c r="V193" i="2"/>
  <c r="V31" i="7" s="1"/>
  <c r="U193" i="2"/>
  <c r="U31" i="7" s="1"/>
  <c r="AC192" i="2"/>
  <c r="AC30" i="7" s="1"/>
  <c r="AA192" i="2"/>
  <c r="Z192" i="2"/>
  <c r="Z30" i="7" s="1"/>
  <c r="Y192" i="2"/>
  <c r="Y30" i="7" s="1"/>
  <c r="X192" i="2"/>
  <c r="X30" i="7" s="1"/>
  <c r="W192" i="2"/>
  <c r="W30" i="7" s="1"/>
  <c r="V192" i="2"/>
  <c r="V30" i="7" s="1"/>
  <c r="U192" i="2"/>
  <c r="U30" i="7" s="1"/>
  <c r="AC191" i="2"/>
  <c r="AC29" i="7" s="1"/>
  <c r="AA191" i="2"/>
  <c r="Z191" i="2"/>
  <c r="Z29" i="7" s="1"/>
  <c r="Y191" i="2"/>
  <c r="Y29" i="7" s="1"/>
  <c r="X191" i="2"/>
  <c r="X29" i="7" s="1"/>
  <c r="W191" i="2"/>
  <c r="W29" i="7" s="1"/>
  <c r="V191" i="2"/>
  <c r="V29" i="7" s="1"/>
  <c r="U191" i="2"/>
  <c r="U29" i="7" s="1"/>
  <c r="AC190" i="2"/>
  <c r="AC28" i="7" s="1"/>
  <c r="AA190" i="2"/>
  <c r="Z190" i="2"/>
  <c r="Z28" i="7" s="1"/>
  <c r="Y190" i="2"/>
  <c r="Y28" i="7" s="1"/>
  <c r="X190" i="2"/>
  <c r="X28" i="7" s="1"/>
  <c r="W190" i="2"/>
  <c r="W28" i="7" s="1"/>
  <c r="V190" i="2"/>
  <c r="V28" i="7" s="1"/>
  <c r="U190" i="2"/>
  <c r="U28" i="7" s="1"/>
  <c r="AC189" i="2"/>
  <c r="AC27" i="7" s="1"/>
  <c r="AA189" i="2"/>
  <c r="Z189" i="2"/>
  <c r="Z27" i="7" s="1"/>
  <c r="Y189" i="2"/>
  <c r="Y27" i="7" s="1"/>
  <c r="X189" i="2"/>
  <c r="X27" i="7" s="1"/>
  <c r="W189" i="2"/>
  <c r="W27" i="7" s="1"/>
  <c r="V189" i="2"/>
  <c r="V27" i="7" s="1"/>
  <c r="U189" i="2"/>
  <c r="U27" i="7" s="1"/>
  <c r="AC188" i="2"/>
  <c r="AC26" i="7" s="1"/>
  <c r="AA188" i="2"/>
  <c r="Z188" i="2"/>
  <c r="Z26" i="7" s="1"/>
  <c r="Y188" i="2"/>
  <c r="Y26" i="7" s="1"/>
  <c r="X188" i="2"/>
  <c r="X26" i="7" s="1"/>
  <c r="W188" i="2"/>
  <c r="W26" i="7" s="1"/>
  <c r="V188" i="2"/>
  <c r="V26" i="7" s="1"/>
  <c r="U188" i="2"/>
  <c r="U26" i="7" s="1"/>
  <c r="AC187" i="2"/>
  <c r="AC25" i="7" s="1"/>
  <c r="AA187" i="2"/>
  <c r="Z187" i="2"/>
  <c r="Z25" i="7" s="1"/>
  <c r="Y187" i="2"/>
  <c r="Y25" i="7" s="1"/>
  <c r="X187" i="2"/>
  <c r="X25" i="7" s="1"/>
  <c r="W187" i="2"/>
  <c r="W25" i="7" s="1"/>
  <c r="V187" i="2"/>
  <c r="V25" i="7" s="1"/>
  <c r="U187" i="2"/>
  <c r="U25" i="7" s="1"/>
  <c r="AC186" i="2"/>
  <c r="AC24" i="7" s="1"/>
  <c r="AA186" i="2"/>
  <c r="Z186" i="2"/>
  <c r="Z24" i="7" s="1"/>
  <c r="Y186" i="2"/>
  <c r="Y24" i="7" s="1"/>
  <c r="X186" i="2"/>
  <c r="X24" i="7" s="1"/>
  <c r="W186" i="2"/>
  <c r="W24" i="7" s="1"/>
  <c r="V186" i="2"/>
  <c r="V24" i="7" s="1"/>
  <c r="U186" i="2"/>
  <c r="U24" i="7" s="1"/>
  <c r="AC185" i="2"/>
  <c r="AC23" i="7" s="1"/>
  <c r="AA185" i="2"/>
  <c r="Z185" i="2"/>
  <c r="Z23" i="7" s="1"/>
  <c r="Y185" i="2"/>
  <c r="Y23" i="7" s="1"/>
  <c r="X185" i="2"/>
  <c r="X23" i="7" s="1"/>
  <c r="W185" i="2"/>
  <c r="W23" i="7" s="1"/>
  <c r="V185" i="2"/>
  <c r="V23" i="7" s="1"/>
  <c r="U185" i="2"/>
  <c r="U23" i="7" s="1"/>
  <c r="AC184" i="2"/>
  <c r="AC22" i="7" s="1"/>
  <c r="AA184" i="2"/>
  <c r="Z184" i="2"/>
  <c r="Z22" i="7" s="1"/>
  <c r="Y184" i="2"/>
  <c r="Y22" i="7" s="1"/>
  <c r="X184" i="2"/>
  <c r="X22" i="7" s="1"/>
  <c r="W184" i="2"/>
  <c r="W22" i="7" s="1"/>
  <c r="V184" i="2"/>
  <c r="V22" i="7" s="1"/>
  <c r="U184" i="2"/>
  <c r="U22" i="7" s="1"/>
  <c r="AC183" i="2"/>
  <c r="AC21" i="7" s="1"/>
  <c r="AA183" i="2"/>
  <c r="Z183" i="2"/>
  <c r="Z21" i="7" s="1"/>
  <c r="Y183" i="2"/>
  <c r="Y21" i="7" s="1"/>
  <c r="X183" i="2"/>
  <c r="X21" i="7" s="1"/>
  <c r="W183" i="2"/>
  <c r="W21" i="7" s="1"/>
  <c r="V183" i="2"/>
  <c r="V21" i="7" s="1"/>
  <c r="U183" i="2"/>
  <c r="U21" i="7" s="1"/>
  <c r="AC182" i="2"/>
  <c r="AC20" i="7" s="1"/>
  <c r="AA182" i="2"/>
  <c r="Z182" i="2"/>
  <c r="Z20" i="7" s="1"/>
  <c r="Y182" i="2"/>
  <c r="Y20" i="7" s="1"/>
  <c r="X182" i="2"/>
  <c r="X20" i="7" s="1"/>
  <c r="W182" i="2"/>
  <c r="W20" i="7" s="1"/>
  <c r="V182" i="2"/>
  <c r="V20" i="7" s="1"/>
  <c r="U182" i="2"/>
  <c r="U20" i="7" s="1"/>
  <c r="AC181" i="2"/>
  <c r="AC19" i="7" s="1"/>
  <c r="AA181" i="2"/>
  <c r="Z181" i="2"/>
  <c r="Z19" i="7" s="1"/>
  <c r="Y181" i="2"/>
  <c r="Y19" i="7" s="1"/>
  <c r="X181" i="2"/>
  <c r="X19" i="7" s="1"/>
  <c r="W181" i="2"/>
  <c r="W19" i="7" s="1"/>
  <c r="V181" i="2"/>
  <c r="V19" i="7" s="1"/>
  <c r="U181" i="2"/>
  <c r="U19" i="7" s="1"/>
  <c r="AC180" i="2"/>
  <c r="AC18" i="7" s="1"/>
  <c r="AA180" i="2"/>
  <c r="Z180" i="2"/>
  <c r="Z18" i="7" s="1"/>
  <c r="Y180" i="2"/>
  <c r="Y18" i="7" s="1"/>
  <c r="X180" i="2"/>
  <c r="X18" i="7" s="1"/>
  <c r="W180" i="2"/>
  <c r="W18" i="7" s="1"/>
  <c r="V180" i="2"/>
  <c r="V18" i="7" s="1"/>
  <c r="U180" i="2"/>
  <c r="U18" i="7" s="1"/>
  <c r="AC179" i="2"/>
  <c r="AC17" i="7" s="1"/>
  <c r="AA179" i="2"/>
  <c r="Z179" i="2"/>
  <c r="Z17" i="7" s="1"/>
  <c r="Y179" i="2"/>
  <c r="Y17" i="7" s="1"/>
  <c r="X179" i="2"/>
  <c r="X17" i="7" s="1"/>
  <c r="W179" i="2"/>
  <c r="W17" i="7" s="1"/>
  <c r="V179" i="2"/>
  <c r="V17" i="7" s="1"/>
  <c r="U179" i="2"/>
  <c r="U17" i="7" s="1"/>
  <c r="AC178" i="2"/>
  <c r="AC16" i="7" s="1"/>
  <c r="AA178" i="2"/>
  <c r="Z178" i="2"/>
  <c r="Z16" i="7" s="1"/>
  <c r="Y178" i="2"/>
  <c r="Y16" i="7" s="1"/>
  <c r="X178" i="2"/>
  <c r="X16" i="7" s="1"/>
  <c r="W178" i="2"/>
  <c r="W16" i="7" s="1"/>
  <c r="V178" i="2"/>
  <c r="V16" i="7" s="1"/>
  <c r="U178" i="2"/>
  <c r="U16" i="7" s="1"/>
  <c r="AC177" i="2"/>
  <c r="AC42" i="6" s="1"/>
  <c r="AA177" i="2"/>
  <c r="Z177" i="2"/>
  <c r="Z42" i="6" s="1"/>
  <c r="Y177" i="2"/>
  <c r="Y42" i="6" s="1"/>
  <c r="X177" i="2"/>
  <c r="X42" i="6" s="1"/>
  <c r="W177" i="2"/>
  <c r="W42" i="6" s="1"/>
  <c r="V177" i="2"/>
  <c r="V42" i="6" s="1"/>
  <c r="U177" i="2"/>
  <c r="U42" i="6" s="1"/>
  <c r="AC176" i="2"/>
  <c r="AC41" i="6" s="1"/>
  <c r="AA176" i="2"/>
  <c r="Z176" i="2"/>
  <c r="Z41" i="6" s="1"/>
  <c r="Y176" i="2"/>
  <c r="Y41" i="6" s="1"/>
  <c r="X176" i="2"/>
  <c r="X41" i="6" s="1"/>
  <c r="W176" i="2"/>
  <c r="W41" i="6" s="1"/>
  <c r="V176" i="2"/>
  <c r="V41" i="6" s="1"/>
  <c r="U176" i="2"/>
  <c r="U41" i="6" s="1"/>
  <c r="AC175" i="2"/>
  <c r="AC40" i="6" s="1"/>
  <c r="AA175" i="2"/>
  <c r="Z175" i="2"/>
  <c r="Z40" i="6" s="1"/>
  <c r="Y175" i="2"/>
  <c r="Y40" i="6" s="1"/>
  <c r="X175" i="2"/>
  <c r="X40" i="6" s="1"/>
  <c r="W175" i="2"/>
  <c r="W40" i="6" s="1"/>
  <c r="V175" i="2"/>
  <c r="V40" i="6" s="1"/>
  <c r="U175" i="2"/>
  <c r="U40" i="6" s="1"/>
  <c r="AC174" i="2"/>
  <c r="AC39" i="6" s="1"/>
  <c r="AA174" i="2"/>
  <c r="Z174" i="2"/>
  <c r="Z39" i="6" s="1"/>
  <c r="Y174" i="2"/>
  <c r="Y39" i="6" s="1"/>
  <c r="X174" i="2"/>
  <c r="X39" i="6" s="1"/>
  <c r="W174" i="2"/>
  <c r="W39" i="6" s="1"/>
  <c r="V174" i="2"/>
  <c r="V39" i="6" s="1"/>
  <c r="U174" i="2"/>
  <c r="U39" i="6" s="1"/>
  <c r="AC173" i="2"/>
  <c r="AC38" i="6" s="1"/>
  <c r="AA173" i="2"/>
  <c r="Z173" i="2"/>
  <c r="Z38" i="6" s="1"/>
  <c r="Y173" i="2"/>
  <c r="Y38" i="6" s="1"/>
  <c r="X173" i="2"/>
  <c r="X38" i="6" s="1"/>
  <c r="W173" i="2"/>
  <c r="W38" i="6" s="1"/>
  <c r="V173" i="2"/>
  <c r="V38" i="6" s="1"/>
  <c r="U173" i="2"/>
  <c r="U38" i="6" s="1"/>
  <c r="AC172" i="2"/>
  <c r="AC37" i="6" s="1"/>
  <c r="AA172" i="2"/>
  <c r="Z172" i="2"/>
  <c r="Z37" i="6" s="1"/>
  <c r="Y172" i="2"/>
  <c r="Y37" i="6" s="1"/>
  <c r="X172" i="2"/>
  <c r="X37" i="6" s="1"/>
  <c r="W172" i="2"/>
  <c r="W37" i="6" s="1"/>
  <c r="V172" i="2"/>
  <c r="V37" i="6" s="1"/>
  <c r="U172" i="2"/>
  <c r="U37" i="6" s="1"/>
  <c r="AC171" i="2"/>
  <c r="AC36" i="6" s="1"/>
  <c r="AA171" i="2"/>
  <c r="Z171" i="2"/>
  <c r="Z36" i="6" s="1"/>
  <c r="Y171" i="2"/>
  <c r="Y36" i="6" s="1"/>
  <c r="X171" i="2"/>
  <c r="X36" i="6" s="1"/>
  <c r="W171" i="2"/>
  <c r="W36" i="6" s="1"/>
  <c r="V171" i="2"/>
  <c r="V36" i="6" s="1"/>
  <c r="U171" i="2"/>
  <c r="U36" i="6" s="1"/>
  <c r="AC170" i="2"/>
  <c r="AC35" i="6" s="1"/>
  <c r="AA170" i="2"/>
  <c r="Z170" i="2"/>
  <c r="Z35" i="6" s="1"/>
  <c r="Y170" i="2"/>
  <c r="Y35" i="6" s="1"/>
  <c r="X170" i="2"/>
  <c r="X35" i="6" s="1"/>
  <c r="W170" i="2"/>
  <c r="W35" i="6" s="1"/>
  <c r="V170" i="2"/>
  <c r="V35" i="6" s="1"/>
  <c r="U170" i="2"/>
  <c r="U35" i="6" s="1"/>
  <c r="AC169" i="2"/>
  <c r="AC34" i="6" s="1"/>
  <c r="AA169" i="2"/>
  <c r="Z169" i="2"/>
  <c r="Z34" i="6" s="1"/>
  <c r="Y169" i="2"/>
  <c r="Y34" i="6" s="1"/>
  <c r="X169" i="2"/>
  <c r="X34" i="6" s="1"/>
  <c r="W169" i="2"/>
  <c r="W34" i="6" s="1"/>
  <c r="V169" i="2"/>
  <c r="V34" i="6" s="1"/>
  <c r="U169" i="2"/>
  <c r="U34" i="6" s="1"/>
  <c r="AC168" i="2"/>
  <c r="AC33" i="6" s="1"/>
  <c r="AA168" i="2"/>
  <c r="Z168" i="2"/>
  <c r="Z33" i="6" s="1"/>
  <c r="Y168" i="2"/>
  <c r="Y33" i="6" s="1"/>
  <c r="X168" i="2"/>
  <c r="X33" i="6" s="1"/>
  <c r="W168" i="2"/>
  <c r="W33" i="6" s="1"/>
  <c r="V168" i="2"/>
  <c r="V33" i="6" s="1"/>
  <c r="U168" i="2"/>
  <c r="U33" i="6" s="1"/>
  <c r="AC167" i="2"/>
  <c r="AC32" i="6" s="1"/>
  <c r="AA167" i="2"/>
  <c r="Z167" i="2"/>
  <c r="Z32" i="6" s="1"/>
  <c r="Y167" i="2"/>
  <c r="Y32" i="6" s="1"/>
  <c r="X167" i="2"/>
  <c r="X32" i="6" s="1"/>
  <c r="W167" i="2"/>
  <c r="W32" i="6" s="1"/>
  <c r="V167" i="2"/>
  <c r="V32" i="6" s="1"/>
  <c r="U167" i="2"/>
  <c r="U32" i="6" s="1"/>
  <c r="AC166" i="2"/>
  <c r="AC31" i="6" s="1"/>
  <c r="AA166" i="2"/>
  <c r="Z166" i="2"/>
  <c r="Z31" i="6" s="1"/>
  <c r="Y166" i="2"/>
  <c r="Y31" i="6" s="1"/>
  <c r="X166" i="2"/>
  <c r="X31" i="6" s="1"/>
  <c r="W166" i="2"/>
  <c r="W31" i="6" s="1"/>
  <c r="V166" i="2"/>
  <c r="V31" i="6" s="1"/>
  <c r="U166" i="2"/>
  <c r="U31" i="6" s="1"/>
  <c r="AC165" i="2"/>
  <c r="AC30" i="6" s="1"/>
  <c r="AA165" i="2"/>
  <c r="Z165" i="2"/>
  <c r="Z30" i="6" s="1"/>
  <c r="Y165" i="2"/>
  <c r="Y30" i="6" s="1"/>
  <c r="X165" i="2"/>
  <c r="X30" i="6" s="1"/>
  <c r="W165" i="2"/>
  <c r="W30" i="6" s="1"/>
  <c r="V165" i="2"/>
  <c r="V30" i="6" s="1"/>
  <c r="U165" i="2"/>
  <c r="U30" i="6" s="1"/>
  <c r="AC164" i="2"/>
  <c r="AC29" i="6" s="1"/>
  <c r="AA164" i="2"/>
  <c r="Z164" i="2"/>
  <c r="Z29" i="6" s="1"/>
  <c r="Y164" i="2"/>
  <c r="Y29" i="6" s="1"/>
  <c r="X164" i="2"/>
  <c r="X29" i="6" s="1"/>
  <c r="W164" i="2"/>
  <c r="W29" i="6" s="1"/>
  <c r="V164" i="2"/>
  <c r="V29" i="6" s="1"/>
  <c r="U164" i="2"/>
  <c r="U29" i="6" s="1"/>
  <c r="AC163" i="2"/>
  <c r="AC28" i="6" s="1"/>
  <c r="AA163" i="2"/>
  <c r="Z163" i="2"/>
  <c r="Z28" i="6" s="1"/>
  <c r="Y163" i="2"/>
  <c r="Y28" i="6" s="1"/>
  <c r="X163" i="2"/>
  <c r="X28" i="6" s="1"/>
  <c r="W163" i="2"/>
  <c r="W28" i="6" s="1"/>
  <c r="V163" i="2"/>
  <c r="V28" i="6" s="1"/>
  <c r="U163" i="2"/>
  <c r="U28" i="6" s="1"/>
  <c r="AC162" i="2"/>
  <c r="AC27" i="6" s="1"/>
  <c r="AA162" i="2"/>
  <c r="Z162" i="2"/>
  <c r="Z27" i="6" s="1"/>
  <c r="Y162" i="2"/>
  <c r="Y27" i="6" s="1"/>
  <c r="X162" i="2"/>
  <c r="X27" i="6" s="1"/>
  <c r="W162" i="2"/>
  <c r="W27" i="6" s="1"/>
  <c r="V162" i="2"/>
  <c r="V27" i="6" s="1"/>
  <c r="U162" i="2"/>
  <c r="U27" i="6" s="1"/>
  <c r="AC161" i="2"/>
  <c r="AC26" i="6" s="1"/>
  <c r="AA161" i="2"/>
  <c r="Z161" i="2"/>
  <c r="Z26" i="6" s="1"/>
  <c r="Y161" i="2"/>
  <c r="Y26" i="6" s="1"/>
  <c r="X161" i="2"/>
  <c r="X26" i="6" s="1"/>
  <c r="W161" i="2"/>
  <c r="W26" i="6" s="1"/>
  <c r="V161" i="2"/>
  <c r="V26" i="6" s="1"/>
  <c r="U161" i="2"/>
  <c r="U26" i="6" s="1"/>
  <c r="AC160" i="2"/>
  <c r="AC25" i="6" s="1"/>
  <c r="AA160" i="2"/>
  <c r="Z160" i="2"/>
  <c r="Z25" i="6" s="1"/>
  <c r="Y160" i="2"/>
  <c r="Y25" i="6" s="1"/>
  <c r="X160" i="2"/>
  <c r="X25" i="6" s="1"/>
  <c r="W160" i="2"/>
  <c r="W25" i="6" s="1"/>
  <c r="V160" i="2"/>
  <c r="V25" i="6" s="1"/>
  <c r="U160" i="2"/>
  <c r="U25" i="6" s="1"/>
  <c r="AC159" i="2"/>
  <c r="AC24" i="6" s="1"/>
  <c r="AA159" i="2"/>
  <c r="Z159" i="2"/>
  <c r="Z24" i="6" s="1"/>
  <c r="Y159" i="2"/>
  <c r="Y24" i="6" s="1"/>
  <c r="X159" i="2"/>
  <c r="X24" i="6" s="1"/>
  <c r="W159" i="2"/>
  <c r="W24" i="6" s="1"/>
  <c r="V159" i="2"/>
  <c r="V24" i="6" s="1"/>
  <c r="U159" i="2"/>
  <c r="U24" i="6" s="1"/>
  <c r="AC158" i="2"/>
  <c r="AC23" i="6" s="1"/>
  <c r="AA158" i="2"/>
  <c r="Z158" i="2"/>
  <c r="Z23" i="6" s="1"/>
  <c r="Y158" i="2"/>
  <c r="Y23" i="6" s="1"/>
  <c r="X158" i="2"/>
  <c r="X23" i="6" s="1"/>
  <c r="W158" i="2"/>
  <c r="W23" i="6" s="1"/>
  <c r="V158" i="2"/>
  <c r="V23" i="6" s="1"/>
  <c r="U158" i="2"/>
  <c r="U23" i="6" s="1"/>
  <c r="AC157" i="2"/>
  <c r="AC22" i="6" s="1"/>
  <c r="AA157" i="2"/>
  <c r="Z157" i="2"/>
  <c r="Z22" i="6" s="1"/>
  <c r="Y157" i="2"/>
  <c r="Y22" i="6" s="1"/>
  <c r="X157" i="2"/>
  <c r="X22" i="6" s="1"/>
  <c r="W157" i="2"/>
  <c r="W22" i="6" s="1"/>
  <c r="V157" i="2"/>
  <c r="V22" i="6" s="1"/>
  <c r="U157" i="2"/>
  <c r="U22" i="6" s="1"/>
  <c r="AC156" i="2"/>
  <c r="AC21" i="6" s="1"/>
  <c r="AA156" i="2"/>
  <c r="Z156" i="2"/>
  <c r="Z21" i="6" s="1"/>
  <c r="Y156" i="2"/>
  <c r="Y21" i="6" s="1"/>
  <c r="X156" i="2"/>
  <c r="X21" i="6" s="1"/>
  <c r="W156" i="2"/>
  <c r="W21" i="6" s="1"/>
  <c r="V156" i="2"/>
  <c r="V21" i="6" s="1"/>
  <c r="U156" i="2"/>
  <c r="U21" i="6" s="1"/>
  <c r="AC155" i="2"/>
  <c r="AC20" i="6" s="1"/>
  <c r="AA155" i="2"/>
  <c r="Z155" i="2"/>
  <c r="Z20" i="6" s="1"/>
  <c r="Y155" i="2"/>
  <c r="Y20" i="6" s="1"/>
  <c r="X155" i="2"/>
  <c r="X20" i="6" s="1"/>
  <c r="W155" i="2"/>
  <c r="W20" i="6" s="1"/>
  <c r="V155" i="2"/>
  <c r="V20" i="6" s="1"/>
  <c r="U155" i="2"/>
  <c r="U20" i="6" s="1"/>
  <c r="AC154" i="2"/>
  <c r="AC19" i="6" s="1"/>
  <c r="AA154" i="2"/>
  <c r="Z154" i="2"/>
  <c r="Z19" i="6" s="1"/>
  <c r="Y154" i="2"/>
  <c r="Y19" i="6" s="1"/>
  <c r="X154" i="2"/>
  <c r="X19" i="6" s="1"/>
  <c r="W154" i="2"/>
  <c r="W19" i="6" s="1"/>
  <c r="V154" i="2"/>
  <c r="V19" i="6" s="1"/>
  <c r="U154" i="2"/>
  <c r="U19" i="6" s="1"/>
  <c r="AC153" i="2"/>
  <c r="AC18" i="6" s="1"/>
  <c r="AA153" i="2"/>
  <c r="Z153" i="2"/>
  <c r="Z18" i="6" s="1"/>
  <c r="Y153" i="2"/>
  <c r="Y18" i="6" s="1"/>
  <c r="X153" i="2"/>
  <c r="X18" i="6" s="1"/>
  <c r="W153" i="2"/>
  <c r="W18" i="6" s="1"/>
  <c r="V153" i="2"/>
  <c r="V18" i="6" s="1"/>
  <c r="U153" i="2"/>
  <c r="U18" i="6" s="1"/>
  <c r="AC152" i="2"/>
  <c r="AC17" i="6" s="1"/>
  <c r="AA152" i="2"/>
  <c r="Z152" i="2"/>
  <c r="Z17" i="6" s="1"/>
  <c r="Y152" i="2"/>
  <c r="Y17" i="6" s="1"/>
  <c r="X152" i="2"/>
  <c r="X17" i="6" s="1"/>
  <c r="W152" i="2"/>
  <c r="W17" i="6" s="1"/>
  <c r="V152" i="2"/>
  <c r="V17" i="6" s="1"/>
  <c r="U152" i="2"/>
  <c r="U17" i="6" s="1"/>
  <c r="AC151" i="2"/>
  <c r="AC16" i="6" s="1"/>
  <c r="AA151" i="2"/>
  <c r="Z151" i="2"/>
  <c r="Z16" i="6" s="1"/>
  <c r="Y151" i="2"/>
  <c r="Y16" i="6" s="1"/>
  <c r="X151" i="2"/>
  <c r="X16" i="6" s="1"/>
  <c r="W151" i="2"/>
  <c r="W16" i="6" s="1"/>
  <c r="V151" i="2"/>
  <c r="V16" i="6" s="1"/>
  <c r="U151" i="2"/>
  <c r="U16" i="6" s="1"/>
  <c r="AC150" i="2"/>
  <c r="AC15" i="6" s="1"/>
  <c r="AA150" i="2"/>
  <c r="Z150" i="2"/>
  <c r="Z15" i="6" s="1"/>
  <c r="Y150" i="2"/>
  <c r="Y15" i="6" s="1"/>
  <c r="X150" i="2"/>
  <c r="X15" i="6" s="1"/>
  <c r="W150" i="2"/>
  <c r="W15" i="6" s="1"/>
  <c r="V150" i="2"/>
  <c r="V15" i="6" s="1"/>
  <c r="U150" i="2"/>
  <c r="U15" i="6" s="1"/>
  <c r="AC149" i="2"/>
  <c r="AC14" i="6" s="1"/>
  <c r="AA149" i="2"/>
  <c r="Z149" i="2"/>
  <c r="Z14" i="6" s="1"/>
  <c r="Y149" i="2"/>
  <c r="Y14" i="6" s="1"/>
  <c r="X149" i="2"/>
  <c r="X14" i="6" s="1"/>
  <c r="W149" i="2"/>
  <c r="W14" i="6" s="1"/>
  <c r="V149" i="2"/>
  <c r="V14" i="6" s="1"/>
  <c r="U149" i="2"/>
  <c r="U14" i="6" s="1"/>
  <c r="AC148" i="2"/>
  <c r="AC13" i="6" s="1"/>
  <c r="AA148" i="2"/>
  <c r="Z148" i="2"/>
  <c r="Z13" i="6" s="1"/>
  <c r="Y148" i="2"/>
  <c r="Y13" i="6" s="1"/>
  <c r="X148" i="2"/>
  <c r="X13" i="6" s="1"/>
  <c r="W148" i="2"/>
  <c r="W13" i="6" s="1"/>
  <c r="V148" i="2"/>
  <c r="V13" i="6" s="1"/>
  <c r="U148" i="2"/>
  <c r="U13" i="6" s="1"/>
  <c r="AC147" i="2"/>
  <c r="AC12" i="6" s="1"/>
  <c r="AA147" i="2"/>
  <c r="Z147" i="2"/>
  <c r="Z12" i="6" s="1"/>
  <c r="Y147" i="2"/>
  <c r="Y12" i="6" s="1"/>
  <c r="X147" i="2"/>
  <c r="X12" i="6" s="1"/>
  <c r="W147" i="2"/>
  <c r="W12" i="6" s="1"/>
  <c r="V147" i="2"/>
  <c r="V12" i="6" s="1"/>
  <c r="U147" i="2"/>
  <c r="U12" i="6" s="1"/>
  <c r="AC146" i="2"/>
  <c r="AC11" i="6" s="1"/>
  <c r="AA146" i="2"/>
  <c r="Z146" i="2"/>
  <c r="Z11" i="6" s="1"/>
  <c r="Y146" i="2"/>
  <c r="Y11" i="6" s="1"/>
  <c r="X146" i="2"/>
  <c r="X11" i="6" s="1"/>
  <c r="W146" i="2"/>
  <c r="W11" i="6" s="1"/>
  <c r="V146" i="2"/>
  <c r="V11" i="6" s="1"/>
  <c r="U146" i="2"/>
  <c r="U11" i="6" s="1"/>
  <c r="AC145" i="2"/>
  <c r="AC10" i="6" s="1"/>
  <c r="AA145" i="2"/>
  <c r="Z145" i="2"/>
  <c r="Z10" i="6" s="1"/>
  <c r="Y145" i="2"/>
  <c r="Y10" i="6" s="1"/>
  <c r="X145" i="2"/>
  <c r="X10" i="6" s="1"/>
  <c r="W145" i="2"/>
  <c r="W10" i="6" s="1"/>
  <c r="V145" i="2"/>
  <c r="V10" i="6" s="1"/>
  <c r="U145" i="2"/>
  <c r="U10" i="6" s="1"/>
  <c r="AC144" i="2"/>
  <c r="AC9" i="6" s="1"/>
  <c r="AA144" i="2"/>
  <c r="Z144" i="2"/>
  <c r="Z9" i="6" s="1"/>
  <c r="Y144" i="2"/>
  <c r="Y9" i="6" s="1"/>
  <c r="X144" i="2"/>
  <c r="X9" i="6" s="1"/>
  <c r="W144" i="2"/>
  <c r="W9" i="6" s="1"/>
  <c r="V144" i="2"/>
  <c r="V9" i="6" s="1"/>
  <c r="U144" i="2"/>
  <c r="U9" i="6" s="1"/>
  <c r="AC143" i="2"/>
  <c r="AC8" i="6" s="1"/>
  <c r="AA143" i="2"/>
  <c r="Z143" i="2"/>
  <c r="Z8" i="6" s="1"/>
  <c r="Y143" i="2"/>
  <c r="Y8" i="6" s="1"/>
  <c r="X143" i="2"/>
  <c r="X8" i="6" s="1"/>
  <c r="W143" i="2"/>
  <c r="W8" i="6" s="1"/>
  <c r="V143" i="2"/>
  <c r="V8" i="6" s="1"/>
  <c r="U143" i="2"/>
  <c r="U8" i="6" s="1"/>
  <c r="AC142" i="2"/>
  <c r="AC7" i="6" s="1"/>
  <c r="AA142" i="2"/>
  <c r="Z142" i="2"/>
  <c r="Z7" i="6" s="1"/>
  <c r="Y142" i="2"/>
  <c r="Y7" i="6" s="1"/>
  <c r="X142" i="2"/>
  <c r="X7" i="6" s="1"/>
  <c r="W142" i="2"/>
  <c r="W7" i="6" s="1"/>
  <c r="V142" i="2"/>
  <c r="V7" i="6" s="1"/>
  <c r="U142" i="2"/>
  <c r="U7" i="6" s="1"/>
  <c r="AC141" i="2"/>
  <c r="AC6" i="6" s="1"/>
  <c r="AA141" i="2"/>
  <c r="Z141" i="2"/>
  <c r="Z6" i="6" s="1"/>
  <c r="Y141" i="2"/>
  <c r="Y6" i="6" s="1"/>
  <c r="X141" i="2"/>
  <c r="X6" i="6" s="1"/>
  <c r="W141" i="2"/>
  <c r="W6" i="6" s="1"/>
  <c r="V141" i="2"/>
  <c r="V6" i="6" s="1"/>
  <c r="U141" i="2"/>
  <c r="U6" i="6" s="1"/>
  <c r="AC140" i="2"/>
  <c r="AC5" i="6" s="1"/>
  <c r="AA140" i="2"/>
  <c r="Z140" i="2"/>
  <c r="Z5" i="6" s="1"/>
  <c r="Y140" i="2"/>
  <c r="Y5" i="6" s="1"/>
  <c r="X140" i="2"/>
  <c r="X5" i="6" s="1"/>
  <c r="W140" i="2"/>
  <c r="W5" i="6" s="1"/>
  <c r="V140" i="2"/>
  <c r="V5" i="6" s="1"/>
  <c r="U140" i="2"/>
  <c r="U5" i="6" s="1"/>
  <c r="AC139" i="2"/>
  <c r="AC4" i="6" s="1"/>
  <c r="AA139" i="2"/>
  <c r="Z139" i="2"/>
  <c r="Z4" i="6" s="1"/>
  <c r="Y139" i="2"/>
  <c r="Y4" i="6" s="1"/>
  <c r="X139" i="2"/>
  <c r="X4" i="6" s="1"/>
  <c r="W139" i="2"/>
  <c r="W4" i="6" s="1"/>
  <c r="V139" i="2"/>
  <c r="V4" i="6" s="1"/>
  <c r="U139" i="2"/>
  <c r="U4" i="6" s="1"/>
  <c r="AC138" i="2"/>
  <c r="AC3" i="6" s="1"/>
  <c r="AA138" i="2"/>
  <c r="Z138" i="2"/>
  <c r="Z3" i="6" s="1"/>
  <c r="Y138" i="2"/>
  <c r="Y3" i="6" s="1"/>
  <c r="X138" i="2"/>
  <c r="X3" i="6" s="1"/>
  <c r="W138" i="2"/>
  <c r="W3" i="6" s="1"/>
  <c r="V138" i="2"/>
  <c r="V3" i="6" s="1"/>
  <c r="U138" i="2"/>
  <c r="U3" i="6" s="1"/>
  <c r="AC137" i="2"/>
  <c r="AC2" i="6" s="1"/>
  <c r="AA137" i="2"/>
  <c r="Z137" i="2"/>
  <c r="Z2" i="6" s="1"/>
  <c r="Y137" i="2"/>
  <c r="Y2" i="6" s="1"/>
  <c r="X137" i="2"/>
  <c r="X2" i="6" s="1"/>
  <c r="W137" i="2"/>
  <c r="W2" i="6" s="1"/>
  <c r="V137" i="2"/>
  <c r="V2" i="6" s="1"/>
  <c r="U137" i="2"/>
  <c r="U2" i="6" s="1"/>
  <c r="AC136" i="2"/>
  <c r="AC43" i="5" s="1"/>
  <c r="AA136" i="2"/>
  <c r="Z136" i="2"/>
  <c r="Z43" i="5" s="1"/>
  <c r="Y136" i="2"/>
  <c r="Y43" i="5" s="1"/>
  <c r="X136" i="2"/>
  <c r="X43" i="5" s="1"/>
  <c r="W136" i="2"/>
  <c r="W43" i="5" s="1"/>
  <c r="V136" i="2"/>
  <c r="V43" i="5" s="1"/>
  <c r="U136" i="2"/>
  <c r="U43" i="5" s="1"/>
  <c r="AC135" i="2"/>
  <c r="AC42" i="5" s="1"/>
  <c r="AA135" i="2"/>
  <c r="Z135" i="2"/>
  <c r="Z42" i="5" s="1"/>
  <c r="Y135" i="2"/>
  <c r="Y42" i="5" s="1"/>
  <c r="X135" i="2"/>
  <c r="X42" i="5" s="1"/>
  <c r="W135" i="2"/>
  <c r="W42" i="5" s="1"/>
  <c r="V135" i="2"/>
  <c r="V42" i="5" s="1"/>
  <c r="U135" i="2"/>
  <c r="U42" i="5" s="1"/>
  <c r="AC134" i="2"/>
  <c r="AC41" i="5" s="1"/>
  <c r="AA134" i="2"/>
  <c r="Z134" i="2"/>
  <c r="Z41" i="5" s="1"/>
  <c r="Y134" i="2"/>
  <c r="Y41" i="5" s="1"/>
  <c r="X134" i="2"/>
  <c r="X41" i="5" s="1"/>
  <c r="W134" i="2"/>
  <c r="W41" i="5" s="1"/>
  <c r="V134" i="2"/>
  <c r="V41" i="5" s="1"/>
  <c r="U134" i="2"/>
  <c r="U41" i="5" s="1"/>
  <c r="AC133" i="2"/>
  <c r="AC40" i="5" s="1"/>
  <c r="AA133" i="2"/>
  <c r="Z133" i="2"/>
  <c r="Z40" i="5" s="1"/>
  <c r="Y133" i="2"/>
  <c r="Y40" i="5" s="1"/>
  <c r="X133" i="2"/>
  <c r="X40" i="5" s="1"/>
  <c r="W133" i="2"/>
  <c r="W40" i="5" s="1"/>
  <c r="V133" i="2"/>
  <c r="V40" i="5" s="1"/>
  <c r="U133" i="2"/>
  <c r="U40" i="5" s="1"/>
  <c r="AC132" i="2"/>
  <c r="AC39" i="5" s="1"/>
  <c r="AA132" i="2"/>
  <c r="Z132" i="2"/>
  <c r="Z39" i="5" s="1"/>
  <c r="Y132" i="2"/>
  <c r="Y39" i="5" s="1"/>
  <c r="X132" i="2"/>
  <c r="X39" i="5" s="1"/>
  <c r="W132" i="2"/>
  <c r="W39" i="5" s="1"/>
  <c r="V132" i="2"/>
  <c r="V39" i="5" s="1"/>
  <c r="U132" i="2"/>
  <c r="U39" i="5" s="1"/>
  <c r="AC131" i="2"/>
  <c r="AC38" i="5" s="1"/>
  <c r="AA131" i="2"/>
  <c r="Z131" i="2"/>
  <c r="Z38" i="5" s="1"/>
  <c r="Y131" i="2"/>
  <c r="Y38" i="5" s="1"/>
  <c r="X131" i="2"/>
  <c r="X38" i="5" s="1"/>
  <c r="W131" i="2"/>
  <c r="W38" i="5" s="1"/>
  <c r="V131" i="2"/>
  <c r="V38" i="5" s="1"/>
  <c r="U131" i="2"/>
  <c r="U38" i="5" s="1"/>
  <c r="AC130" i="2"/>
  <c r="AC37" i="5" s="1"/>
  <c r="AA130" i="2"/>
  <c r="Z130" i="2"/>
  <c r="Z37" i="5" s="1"/>
  <c r="Y130" i="2"/>
  <c r="Y37" i="5" s="1"/>
  <c r="X130" i="2"/>
  <c r="X37" i="5" s="1"/>
  <c r="W130" i="2"/>
  <c r="W37" i="5" s="1"/>
  <c r="V130" i="2"/>
  <c r="V37" i="5" s="1"/>
  <c r="U130" i="2"/>
  <c r="U37" i="5" s="1"/>
  <c r="AC129" i="2"/>
  <c r="AC36" i="5" s="1"/>
  <c r="AA129" i="2"/>
  <c r="Z129" i="2"/>
  <c r="Z36" i="5" s="1"/>
  <c r="Y129" i="2"/>
  <c r="Y36" i="5" s="1"/>
  <c r="X129" i="2"/>
  <c r="X36" i="5" s="1"/>
  <c r="W129" i="2"/>
  <c r="W36" i="5" s="1"/>
  <c r="V129" i="2"/>
  <c r="V36" i="5" s="1"/>
  <c r="U129" i="2"/>
  <c r="U36" i="5" s="1"/>
  <c r="AC128" i="2"/>
  <c r="AC35" i="5" s="1"/>
  <c r="AA128" i="2"/>
  <c r="Z128" i="2"/>
  <c r="Z35" i="5" s="1"/>
  <c r="Y128" i="2"/>
  <c r="Y35" i="5" s="1"/>
  <c r="X128" i="2"/>
  <c r="X35" i="5" s="1"/>
  <c r="W128" i="2"/>
  <c r="W35" i="5" s="1"/>
  <c r="V128" i="2"/>
  <c r="V35" i="5" s="1"/>
  <c r="U128" i="2"/>
  <c r="U35" i="5" s="1"/>
  <c r="AC127" i="2"/>
  <c r="AC34" i="5" s="1"/>
  <c r="AA127" i="2"/>
  <c r="Z127" i="2"/>
  <c r="Z34" i="5" s="1"/>
  <c r="Y127" i="2"/>
  <c r="Y34" i="5" s="1"/>
  <c r="X127" i="2"/>
  <c r="X34" i="5" s="1"/>
  <c r="W127" i="2"/>
  <c r="W34" i="5" s="1"/>
  <c r="V127" i="2"/>
  <c r="V34" i="5" s="1"/>
  <c r="U127" i="2"/>
  <c r="U34" i="5" s="1"/>
  <c r="AC126" i="2"/>
  <c r="AC33" i="5" s="1"/>
  <c r="AA126" i="2"/>
  <c r="Z126" i="2"/>
  <c r="Z33" i="5" s="1"/>
  <c r="Y126" i="2"/>
  <c r="Y33" i="5" s="1"/>
  <c r="X126" i="2"/>
  <c r="X33" i="5" s="1"/>
  <c r="W126" i="2"/>
  <c r="W33" i="5" s="1"/>
  <c r="V126" i="2"/>
  <c r="V33" i="5" s="1"/>
  <c r="U126" i="2"/>
  <c r="U33" i="5" s="1"/>
  <c r="AC125" i="2"/>
  <c r="AC32" i="5" s="1"/>
  <c r="AA125" i="2"/>
  <c r="Z125" i="2"/>
  <c r="Z32" i="5" s="1"/>
  <c r="Y125" i="2"/>
  <c r="Y32" i="5" s="1"/>
  <c r="X125" i="2"/>
  <c r="X32" i="5" s="1"/>
  <c r="W125" i="2"/>
  <c r="W32" i="5" s="1"/>
  <c r="V125" i="2"/>
  <c r="V32" i="5" s="1"/>
  <c r="U125" i="2"/>
  <c r="U32" i="5" s="1"/>
  <c r="AC124" i="2"/>
  <c r="AC31" i="5" s="1"/>
  <c r="AA124" i="2"/>
  <c r="Z124" i="2"/>
  <c r="Z31" i="5" s="1"/>
  <c r="Y124" i="2"/>
  <c r="Y31" i="5" s="1"/>
  <c r="X124" i="2"/>
  <c r="X31" i="5" s="1"/>
  <c r="W124" i="2"/>
  <c r="W31" i="5" s="1"/>
  <c r="V124" i="2"/>
  <c r="V31" i="5" s="1"/>
  <c r="U124" i="2"/>
  <c r="U31" i="5" s="1"/>
  <c r="AC123" i="2"/>
  <c r="AC30" i="5" s="1"/>
  <c r="AA123" i="2"/>
  <c r="Z123" i="2"/>
  <c r="Z30" i="5" s="1"/>
  <c r="Y123" i="2"/>
  <c r="Y30" i="5" s="1"/>
  <c r="X123" i="2"/>
  <c r="X30" i="5" s="1"/>
  <c r="W123" i="2"/>
  <c r="W30" i="5" s="1"/>
  <c r="V123" i="2"/>
  <c r="V30" i="5" s="1"/>
  <c r="U123" i="2"/>
  <c r="U30" i="5" s="1"/>
  <c r="AC122" i="2"/>
  <c r="AC29" i="5" s="1"/>
  <c r="AA122" i="2"/>
  <c r="Z122" i="2"/>
  <c r="Z29" i="5" s="1"/>
  <c r="Y122" i="2"/>
  <c r="Y29" i="5" s="1"/>
  <c r="X122" i="2"/>
  <c r="X29" i="5" s="1"/>
  <c r="W122" i="2"/>
  <c r="W29" i="5" s="1"/>
  <c r="V122" i="2"/>
  <c r="V29" i="5" s="1"/>
  <c r="U122" i="2"/>
  <c r="U29" i="5" s="1"/>
  <c r="AC121" i="2"/>
  <c r="AC28" i="5" s="1"/>
  <c r="AA121" i="2"/>
  <c r="Z121" i="2"/>
  <c r="Z28" i="5" s="1"/>
  <c r="Y121" i="2"/>
  <c r="Y28" i="5" s="1"/>
  <c r="X121" i="2"/>
  <c r="X28" i="5" s="1"/>
  <c r="W121" i="2"/>
  <c r="W28" i="5" s="1"/>
  <c r="V121" i="2"/>
  <c r="V28" i="5" s="1"/>
  <c r="U121" i="2"/>
  <c r="U28" i="5" s="1"/>
  <c r="AC120" i="2"/>
  <c r="AC27" i="5" s="1"/>
  <c r="AA120" i="2"/>
  <c r="Z120" i="2"/>
  <c r="Z27" i="5" s="1"/>
  <c r="Y120" i="2"/>
  <c r="Y27" i="5" s="1"/>
  <c r="X120" i="2"/>
  <c r="X27" i="5" s="1"/>
  <c r="W120" i="2"/>
  <c r="W27" i="5" s="1"/>
  <c r="V120" i="2"/>
  <c r="V27" i="5" s="1"/>
  <c r="U120" i="2"/>
  <c r="U27" i="5" s="1"/>
  <c r="AC119" i="2"/>
  <c r="AC26" i="5" s="1"/>
  <c r="AA119" i="2"/>
  <c r="Z119" i="2"/>
  <c r="Z26" i="5" s="1"/>
  <c r="Y119" i="2"/>
  <c r="Y26" i="5" s="1"/>
  <c r="X119" i="2"/>
  <c r="X26" i="5" s="1"/>
  <c r="W119" i="2"/>
  <c r="W26" i="5" s="1"/>
  <c r="V119" i="2"/>
  <c r="V26" i="5" s="1"/>
  <c r="U119" i="2"/>
  <c r="U26" i="5" s="1"/>
  <c r="AC118" i="2"/>
  <c r="AC25" i="5" s="1"/>
  <c r="AA118" i="2"/>
  <c r="Z118" i="2"/>
  <c r="Z25" i="5" s="1"/>
  <c r="Y118" i="2"/>
  <c r="Y25" i="5" s="1"/>
  <c r="X118" i="2"/>
  <c r="X25" i="5" s="1"/>
  <c r="W118" i="2"/>
  <c r="W25" i="5" s="1"/>
  <c r="V118" i="2"/>
  <c r="V25" i="5" s="1"/>
  <c r="U118" i="2"/>
  <c r="U25" i="5" s="1"/>
  <c r="AC117" i="2"/>
  <c r="AC24" i="5" s="1"/>
  <c r="AA117" i="2"/>
  <c r="Z117" i="2"/>
  <c r="Z24" i="5" s="1"/>
  <c r="Y117" i="2"/>
  <c r="Y24" i="5" s="1"/>
  <c r="X117" i="2"/>
  <c r="X24" i="5" s="1"/>
  <c r="W117" i="2"/>
  <c r="W24" i="5" s="1"/>
  <c r="V117" i="2"/>
  <c r="V24" i="5" s="1"/>
  <c r="U117" i="2"/>
  <c r="U24" i="5" s="1"/>
  <c r="AC116" i="2"/>
  <c r="AC23" i="5" s="1"/>
  <c r="AA116" i="2"/>
  <c r="Z116" i="2"/>
  <c r="Z23" i="5" s="1"/>
  <c r="Y116" i="2"/>
  <c r="Y23" i="5" s="1"/>
  <c r="X116" i="2"/>
  <c r="X23" i="5" s="1"/>
  <c r="W116" i="2"/>
  <c r="W23" i="5" s="1"/>
  <c r="V116" i="2"/>
  <c r="V23" i="5" s="1"/>
  <c r="U116" i="2"/>
  <c r="U23" i="5" s="1"/>
  <c r="AC115" i="2"/>
  <c r="AC22" i="5" s="1"/>
  <c r="AA115" i="2"/>
  <c r="Z115" i="2"/>
  <c r="Z22" i="5" s="1"/>
  <c r="Y115" i="2"/>
  <c r="Y22" i="5" s="1"/>
  <c r="X115" i="2"/>
  <c r="X22" i="5" s="1"/>
  <c r="W115" i="2"/>
  <c r="W22" i="5" s="1"/>
  <c r="V115" i="2"/>
  <c r="V22" i="5" s="1"/>
  <c r="U115" i="2"/>
  <c r="U22" i="5" s="1"/>
  <c r="AC114" i="2"/>
  <c r="AC21" i="5" s="1"/>
  <c r="AA114" i="2"/>
  <c r="Z114" i="2"/>
  <c r="Z21" i="5" s="1"/>
  <c r="Y114" i="2"/>
  <c r="Y21" i="5" s="1"/>
  <c r="X114" i="2"/>
  <c r="X21" i="5" s="1"/>
  <c r="W114" i="2"/>
  <c r="W21" i="5" s="1"/>
  <c r="V114" i="2"/>
  <c r="V21" i="5" s="1"/>
  <c r="U114" i="2"/>
  <c r="U21" i="5" s="1"/>
  <c r="AC113" i="2"/>
  <c r="AC20" i="5" s="1"/>
  <c r="AA113" i="2"/>
  <c r="Z113" i="2"/>
  <c r="Z20" i="5" s="1"/>
  <c r="Y113" i="2"/>
  <c r="Y20" i="5" s="1"/>
  <c r="X113" i="2"/>
  <c r="X20" i="5" s="1"/>
  <c r="W113" i="2"/>
  <c r="W20" i="5" s="1"/>
  <c r="V113" i="2"/>
  <c r="V20" i="5" s="1"/>
  <c r="U113" i="2"/>
  <c r="U20" i="5" s="1"/>
  <c r="AC112" i="2"/>
  <c r="AC19" i="5" s="1"/>
  <c r="AA112" i="2"/>
  <c r="Z112" i="2"/>
  <c r="Z19" i="5" s="1"/>
  <c r="Y112" i="2"/>
  <c r="Y19" i="5" s="1"/>
  <c r="X112" i="2"/>
  <c r="X19" i="5" s="1"/>
  <c r="W112" i="2"/>
  <c r="W19" i="5" s="1"/>
  <c r="V112" i="2"/>
  <c r="V19" i="5" s="1"/>
  <c r="U112" i="2"/>
  <c r="U19" i="5" s="1"/>
  <c r="AC111" i="2"/>
  <c r="AC18" i="5" s="1"/>
  <c r="AA111" i="2"/>
  <c r="Z111" i="2"/>
  <c r="Z18" i="5" s="1"/>
  <c r="Y111" i="2"/>
  <c r="Y18" i="5" s="1"/>
  <c r="X111" i="2"/>
  <c r="X18" i="5" s="1"/>
  <c r="W111" i="2"/>
  <c r="W18" i="5" s="1"/>
  <c r="V111" i="2"/>
  <c r="V18" i="5" s="1"/>
  <c r="U111" i="2"/>
  <c r="U18" i="5" s="1"/>
  <c r="AC110" i="2"/>
  <c r="AC17" i="5" s="1"/>
  <c r="AA110" i="2"/>
  <c r="Z110" i="2"/>
  <c r="Z17" i="5" s="1"/>
  <c r="Y110" i="2"/>
  <c r="Y17" i="5" s="1"/>
  <c r="X110" i="2"/>
  <c r="X17" i="5" s="1"/>
  <c r="W110" i="2"/>
  <c r="W17" i="5" s="1"/>
  <c r="V110" i="2"/>
  <c r="V17" i="5" s="1"/>
  <c r="U110" i="2"/>
  <c r="U17" i="5" s="1"/>
  <c r="AC109" i="2"/>
  <c r="AC16" i="5" s="1"/>
  <c r="AA109" i="2"/>
  <c r="Z109" i="2"/>
  <c r="Z16" i="5" s="1"/>
  <c r="Y109" i="2"/>
  <c r="Y16" i="5" s="1"/>
  <c r="X109" i="2"/>
  <c r="X16" i="5" s="1"/>
  <c r="W109" i="2"/>
  <c r="W16" i="5" s="1"/>
  <c r="V109" i="2"/>
  <c r="V16" i="5" s="1"/>
  <c r="U109" i="2"/>
  <c r="U16" i="5" s="1"/>
  <c r="AC108" i="2"/>
  <c r="AC13" i="16" s="1"/>
  <c r="AA108" i="2"/>
  <c r="Z108" i="2"/>
  <c r="Z13" i="16" s="1"/>
  <c r="Y108" i="2"/>
  <c r="Y13" i="16" s="1"/>
  <c r="X108" i="2"/>
  <c r="X13" i="16" s="1"/>
  <c r="W108" i="2"/>
  <c r="W13" i="16" s="1"/>
  <c r="V108" i="2"/>
  <c r="V13" i="16" s="1"/>
  <c r="U108" i="2"/>
  <c r="U13" i="16" s="1"/>
  <c r="AC107" i="2"/>
  <c r="AC12" i="16" s="1"/>
  <c r="AA107" i="2"/>
  <c r="Z107" i="2"/>
  <c r="Z12" i="16" s="1"/>
  <c r="Y107" i="2"/>
  <c r="Y12" i="16" s="1"/>
  <c r="X107" i="2"/>
  <c r="X12" i="16" s="1"/>
  <c r="W107" i="2"/>
  <c r="W12" i="16" s="1"/>
  <c r="V107" i="2"/>
  <c r="V12" i="16" s="1"/>
  <c r="U107" i="2"/>
  <c r="U12" i="16" s="1"/>
  <c r="AC106" i="2"/>
  <c r="AC11" i="16" s="1"/>
  <c r="AA106" i="2"/>
  <c r="Z106" i="2"/>
  <c r="Z11" i="16" s="1"/>
  <c r="Y106" i="2"/>
  <c r="Y11" i="16" s="1"/>
  <c r="X106" i="2"/>
  <c r="X11" i="16" s="1"/>
  <c r="W106" i="2"/>
  <c r="W11" i="16" s="1"/>
  <c r="V106" i="2"/>
  <c r="V11" i="16" s="1"/>
  <c r="U106" i="2"/>
  <c r="U11" i="16" s="1"/>
  <c r="AC105" i="2"/>
  <c r="AC10" i="16" s="1"/>
  <c r="AA105" i="2"/>
  <c r="Z105" i="2"/>
  <c r="Z10" i="16" s="1"/>
  <c r="Y105" i="2"/>
  <c r="Y10" i="16" s="1"/>
  <c r="X105" i="2"/>
  <c r="X10" i="16" s="1"/>
  <c r="W105" i="2"/>
  <c r="W10" i="16" s="1"/>
  <c r="V105" i="2"/>
  <c r="V10" i="16" s="1"/>
  <c r="U105" i="2"/>
  <c r="U10" i="16" s="1"/>
  <c r="AC104" i="2"/>
  <c r="AC9" i="16" s="1"/>
  <c r="AA104" i="2"/>
  <c r="Z104" i="2"/>
  <c r="Z9" i="16" s="1"/>
  <c r="Y104" i="2"/>
  <c r="Y9" i="16" s="1"/>
  <c r="X104" i="2"/>
  <c r="X9" i="16" s="1"/>
  <c r="W104" i="2"/>
  <c r="W9" i="16" s="1"/>
  <c r="V104" i="2"/>
  <c r="V9" i="16" s="1"/>
  <c r="U104" i="2"/>
  <c r="U9" i="16" s="1"/>
  <c r="AC103" i="2"/>
  <c r="AC8" i="16" s="1"/>
  <c r="AA103" i="2"/>
  <c r="Z103" i="2"/>
  <c r="Z8" i="16" s="1"/>
  <c r="Y103" i="2"/>
  <c r="Y8" i="16" s="1"/>
  <c r="X103" i="2"/>
  <c r="X8" i="16" s="1"/>
  <c r="W103" i="2"/>
  <c r="W8" i="16" s="1"/>
  <c r="V103" i="2"/>
  <c r="V8" i="16" s="1"/>
  <c r="U103" i="2"/>
  <c r="U8" i="16" s="1"/>
  <c r="AC102" i="2"/>
  <c r="AC7" i="16" s="1"/>
  <c r="AA102" i="2"/>
  <c r="Z102" i="2"/>
  <c r="Z7" i="16" s="1"/>
  <c r="Y102" i="2"/>
  <c r="Y7" i="16" s="1"/>
  <c r="X102" i="2"/>
  <c r="X7" i="16" s="1"/>
  <c r="W102" i="2"/>
  <c r="W7" i="16" s="1"/>
  <c r="V102" i="2"/>
  <c r="V7" i="16" s="1"/>
  <c r="U102" i="2"/>
  <c r="U7" i="16" s="1"/>
  <c r="AC101" i="2"/>
  <c r="AC6" i="16" s="1"/>
  <c r="AA101" i="2"/>
  <c r="Z101" i="2"/>
  <c r="Z6" i="16" s="1"/>
  <c r="Y101" i="2"/>
  <c r="Y6" i="16" s="1"/>
  <c r="X101" i="2"/>
  <c r="X6" i="16" s="1"/>
  <c r="W101" i="2"/>
  <c r="W6" i="16" s="1"/>
  <c r="V101" i="2"/>
  <c r="V6" i="16" s="1"/>
  <c r="U101" i="2"/>
  <c r="U6" i="16" s="1"/>
  <c r="AC100" i="2"/>
  <c r="AC5" i="16" s="1"/>
  <c r="AA100" i="2"/>
  <c r="Z100" i="2"/>
  <c r="Z5" i="16" s="1"/>
  <c r="Y100" i="2"/>
  <c r="Y5" i="16" s="1"/>
  <c r="X100" i="2"/>
  <c r="X5" i="16" s="1"/>
  <c r="W100" i="2"/>
  <c r="W5" i="16" s="1"/>
  <c r="V100" i="2"/>
  <c r="V5" i="16" s="1"/>
  <c r="U100" i="2"/>
  <c r="U5" i="16" s="1"/>
  <c r="AC99" i="2"/>
  <c r="AC4" i="16" s="1"/>
  <c r="AA99" i="2"/>
  <c r="Z99" i="2"/>
  <c r="Z4" i="16" s="1"/>
  <c r="Y99" i="2"/>
  <c r="Y4" i="16" s="1"/>
  <c r="X99" i="2"/>
  <c r="X4" i="16" s="1"/>
  <c r="W99" i="2"/>
  <c r="W4" i="16" s="1"/>
  <c r="V99" i="2"/>
  <c r="V4" i="16" s="1"/>
  <c r="U99" i="2"/>
  <c r="U4" i="16" s="1"/>
  <c r="AC98" i="2"/>
  <c r="AC3" i="16" s="1"/>
  <c r="AA98" i="2"/>
  <c r="Z98" i="2"/>
  <c r="Z3" i="16" s="1"/>
  <c r="Y98" i="2"/>
  <c r="Y3" i="16" s="1"/>
  <c r="X98" i="2"/>
  <c r="X3" i="16" s="1"/>
  <c r="W98" i="2"/>
  <c r="W3" i="16" s="1"/>
  <c r="V98" i="2"/>
  <c r="V3" i="16" s="1"/>
  <c r="U98" i="2"/>
  <c r="U3" i="16" s="1"/>
  <c r="AC97" i="2"/>
  <c r="AC2" i="16" s="1"/>
  <c r="AA97" i="2"/>
  <c r="Z97" i="2"/>
  <c r="Z2" i="16" s="1"/>
  <c r="Y97" i="2"/>
  <c r="Y2" i="16" s="1"/>
  <c r="X97" i="2"/>
  <c r="X2" i="16" s="1"/>
  <c r="W97" i="2"/>
  <c r="W2" i="16" s="1"/>
  <c r="V97" i="2"/>
  <c r="V2" i="16" s="1"/>
  <c r="U97" i="2"/>
  <c r="U2" i="16" s="1"/>
  <c r="AC96" i="2"/>
  <c r="AC19" i="15" s="1"/>
  <c r="AA96" i="2"/>
  <c r="Z96" i="2"/>
  <c r="Z19" i="15" s="1"/>
  <c r="Y96" i="2"/>
  <c r="Y19" i="15" s="1"/>
  <c r="X96" i="2"/>
  <c r="X19" i="15" s="1"/>
  <c r="W96" i="2"/>
  <c r="W19" i="15" s="1"/>
  <c r="V96" i="2"/>
  <c r="V19" i="15" s="1"/>
  <c r="U96" i="2"/>
  <c r="U19" i="15" s="1"/>
  <c r="AC95" i="2"/>
  <c r="AC18" i="15" s="1"/>
  <c r="AA95" i="2"/>
  <c r="Z95" i="2"/>
  <c r="Z18" i="15" s="1"/>
  <c r="Y95" i="2"/>
  <c r="Y18" i="15" s="1"/>
  <c r="X95" i="2"/>
  <c r="X18" i="15" s="1"/>
  <c r="W95" i="2"/>
  <c r="W18" i="15" s="1"/>
  <c r="V95" i="2"/>
  <c r="V18" i="15" s="1"/>
  <c r="U95" i="2"/>
  <c r="U18" i="15" s="1"/>
  <c r="AC94" i="2"/>
  <c r="AC17" i="15" s="1"/>
  <c r="AA94" i="2"/>
  <c r="Z94" i="2"/>
  <c r="Z17" i="15" s="1"/>
  <c r="Y94" i="2"/>
  <c r="Y17" i="15" s="1"/>
  <c r="X94" i="2"/>
  <c r="X17" i="15" s="1"/>
  <c r="W94" i="2"/>
  <c r="W17" i="15" s="1"/>
  <c r="V94" i="2"/>
  <c r="V17" i="15" s="1"/>
  <c r="U94" i="2"/>
  <c r="U17" i="15" s="1"/>
  <c r="AC93" i="2"/>
  <c r="AC16" i="15" s="1"/>
  <c r="AA93" i="2"/>
  <c r="Z93" i="2"/>
  <c r="Z16" i="15" s="1"/>
  <c r="Y93" i="2"/>
  <c r="Y16" i="15" s="1"/>
  <c r="X93" i="2"/>
  <c r="X16" i="15" s="1"/>
  <c r="W93" i="2"/>
  <c r="W16" i="15" s="1"/>
  <c r="V93" i="2"/>
  <c r="V16" i="15" s="1"/>
  <c r="U93" i="2"/>
  <c r="U16" i="15" s="1"/>
  <c r="AC92" i="2"/>
  <c r="AC15" i="15" s="1"/>
  <c r="AA92" i="2"/>
  <c r="Z92" i="2"/>
  <c r="Z15" i="15" s="1"/>
  <c r="Y92" i="2"/>
  <c r="Y15" i="15" s="1"/>
  <c r="X92" i="2"/>
  <c r="X15" i="15" s="1"/>
  <c r="W92" i="2"/>
  <c r="W15" i="15" s="1"/>
  <c r="V92" i="2"/>
  <c r="V15" i="15" s="1"/>
  <c r="U92" i="2"/>
  <c r="U15" i="15" s="1"/>
  <c r="AC91" i="2"/>
  <c r="AC14" i="15" s="1"/>
  <c r="AA91" i="2"/>
  <c r="Z91" i="2"/>
  <c r="Z14" i="15" s="1"/>
  <c r="Y91" i="2"/>
  <c r="Y14" i="15" s="1"/>
  <c r="X91" i="2"/>
  <c r="X14" i="15" s="1"/>
  <c r="W91" i="2"/>
  <c r="W14" i="15" s="1"/>
  <c r="V91" i="2"/>
  <c r="V14" i="15" s="1"/>
  <c r="U91" i="2"/>
  <c r="U14" i="15" s="1"/>
  <c r="AC90" i="2"/>
  <c r="AC13" i="15" s="1"/>
  <c r="AA90" i="2"/>
  <c r="Z90" i="2"/>
  <c r="Z13" i="15" s="1"/>
  <c r="Y90" i="2"/>
  <c r="Y13" i="15" s="1"/>
  <c r="X90" i="2"/>
  <c r="X13" i="15" s="1"/>
  <c r="W90" i="2"/>
  <c r="W13" i="15" s="1"/>
  <c r="V90" i="2"/>
  <c r="V13" i="15" s="1"/>
  <c r="U90" i="2"/>
  <c r="U13" i="15" s="1"/>
  <c r="AC89" i="2"/>
  <c r="AC12" i="15" s="1"/>
  <c r="AA89" i="2"/>
  <c r="Z89" i="2"/>
  <c r="Z12" i="15" s="1"/>
  <c r="Y89" i="2"/>
  <c r="Y12" i="15" s="1"/>
  <c r="X89" i="2"/>
  <c r="X12" i="15" s="1"/>
  <c r="W89" i="2"/>
  <c r="W12" i="15" s="1"/>
  <c r="V89" i="2"/>
  <c r="V12" i="15" s="1"/>
  <c r="U89" i="2"/>
  <c r="U12" i="15" s="1"/>
  <c r="AC88" i="2"/>
  <c r="AC11" i="15" s="1"/>
  <c r="AA88" i="2"/>
  <c r="Z88" i="2"/>
  <c r="Z11" i="15" s="1"/>
  <c r="Y88" i="2"/>
  <c r="Y11" i="15" s="1"/>
  <c r="X88" i="2"/>
  <c r="X11" i="15" s="1"/>
  <c r="W88" i="2"/>
  <c r="W11" i="15" s="1"/>
  <c r="V88" i="2"/>
  <c r="V11" i="15" s="1"/>
  <c r="U88" i="2"/>
  <c r="U11" i="15" s="1"/>
  <c r="AC87" i="2"/>
  <c r="AC10" i="15" s="1"/>
  <c r="AA87" i="2"/>
  <c r="Z87" i="2"/>
  <c r="Z10" i="15" s="1"/>
  <c r="Y87" i="2"/>
  <c r="Y10" i="15" s="1"/>
  <c r="X87" i="2"/>
  <c r="X10" i="15" s="1"/>
  <c r="W87" i="2"/>
  <c r="W10" i="15" s="1"/>
  <c r="V87" i="2"/>
  <c r="V10" i="15" s="1"/>
  <c r="U87" i="2"/>
  <c r="U10" i="15" s="1"/>
  <c r="AC86" i="2"/>
  <c r="AC9" i="15" s="1"/>
  <c r="AA86" i="2"/>
  <c r="Z86" i="2"/>
  <c r="Z9" i="15" s="1"/>
  <c r="Y86" i="2"/>
  <c r="Y9" i="15" s="1"/>
  <c r="X86" i="2"/>
  <c r="X9" i="15" s="1"/>
  <c r="W86" i="2"/>
  <c r="W9" i="15" s="1"/>
  <c r="V86" i="2"/>
  <c r="V9" i="15" s="1"/>
  <c r="U86" i="2"/>
  <c r="U9" i="15" s="1"/>
  <c r="AC85" i="2"/>
  <c r="AC8" i="15" s="1"/>
  <c r="AA85" i="2"/>
  <c r="Z85" i="2"/>
  <c r="Z8" i="15" s="1"/>
  <c r="Y85" i="2"/>
  <c r="Y8" i="15" s="1"/>
  <c r="X85" i="2"/>
  <c r="X8" i="15" s="1"/>
  <c r="W85" i="2"/>
  <c r="W8" i="15" s="1"/>
  <c r="V85" i="2"/>
  <c r="V8" i="15" s="1"/>
  <c r="U85" i="2"/>
  <c r="U8" i="15" s="1"/>
  <c r="AC84" i="2"/>
  <c r="AC7" i="15" s="1"/>
  <c r="AA84" i="2"/>
  <c r="Z84" i="2"/>
  <c r="Z7" i="15" s="1"/>
  <c r="Y84" i="2"/>
  <c r="Y7" i="15" s="1"/>
  <c r="X84" i="2"/>
  <c r="X7" i="15" s="1"/>
  <c r="W84" i="2"/>
  <c r="W7" i="15" s="1"/>
  <c r="V84" i="2"/>
  <c r="V7" i="15" s="1"/>
  <c r="U84" i="2"/>
  <c r="U7" i="15" s="1"/>
  <c r="AC83" i="2"/>
  <c r="AC6" i="15" s="1"/>
  <c r="AA83" i="2"/>
  <c r="Z83" i="2"/>
  <c r="Z6" i="15" s="1"/>
  <c r="Y83" i="2"/>
  <c r="Y6" i="15" s="1"/>
  <c r="X83" i="2"/>
  <c r="X6" i="15" s="1"/>
  <c r="W83" i="2"/>
  <c r="W6" i="15" s="1"/>
  <c r="V83" i="2"/>
  <c r="V6" i="15" s="1"/>
  <c r="U83" i="2"/>
  <c r="U6" i="15" s="1"/>
  <c r="AC82" i="2"/>
  <c r="AC5" i="15" s="1"/>
  <c r="AA82" i="2"/>
  <c r="Z82" i="2"/>
  <c r="Z5" i="15" s="1"/>
  <c r="Y82" i="2"/>
  <c r="Y5" i="15" s="1"/>
  <c r="X82" i="2"/>
  <c r="X5" i="15" s="1"/>
  <c r="W82" i="2"/>
  <c r="W5" i="15" s="1"/>
  <c r="V82" i="2"/>
  <c r="V5" i="15" s="1"/>
  <c r="U82" i="2"/>
  <c r="U5" i="15" s="1"/>
  <c r="AC81" i="2"/>
  <c r="AC4" i="15" s="1"/>
  <c r="AA81" i="2"/>
  <c r="Z81" i="2"/>
  <c r="Z4" i="15" s="1"/>
  <c r="Y81" i="2"/>
  <c r="Y4" i="15" s="1"/>
  <c r="X81" i="2"/>
  <c r="X4" i="15" s="1"/>
  <c r="W81" i="2"/>
  <c r="W4" i="15" s="1"/>
  <c r="V81" i="2"/>
  <c r="V4" i="15" s="1"/>
  <c r="U81" i="2"/>
  <c r="U4" i="15" s="1"/>
  <c r="AC80" i="2"/>
  <c r="AC3" i="15" s="1"/>
  <c r="AA80" i="2"/>
  <c r="Z80" i="2"/>
  <c r="Z3" i="15" s="1"/>
  <c r="Y80" i="2"/>
  <c r="Y3" i="15" s="1"/>
  <c r="X80" i="2"/>
  <c r="X3" i="15" s="1"/>
  <c r="W80" i="2"/>
  <c r="W3" i="15" s="1"/>
  <c r="V80" i="2"/>
  <c r="V3" i="15" s="1"/>
  <c r="U80" i="2"/>
  <c r="U3" i="15" s="1"/>
  <c r="AC79" i="2"/>
  <c r="AC2" i="15" s="1"/>
  <c r="AA79" i="2"/>
  <c r="Z79" i="2"/>
  <c r="Z2" i="15" s="1"/>
  <c r="Y79" i="2"/>
  <c r="Y2" i="15" s="1"/>
  <c r="X79" i="2"/>
  <c r="X2" i="15" s="1"/>
  <c r="W79" i="2"/>
  <c r="W2" i="15" s="1"/>
  <c r="V79" i="2"/>
  <c r="V2" i="15" s="1"/>
  <c r="U79" i="2"/>
  <c r="U2" i="15" s="1"/>
  <c r="AC78" i="2"/>
  <c r="AC8" i="14" s="1"/>
  <c r="AA78" i="2"/>
  <c r="Z78" i="2"/>
  <c r="Z8" i="14" s="1"/>
  <c r="Y78" i="2"/>
  <c r="Y8" i="14" s="1"/>
  <c r="X78" i="2"/>
  <c r="X8" i="14" s="1"/>
  <c r="W78" i="2"/>
  <c r="W8" i="14" s="1"/>
  <c r="V78" i="2"/>
  <c r="V8" i="14" s="1"/>
  <c r="U78" i="2"/>
  <c r="U8" i="14" s="1"/>
  <c r="AC77" i="2"/>
  <c r="AC7" i="14" s="1"/>
  <c r="AA77" i="2"/>
  <c r="Z77" i="2"/>
  <c r="Z7" i="14" s="1"/>
  <c r="Y77" i="2"/>
  <c r="Y7" i="14" s="1"/>
  <c r="X77" i="2"/>
  <c r="X7" i="14" s="1"/>
  <c r="W77" i="2"/>
  <c r="W7" i="14" s="1"/>
  <c r="V77" i="2"/>
  <c r="V7" i="14" s="1"/>
  <c r="U77" i="2"/>
  <c r="U7" i="14" s="1"/>
  <c r="AC76" i="2"/>
  <c r="AC6" i="14" s="1"/>
  <c r="AA76" i="2"/>
  <c r="Z76" i="2"/>
  <c r="Z6" i="14" s="1"/>
  <c r="Y76" i="2"/>
  <c r="Y6" i="14" s="1"/>
  <c r="X76" i="2"/>
  <c r="X6" i="14" s="1"/>
  <c r="W76" i="2"/>
  <c r="W6" i="14" s="1"/>
  <c r="V76" i="2"/>
  <c r="V6" i="14" s="1"/>
  <c r="U76" i="2"/>
  <c r="U6" i="14" s="1"/>
  <c r="AC75" i="2"/>
  <c r="AC5" i="14" s="1"/>
  <c r="AA75" i="2"/>
  <c r="Z75" i="2"/>
  <c r="Z5" i="14" s="1"/>
  <c r="Y75" i="2"/>
  <c r="Y5" i="14" s="1"/>
  <c r="X75" i="2"/>
  <c r="X5" i="14" s="1"/>
  <c r="W75" i="2"/>
  <c r="W5" i="14" s="1"/>
  <c r="V75" i="2"/>
  <c r="V5" i="14" s="1"/>
  <c r="U75" i="2"/>
  <c r="U5" i="14" s="1"/>
  <c r="AC74" i="2"/>
  <c r="AC4" i="14" s="1"/>
  <c r="AA74" i="2"/>
  <c r="Z74" i="2"/>
  <c r="Z4" i="14" s="1"/>
  <c r="Y74" i="2"/>
  <c r="Y4" i="14" s="1"/>
  <c r="X74" i="2"/>
  <c r="X4" i="14" s="1"/>
  <c r="W74" i="2"/>
  <c r="W4" i="14" s="1"/>
  <c r="V74" i="2"/>
  <c r="V4" i="14" s="1"/>
  <c r="U74" i="2"/>
  <c r="U4" i="14" s="1"/>
  <c r="AC73" i="2"/>
  <c r="AC3" i="14" s="1"/>
  <c r="AA73" i="2"/>
  <c r="Z73" i="2"/>
  <c r="Z3" i="14" s="1"/>
  <c r="Y73" i="2"/>
  <c r="Y3" i="14" s="1"/>
  <c r="X73" i="2"/>
  <c r="X3" i="14" s="1"/>
  <c r="W73" i="2"/>
  <c r="W3" i="14" s="1"/>
  <c r="V73" i="2"/>
  <c r="V3" i="14" s="1"/>
  <c r="U73" i="2"/>
  <c r="U3" i="14" s="1"/>
  <c r="AC72" i="2"/>
  <c r="AC9" i="13" s="1"/>
  <c r="AA72" i="2"/>
  <c r="Z72" i="2"/>
  <c r="Z9" i="13" s="1"/>
  <c r="Y72" i="2"/>
  <c r="Y9" i="13" s="1"/>
  <c r="X72" i="2"/>
  <c r="X9" i="13" s="1"/>
  <c r="W72" i="2"/>
  <c r="W9" i="13" s="1"/>
  <c r="V72" i="2"/>
  <c r="V9" i="13" s="1"/>
  <c r="U72" i="2"/>
  <c r="U9" i="13" s="1"/>
  <c r="AC71" i="2"/>
  <c r="AC8" i="13" s="1"/>
  <c r="AA71" i="2"/>
  <c r="Z71" i="2"/>
  <c r="Z8" i="13" s="1"/>
  <c r="Y71" i="2"/>
  <c r="Y8" i="13" s="1"/>
  <c r="X71" i="2"/>
  <c r="X8" i="13" s="1"/>
  <c r="W71" i="2"/>
  <c r="W8" i="13" s="1"/>
  <c r="V71" i="2"/>
  <c r="V8" i="13" s="1"/>
  <c r="U71" i="2"/>
  <c r="U8" i="13" s="1"/>
  <c r="AC70" i="2"/>
  <c r="AC7" i="13" s="1"/>
  <c r="AA70" i="2"/>
  <c r="Z70" i="2"/>
  <c r="Z7" i="13" s="1"/>
  <c r="Y70" i="2"/>
  <c r="Y7" i="13" s="1"/>
  <c r="X70" i="2"/>
  <c r="X7" i="13" s="1"/>
  <c r="W70" i="2"/>
  <c r="W7" i="13" s="1"/>
  <c r="V70" i="2"/>
  <c r="V7" i="13" s="1"/>
  <c r="U70" i="2"/>
  <c r="U7" i="13" s="1"/>
  <c r="AC69" i="2"/>
  <c r="AC6" i="13" s="1"/>
  <c r="AA69" i="2"/>
  <c r="Z69" i="2"/>
  <c r="Z6" i="13" s="1"/>
  <c r="Y69" i="2"/>
  <c r="Y6" i="13" s="1"/>
  <c r="X69" i="2"/>
  <c r="X6" i="13" s="1"/>
  <c r="W69" i="2"/>
  <c r="W6" i="13" s="1"/>
  <c r="V69" i="2"/>
  <c r="V6" i="13" s="1"/>
  <c r="U69" i="2"/>
  <c r="U6" i="13" s="1"/>
  <c r="AC68" i="2"/>
  <c r="AC5" i="13" s="1"/>
  <c r="AA68" i="2"/>
  <c r="Z68" i="2"/>
  <c r="Z5" i="13" s="1"/>
  <c r="Y68" i="2"/>
  <c r="Y5" i="13" s="1"/>
  <c r="X68" i="2"/>
  <c r="X5" i="13" s="1"/>
  <c r="W68" i="2"/>
  <c r="W5" i="13" s="1"/>
  <c r="V68" i="2"/>
  <c r="V5" i="13" s="1"/>
  <c r="U68" i="2"/>
  <c r="U5" i="13" s="1"/>
  <c r="AC67" i="2"/>
  <c r="AC4" i="13" s="1"/>
  <c r="AA67" i="2"/>
  <c r="Z67" i="2"/>
  <c r="Z4" i="13" s="1"/>
  <c r="Y67" i="2"/>
  <c r="Y4" i="13" s="1"/>
  <c r="X67" i="2"/>
  <c r="X4" i="13" s="1"/>
  <c r="W67" i="2"/>
  <c r="W4" i="13" s="1"/>
  <c r="V67" i="2"/>
  <c r="V4" i="13" s="1"/>
  <c r="U67" i="2"/>
  <c r="U4" i="13" s="1"/>
  <c r="AC66" i="2"/>
  <c r="AC3" i="13" s="1"/>
  <c r="AA66" i="2"/>
  <c r="Z66" i="2"/>
  <c r="Z3" i="13" s="1"/>
  <c r="Y66" i="2"/>
  <c r="Y3" i="13" s="1"/>
  <c r="X66" i="2"/>
  <c r="X3" i="13" s="1"/>
  <c r="W66" i="2"/>
  <c r="W3" i="13" s="1"/>
  <c r="V66" i="2"/>
  <c r="V3" i="13" s="1"/>
  <c r="U66" i="2"/>
  <c r="U3" i="13" s="1"/>
  <c r="AC65" i="2"/>
  <c r="AC2" i="13" s="1"/>
  <c r="AA65" i="2"/>
  <c r="Z65" i="2"/>
  <c r="Z2" i="13" s="1"/>
  <c r="Y65" i="2"/>
  <c r="Y2" i="13" s="1"/>
  <c r="X65" i="2"/>
  <c r="X2" i="13" s="1"/>
  <c r="W65" i="2"/>
  <c r="W2" i="13" s="1"/>
  <c r="V65" i="2"/>
  <c r="V2" i="13" s="1"/>
  <c r="U65" i="2"/>
  <c r="U2" i="13" s="1"/>
  <c r="AC64" i="2"/>
  <c r="AC7" i="11" s="1"/>
  <c r="AA64" i="2"/>
  <c r="Z64" i="2"/>
  <c r="Z7" i="11" s="1"/>
  <c r="Y64" i="2"/>
  <c r="Y7" i="11" s="1"/>
  <c r="X64" i="2"/>
  <c r="X7" i="11" s="1"/>
  <c r="W64" i="2"/>
  <c r="W7" i="11" s="1"/>
  <c r="V64" i="2"/>
  <c r="V7" i="11" s="1"/>
  <c r="U64" i="2"/>
  <c r="U7" i="11" s="1"/>
  <c r="AC63" i="2"/>
  <c r="AC6" i="11" s="1"/>
  <c r="AA63" i="2"/>
  <c r="Z63" i="2"/>
  <c r="Z6" i="11" s="1"/>
  <c r="Y63" i="2"/>
  <c r="Y6" i="11" s="1"/>
  <c r="X63" i="2"/>
  <c r="X6" i="11" s="1"/>
  <c r="W63" i="2"/>
  <c r="W6" i="11" s="1"/>
  <c r="V63" i="2"/>
  <c r="V6" i="11" s="1"/>
  <c r="U63" i="2"/>
  <c r="U6" i="11" s="1"/>
  <c r="AC62" i="2"/>
  <c r="AC5" i="11" s="1"/>
  <c r="AA62" i="2"/>
  <c r="Z62" i="2"/>
  <c r="Z5" i="11" s="1"/>
  <c r="Y62" i="2"/>
  <c r="Y5" i="11" s="1"/>
  <c r="X62" i="2"/>
  <c r="X5" i="11" s="1"/>
  <c r="W62" i="2"/>
  <c r="W5" i="11" s="1"/>
  <c r="V62" i="2"/>
  <c r="V5" i="11" s="1"/>
  <c r="U62" i="2"/>
  <c r="U5" i="11" s="1"/>
  <c r="AC61" i="2"/>
  <c r="AC4" i="11" s="1"/>
  <c r="AA61" i="2"/>
  <c r="Z61" i="2"/>
  <c r="Z4" i="11" s="1"/>
  <c r="Y61" i="2"/>
  <c r="Y4" i="11" s="1"/>
  <c r="X61" i="2"/>
  <c r="X4" i="11" s="1"/>
  <c r="W61" i="2"/>
  <c r="W4" i="11" s="1"/>
  <c r="V61" i="2"/>
  <c r="V4" i="11" s="1"/>
  <c r="U61" i="2"/>
  <c r="U4" i="11" s="1"/>
  <c r="AC60" i="2"/>
  <c r="AC3" i="11" s="1"/>
  <c r="AA60" i="2"/>
  <c r="Z60" i="2"/>
  <c r="Z3" i="11" s="1"/>
  <c r="Y60" i="2"/>
  <c r="Y3" i="11" s="1"/>
  <c r="X60" i="2"/>
  <c r="X3" i="11" s="1"/>
  <c r="W60" i="2"/>
  <c r="W3" i="11" s="1"/>
  <c r="V60" i="2"/>
  <c r="V3" i="11" s="1"/>
  <c r="U60" i="2"/>
  <c r="U3" i="11" s="1"/>
  <c r="AC59" i="2"/>
  <c r="AC18" i="10" s="1"/>
  <c r="AA59" i="2"/>
  <c r="Z59" i="2"/>
  <c r="Z18" i="10" s="1"/>
  <c r="Y59" i="2"/>
  <c r="Y18" i="10" s="1"/>
  <c r="X59" i="2"/>
  <c r="X18" i="10" s="1"/>
  <c r="W59" i="2"/>
  <c r="W18" i="10" s="1"/>
  <c r="V59" i="2"/>
  <c r="V18" i="10" s="1"/>
  <c r="U59" i="2"/>
  <c r="U18" i="10" s="1"/>
  <c r="AC58" i="2"/>
  <c r="AC17" i="10" s="1"/>
  <c r="AA58" i="2"/>
  <c r="Z58" i="2"/>
  <c r="Z17" i="10" s="1"/>
  <c r="Y58" i="2"/>
  <c r="Y17" i="10" s="1"/>
  <c r="X58" i="2"/>
  <c r="X17" i="10" s="1"/>
  <c r="W58" i="2"/>
  <c r="W17" i="10" s="1"/>
  <c r="V58" i="2"/>
  <c r="V17" i="10" s="1"/>
  <c r="U58" i="2"/>
  <c r="U17" i="10" s="1"/>
  <c r="AC57" i="2"/>
  <c r="AC16" i="10" s="1"/>
  <c r="AA57" i="2"/>
  <c r="Z57" i="2"/>
  <c r="Z16" i="10" s="1"/>
  <c r="Y57" i="2"/>
  <c r="Y16" i="10" s="1"/>
  <c r="X57" i="2"/>
  <c r="X16" i="10" s="1"/>
  <c r="W57" i="2"/>
  <c r="W16" i="10" s="1"/>
  <c r="V57" i="2"/>
  <c r="V16" i="10" s="1"/>
  <c r="U57" i="2"/>
  <c r="U16" i="10" s="1"/>
  <c r="AC56" i="2"/>
  <c r="AC15" i="10" s="1"/>
  <c r="AA56" i="2"/>
  <c r="Z56" i="2"/>
  <c r="Z15" i="10" s="1"/>
  <c r="Y56" i="2"/>
  <c r="Y15" i="10" s="1"/>
  <c r="X56" i="2"/>
  <c r="X15" i="10" s="1"/>
  <c r="W56" i="2"/>
  <c r="W15" i="10" s="1"/>
  <c r="V56" i="2"/>
  <c r="V15" i="10" s="1"/>
  <c r="U56" i="2"/>
  <c r="U15" i="10" s="1"/>
  <c r="AC55" i="2"/>
  <c r="AC14" i="10" s="1"/>
  <c r="AA55" i="2"/>
  <c r="Z55" i="2"/>
  <c r="Z14" i="10" s="1"/>
  <c r="Y55" i="2"/>
  <c r="Y14" i="10" s="1"/>
  <c r="X55" i="2"/>
  <c r="X14" i="10" s="1"/>
  <c r="W55" i="2"/>
  <c r="W14" i="10" s="1"/>
  <c r="V55" i="2"/>
  <c r="V14" i="10" s="1"/>
  <c r="U55" i="2"/>
  <c r="U14" i="10" s="1"/>
  <c r="AC54" i="2"/>
  <c r="AC13" i="10" s="1"/>
  <c r="AA54" i="2"/>
  <c r="Z54" i="2"/>
  <c r="Z13" i="10" s="1"/>
  <c r="Y54" i="2"/>
  <c r="Y13" i="10" s="1"/>
  <c r="X54" i="2"/>
  <c r="X13" i="10" s="1"/>
  <c r="W54" i="2"/>
  <c r="W13" i="10" s="1"/>
  <c r="V54" i="2"/>
  <c r="V13" i="10" s="1"/>
  <c r="U54" i="2"/>
  <c r="U13" i="10" s="1"/>
  <c r="AC53" i="2"/>
  <c r="AC12" i="10" s="1"/>
  <c r="AA53" i="2"/>
  <c r="Z53" i="2"/>
  <c r="Z12" i="10" s="1"/>
  <c r="Y53" i="2"/>
  <c r="Y12" i="10" s="1"/>
  <c r="X53" i="2"/>
  <c r="X12" i="10" s="1"/>
  <c r="W53" i="2"/>
  <c r="W12" i="10" s="1"/>
  <c r="V53" i="2"/>
  <c r="V12" i="10" s="1"/>
  <c r="U53" i="2"/>
  <c r="U12" i="10" s="1"/>
  <c r="AC52" i="2"/>
  <c r="AC11" i="10" s="1"/>
  <c r="AA52" i="2"/>
  <c r="Z52" i="2"/>
  <c r="Z11" i="10" s="1"/>
  <c r="Y52" i="2"/>
  <c r="Y11" i="10" s="1"/>
  <c r="X52" i="2"/>
  <c r="X11" i="10" s="1"/>
  <c r="W52" i="2"/>
  <c r="W11" i="10" s="1"/>
  <c r="V52" i="2"/>
  <c r="V11" i="10" s="1"/>
  <c r="U52" i="2"/>
  <c r="U11" i="10" s="1"/>
  <c r="AC51" i="2"/>
  <c r="AC10" i="10" s="1"/>
  <c r="AA51" i="2"/>
  <c r="Z51" i="2"/>
  <c r="Z10" i="10" s="1"/>
  <c r="Y51" i="2"/>
  <c r="Y10" i="10" s="1"/>
  <c r="X51" i="2"/>
  <c r="X10" i="10" s="1"/>
  <c r="W51" i="2"/>
  <c r="W10" i="10" s="1"/>
  <c r="V51" i="2"/>
  <c r="V10" i="10" s="1"/>
  <c r="U51" i="2"/>
  <c r="U10" i="10" s="1"/>
  <c r="AC50" i="2"/>
  <c r="AC9" i="10" s="1"/>
  <c r="AA50" i="2"/>
  <c r="Z50" i="2"/>
  <c r="Z9" i="10" s="1"/>
  <c r="Y50" i="2"/>
  <c r="Y9" i="10" s="1"/>
  <c r="X50" i="2"/>
  <c r="X9" i="10" s="1"/>
  <c r="W50" i="2"/>
  <c r="W9" i="10" s="1"/>
  <c r="V50" i="2"/>
  <c r="V9" i="10" s="1"/>
  <c r="U50" i="2"/>
  <c r="U9" i="10" s="1"/>
  <c r="AC49" i="2"/>
  <c r="AC8" i="10" s="1"/>
  <c r="AA49" i="2"/>
  <c r="Z49" i="2"/>
  <c r="Z8" i="10" s="1"/>
  <c r="Y49" i="2"/>
  <c r="Y8" i="10" s="1"/>
  <c r="X49" i="2"/>
  <c r="X8" i="10" s="1"/>
  <c r="W49" i="2"/>
  <c r="W8" i="10" s="1"/>
  <c r="V49" i="2"/>
  <c r="V8" i="10" s="1"/>
  <c r="U49" i="2"/>
  <c r="U8" i="10" s="1"/>
  <c r="AC48" i="2"/>
  <c r="AC7" i="10" s="1"/>
  <c r="AA48" i="2"/>
  <c r="Z48" i="2"/>
  <c r="Z7" i="10" s="1"/>
  <c r="Y48" i="2"/>
  <c r="Y7" i="10" s="1"/>
  <c r="X48" i="2"/>
  <c r="X7" i="10" s="1"/>
  <c r="W48" i="2"/>
  <c r="W7" i="10" s="1"/>
  <c r="V48" i="2"/>
  <c r="V7" i="10" s="1"/>
  <c r="U48" i="2"/>
  <c r="U7" i="10" s="1"/>
  <c r="AC47" i="2"/>
  <c r="AC6" i="10" s="1"/>
  <c r="AA47" i="2"/>
  <c r="Z47" i="2"/>
  <c r="Z6" i="10" s="1"/>
  <c r="Y47" i="2"/>
  <c r="Y6" i="10" s="1"/>
  <c r="X47" i="2"/>
  <c r="X6" i="10" s="1"/>
  <c r="W47" i="2"/>
  <c r="W6" i="10" s="1"/>
  <c r="V47" i="2"/>
  <c r="V6" i="10" s="1"/>
  <c r="U47" i="2"/>
  <c r="U6" i="10" s="1"/>
  <c r="AC46" i="2"/>
  <c r="AC5" i="10" s="1"/>
  <c r="AA46" i="2"/>
  <c r="Z46" i="2"/>
  <c r="Z5" i="10" s="1"/>
  <c r="Y46" i="2"/>
  <c r="Y5" i="10" s="1"/>
  <c r="X46" i="2"/>
  <c r="X5" i="10" s="1"/>
  <c r="W46" i="2"/>
  <c r="W5" i="10" s="1"/>
  <c r="V46" i="2"/>
  <c r="V5" i="10" s="1"/>
  <c r="U46" i="2"/>
  <c r="U5" i="10" s="1"/>
  <c r="AC45" i="2"/>
  <c r="AC4" i="10" s="1"/>
  <c r="AA45" i="2"/>
  <c r="Z45" i="2"/>
  <c r="Z4" i="10" s="1"/>
  <c r="Y45" i="2"/>
  <c r="Y4" i="10" s="1"/>
  <c r="X45" i="2"/>
  <c r="X4" i="10" s="1"/>
  <c r="W45" i="2"/>
  <c r="W4" i="10" s="1"/>
  <c r="V45" i="2"/>
  <c r="V4" i="10" s="1"/>
  <c r="U45" i="2"/>
  <c r="U4" i="10" s="1"/>
  <c r="AC44" i="2"/>
  <c r="AC3" i="10" s="1"/>
  <c r="AA44" i="2"/>
  <c r="Z44" i="2"/>
  <c r="Z3" i="10" s="1"/>
  <c r="Y44" i="2"/>
  <c r="Y3" i="10" s="1"/>
  <c r="X44" i="2"/>
  <c r="X3" i="10" s="1"/>
  <c r="W44" i="2"/>
  <c r="W3" i="10" s="1"/>
  <c r="V44" i="2"/>
  <c r="V3" i="10" s="1"/>
  <c r="U44" i="2"/>
  <c r="U3" i="10" s="1"/>
  <c r="AC43" i="2"/>
  <c r="AC11" i="9" s="1"/>
  <c r="AA43" i="2"/>
  <c r="Z43" i="2"/>
  <c r="Z11" i="9" s="1"/>
  <c r="Y43" i="2"/>
  <c r="Y11" i="9" s="1"/>
  <c r="X43" i="2"/>
  <c r="X11" i="9" s="1"/>
  <c r="W43" i="2"/>
  <c r="W11" i="9" s="1"/>
  <c r="V43" i="2"/>
  <c r="V11" i="9" s="1"/>
  <c r="U43" i="2"/>
  <c r="U11" i="9" s="1"/>
  <c r="AC42" i="2"/>
  <c r="AC10" i="9" s="1"/>
  <c r="AA42" i="2"/>
  <c r="Z42" i="2"/>
  <c r="Z10" i="9" s="1"/>
  <c r="Y42" i="2"/>
  <c r="Y10" i="9" s="1"/>
  <c r="X42" i="2"/>
  <c r="X10" i="9" s="1"/>
  <c r="W42" i="2"/>
  <c r="W10" i="9" s="1"/>
  <c r="V42" i="2"/>
  <c r="V10" i="9" s="1"/>
  <c r="U42" i="2"/>
  <c r="U10" i="9" s="1"/>
  <c r="AC41" i="2"/>
  <c r="AC9" i="9" s="1"/>
  <c r="AA41" i="2"/>
  <c r="Z41" i="2"/>
  <c r="Z9" i="9" s="1"/>
  <c r="Y41" i="2"/>
  <c r="Y9" i="9" s="1"/>
  <c r="X41" i="2"/>
  <c r="X9" i="9" s="1"/>
  <c r="W41" i="2"/>
  <c r="W9" i="9" s="1"/>
  <c r="V41" i="2"/>
  <c r="V9" i="9" s="1"/>
  <c r="U41" i="2"/>
  <c r="U9" i="9" s="1"/>
  <c r="AC40" i="2"/>
  <c r="AC8" i="9" s="1"/>
  <c r="AA40" i="2"/>
  <c r="Z40" i="2"/>
  <c r="Z8" i="9" s="1"/>
  <c r="Y40" i="2"/>
  <c r="Y8" i="9" s="1"/>
  <c r="X40" i="2"/>
  <c r="X8" i="9" s="1"/>
  <c r="W40" i="2"/>
  <c r="W8" i="9" s="1"/>
  <c r="V40" i="2"/>
  <c r="V8" i="9" s="1"/>
  <c r="U40" i="2"/>
  <c r="U8" i="9" s="1"/>
  <c r="AC39" i="2"/>
  <c r="AC7" i="9" s="1"/>
  <c r="AA39" i="2"/>
  <c r="Z39" i="2"/>
  <c r="Z7" i="9" s="1"/>
  <c r="Y39" i="2"/>
  <c r="Y7" i="9" s="1"/>
  <c r="X39" i="2"/>
  <c r="X7" i="9" s="1"/>
  <c r="W39" i="2"/>
  <c r="W7" i="9" s="1"/>
  <c r="V39" i="2"/>
  <c r="V7" i="9" s="1"/>
  <c r="U39" i="2"/>
  <c r="U7" i="9" s="1"/>
  <c r="AC38" i="2"/>
  <c r="AC6" i="9" s="1"/>
  <c r="AA38" i="2"/>
  <c r="Z38" i="2"/>
  <c r="Z6" i="9" s="1"/>
  <c r="Y38" i="2"/>
  <c r="Y6" i="9" s="1"/>
  <c r="X38" i="2"/>
  <c r="X6" i="9" s="1"/>
  <c r="W38" i="2"/>
  <c r="W6" i="9" s="1"/>
  <c r="V38" i="2"/>
  <c r="V6" i="9" s="1"/>
  <c r="U38" i="2"/>
  <c r="U6" i="9" s="1"/>
  <c r="AC37" i="2"/>
  <c r="AC5" i="9" s="1"/>
  <c r="AA37" i="2"/>
  <c r="Z37" i="2"/>
  <c r="Z5" i="9" s="1"/>
  <c r="Y37" i="2"/>
  <c r="Y5" i="9" s="1"/>
  <c r="X37" i="2"/>
  <c r="X5" i="9" s="1"/>
  <c r="W37" i="2"/>
  <c r="W5" i="9" s="1"/>
  <c r="V37" i="2"/>
  <c r="V5" i="9" s="1"/>
  <c r="U37" i="2"/>
  <c r="U5" i="9" s="1"/>
  <c r="AC36" i="2"/>
  <c r="AC4" i="9" s="1"/>
  <c r="AA36" i="2"/>
  <c r="Z36" i="2"/>
  <c r="Z4" i="9" s="1"/>
  <c r="Y36" i="2"/>
  <c r="Y4" i="9" s="1"/>
  <c r="X36" i="2"/>
  <c r="X4" i="9" s="1"/>
  <c r="W36" i="2"/>
  <c r="W4" i="9" s="1"/>
  <c r="V36" i="2"/>
  <c r="V4" i="9" s="1"/>
  <c r="U36" i="2"/>
  <c r="U4" i="9" s="1"/>
  <c r="AC35" i="2"/>
  <c r="AC3" i="9" s="1"/>
  <c r="AA35" i="2"/>
  <c r="Z35" i="2"/>
  <c r="Z3" i="9" s="1"/>
  <c r="Y35" i="2"/>
  <c r="Y3" i="9" s="1"/>
  <c r="X35" i="2"/>
  <c r="X3" i="9" s="1"/>
  <c r="W35" i="2"/>
  <c r="W3" i="9" s="1"/>
  <c r="V35" i="2"/>
  <c r="V3" i="9" s="1"/>
  <c r="U35" i="2"/>
  <c r="U3" i="9" s="1"/>
  <c r="AC34" i="2"/>
  <c r="AC2" i="9" s="1"/>
  <c r="AA34" i="2"/>
  <c r="Z34" i="2"/>
  <c r="Z2" i="9" s="1"/>
  <c r="Y34" i="2"/>
  <c r="Y2" i="9" s="1"/>
  <c r="X34" i="2"/>
  <c r="X2" i="9" s="1"/>
  <c r="W34" i="2"/>
  <c r="W2" i="9" s="1"/>
  <c r="V34" i="2"/>
  <c r="V2" i="9" s="1"/>
  <c r="U34" i="2"/>
  <c r="U2" i="9" s="1"/>
  <c r="AC33" i="2"/>
  <c r="AC2" i="8" s="1"/>
  <c r="AA33" i="2"/>
  <c r="Z33" i="2"/>
  <c r="Z2" i="8" s="1"/>
  <c r="Y33" i="2"/>
  <c r="Y2" i="8" s="1"/>
  <c r="X33" i="2"/>
  <c r="X2" i="8" s="1"/>
  <c r="W33" i="2"/>
  <c r="W2" i="8" s="1"/>
  <c r="V33" i="2"/>
  <c r="V2" i="8" s="1"/>
  <c r="U33" i="2"/>
  <c r="U2" i="8" s="1"/>
  <c r="AC32" i="2"/>
  <c r="AC15" i="7" s="1"/>
  <c r="AA32" i="2"/>
  <c r="Z32" i="2"/>
  <c r="Z15" i="7" s="1"/>
  <c r="Y32" i="2"/>
  <c r="Y15" i="7" s="1"/>
  <c r="X32" i="2"/>
  <c r="X15" i="7" s="1"/>
  <c r="W32" i="2"/>
  <c r="W15" i="7" s="1"/>
  <c r="V32" i="2"/>
  <c r="V15" i="7" s="1"/>
  <c r="U32" i="2"/>
  <c r="U15" i="7" s="1"/>
  <c r="AC31" i="2"/>
  <c r="AC14" i="7" s="1"/>
  <c r="AA31" i="2"/>
  <c r="Z31" i="2"/>
  <c r="Z14" i="7" s="1"/>
  <c r="Y31" i="2"/>
  <c r="Y14" i="7" s="1"/>
  <c r="X31" i="2"/>
  <c r="X14" i="7" s="1"/>
  <c r="W31" i="2"/>
  <c r="W14" i="7" s="1"/>
  <c r="V31" i="2"/>
  <c r="V14" i="7" s="1"/>
  <c r="U31" i="2"/>
  <c r="U14" i="7" s="1"/>
  <c r="AC30" i="2"/>
  <c r="AC13" i="7" s="1"/>
  <c r="AA30" i="2"/>
  <c r="Z30" i="2"/>
  <c r="Z13" i="7" s="1"/>
  <c r="Y30" i="2"/>
  <c r="Y13" i="7" s="1"/>
  <c r="X30" i="2"/>
  <c r="X13" i="7" s="1"/>
  <c r="W30" i="2"/>
  <c r="W13" i="7" s="1"/>
  <c r="V30" i="2"/>
  <c r="V13" i="7" s="1"/>
  <c r="U30" i="2"/>
  <c r="U13" i="7" s="1"/>
  <c r="AC29" i="2"/>
  <c r="AC12" i="7" s="1"/>
  <c r="AA29" i="2"/>
  <c r="Z29" i="2"/>
  <c r="Z12" i="7" s="1"/>
  <c r="Y29" i="2"/>
  <c r="Y12" i="7" s="1"/>
  <c r="X29" i="2"/>
  <c r="X12" i="7" s="1"/>
  <c r="W29" i="2"/>
  <c r="W12" i="7" s="1"/>
  <c r="V29" i="2"/>
  <c r="V12" i="7" s="1"/>
  <c r="U29" i="2"/>
  <c r="U12" i="7" s="1"/>
  <c r="AC28" i="2"/>
  <c r="AC11" i="7" s="1"/>
  <c r="AA28" i="2"/>
  <c r="Z28" i="2"/>
  <c r="Z11" i="7" s="1"/>
  <c r="Y28" i="2"/>
  <c r="Y11" i="7" s="1"/>
  <c r="X28" i="2"/>
  <c r="X11" i="7" s="1"/>
  <c r="W28" i="2"/>
  <c r="W11" i="7" s="1"/>
  <c r="V28" i="2"/>
  <c r="V11" i="7" s="1"/>
  <c r="U28" i="2"/>
  <c r="U11" i="7" s="1"/>
  <c r="AC27" i="2"/>
  <c r="AC10" i="7" s="1"/>
  <c r="AA27" i="2"/>
  <c r="Z27" i="2"/>
  <c r="Z10" i="7" s="1"/>
  <c r="Y27" i="2"/>
  <c r="Y10" i="7" s="1"/>
  <c r="X27" i="2"/>
  <c r="X10" i="7" s="1"/>
  <c r="W27" i="2"/>
  <c r="W10" i="7" s="1"/>
  <c r="V27" i="2"/>
  <c r="V10" i="7" s="1"/>
  <c r="U27" i="2"/>
  <c r="U10" i="7" s="1"/>
  <c r="AC26" i="2"/>
  <c r="AC9" i="7" s="1"/>
  <c r="AA26" i="2"/>
  <c r="Z26" i="2"/>
  <c r="Z9" i="7" s="1"/>
  <c r="Y26" i="2"/>
  <c r="Y9" i="7" s="1"/>
  <c r="X26" i="2"/>
  <c r="X9" i="7" s="1"/>
  <c r="W26" i="2"/>
  <c r="W9" i="7" s="1"/>
  <c r="V26" i="2"/>
  <c r="V9" i="7" s="1"/>
  <c r="U26" i="2"/>
  <c r="U9" i="7" s="1"/>
  <c r="AC25" i="2"/>
  <c r="AC8" i="7" s="1"/>
  <c r="AA25" i="2"/>
  <c r="Z25" i="2"/>
  <c r="Z8" i="7" s="1"/>
  <c r="Y25" i="2"/>
  <c r="Y8" i="7" s="1"/>
  <c r="X25" i="2"/>
  <c r="X8" i="7" s="1"/>
  <c r="W25" i="2"/>
  <c r="W8" i="7" s="1"/>
  <c r="V25" i="2"/>
  <c r="V8" i="7" s="1"/>
  <c r="U25" i="2"/>
  <c r="U8" i="7" s="1"/>
  <c r="AC24" i="2"/>
  <c r="AC7" i="7" s="1"/>
  <c r="AA24" i="2"/>
  <c r="Z24" i="2"/>
  <c r="Z7" i="7" s="1"/>
  <c r="Y24" i="2"/>
  <c r="Y7" i="7" s="1"/>
  <c r="X24" i="2"/>
  <c r="X7" i="7" s="1"/>
  <c r="W24" i="2"/>
  <c r="W7" i="7" s="1"/>
  <c r="V24" i="2"/>
  <c r="V7" i="7" s="1"/>
  <c r="U24" i="2"/>
  <c r="U7" i="7" s="1"/>
  <c r="AC23" i="2"/>
  <c r="AC6" i="7" s="1"/>
  <c r="AA23" i="2"/>
  <c r="Z23" i="2"/>
  <c r="Z6" i="7" s="1"/>
  <c r="Y23" i="2"/>
  <c r="Y6" i="7" s="1"/>
  <c r="X23" i="2"/>
  <c r="X6" i="7" s="1"/>
  <c r="W23" i="2"/>
  <c r="W6" i="7" s="1"/>
  <c r="V23" i="2"/>
  <c r="V6" i="7" s="1"/>
  <c r="U23" i="2"/>
  <c r="U6" i="7" s="1"/>
  <c r="AC22" i="2"/>
  <c r="AC5" i="7" s="1"/>
  <c r="AA22" i="2"/>
  <c r="Z22" i="2"/>
  <c r="Z5" i="7" s="1"/>
  <c r="Y22" i="2"/>
  <c r="Y5" i="7" s="1"/>
  <c r="X22" i="2"/>
  <c r="X5" i="7" s="1"/>
  <c r="W22" i="2"/>
  <c r="W5" i="7" s="1"/>
  <c r="V22" i="2"/>
  <c r="V5" i="7" s="1"/>
  <c r="U22" i="2"/>
  <c r="U5" i="7" s="1"/>
  <c r="AC21" i="2"/>
  <c r="AC4" i="7" s="1"/>
  <c r="AA21" i="2"/>
  <c r="Z21" i="2"/>
  <c r="Z4" i="7" s="1"/>
  <c r="Y21" i="2"/>
  <c r="Y4" i="7" s="1"/>
  <c r="X21" i="2"/>
  <c r="X4" i="7" s="1"/>
  <c r="W21" i="2"/>
  <c r="W4" i="7" s="1"/>
  <c r="V21" i="2"/>
  <c r="V4" i="7" s="1"/>
  <c r="U21" i="2"/>
  <c r="U4" i="7" s="1"/>
  <c r="AC20" i="2"/>
  <c r="AC3" i="7" s="1"/>
  <c r="AA20" i="2"/>
  <c r="Z20" i="2"/>
  <c r="Z3" i="7" s="1"/>
  <c r="Y20" i="2"/>
  <c r="Y3" i="7" s="1"/>
  <c r="X20" i="2"/>
  <c r="X3" i="7" s="1"/>
  <c r="W20" i="2"/>
  <c r="W3" i="7" s="1"/>
  <c r="V20" i="2"/>
  <c r="V3" i="7" s="1"/>
  <c r="U20" i="2"/>
  <c r="U3" i="7" s="1"/>
  <c r="AC19" i="2"/>
  <c r="AC2" i="7" s="1"/>
  <c r="AA19" i="2"/>
  <c r="Z19" i="2"/>
  <c r="Z2" i="7" s="1"/>
  <c r="Y19" i="2"/>
  <c r="Y2" i="7" s="1"/>
  <c r="X19" i="2"/>
  <c r="X2" i="7" s="1"/>
  <c r="W19" i="2"/>
  <c r="W2" i="7" s="1"/>
  <c r="V19" i="2"/>
  <c r="V2" i="7" s="1"/>
  <c r="U19" i="2"/>
  <c r="U2" i="7" s="1"/>
  <c r="AC18" i="2"/>
  <c r="AC15" i="5" s="1"/>
  <c r="AA18" i="2"/>
  <c r="Z18" i="2"/>
  <c r="Z15" i="5" s="1"/>
  <c r="Y18" i="2"/>
  <c r="Y15" i="5" s="1"/>
  <c r="X18" i="2"/>
  <c r="X15" i="5" s="1"/>
  <c r="W18" i="2"/>
  <c r="W15" i="5" s="1"/>
  <c r="V18" i="2"/>
  <c r="V15" i="5" s="1"/>
  <c r="U18" i="2"/>
  <c r="U15" i="5" s="1"/>
  <c r="AC17" i="2"/>
  <c r="AC14" i="5" s="1"/>
  <c r="AA17" i="2"/>
  <c r="Z17" i="2"/>
  <c r="Z14" i="5" s="1"/>
  <c r="Y17" i="2"/>
  <c r="Y14" i="5" s="1"/>
  <c r="X17" i="2"/>
  <c r="X14" i="5" s="1"/>
  <c r="W17" i="2"/>
  <c r="W14" i="5" s="1"/>
  <c r="V17" i="2"/>
  <c r="V14" i="5" s="1"/>
  <c r="U17" i="2"/>
  <c r="U14" i="5" s="1"/>
  <c r="AC16" i="2"/>
  <c r="AC13" i="5" s="1"/>
  <c r="AA16" i="2"/>
  <c r="Z16" i="2"/>
  <c r="Z13" i="5" s="1"/>
  <c r="Y16" i="2"/>
  <c r="Y13" i="5" s="1"/>
  <c r="X16" i="2"/>
  <c r="X13" i="5" s="1"/>
  <c r="W16" i="2"/>
  <c r="W13" i="5" s="1"/>
  <c r="V16" i="2"/>
  <c r="V13" i="5" s="1"/>
  <c r="U16" i="2"/>
  <c r="U13" i="5" s="1"/>
  <c r="AC15" i="2"/>
  <c r="AC12" i="5" s="1"/>
  <c r="AA15" i="2"/>
  <c r="Z15" i="2"/>
  <c r="Z12" i="5" s="1"/>
  <c r="Y15" i="2"/>
  <c r="Y12" i="5" s="1"/>
  <c r="X15" i="2"/>
  <c r="X12" i="5" s="1"/>
  <c r="W15" i="2"/>
  <c r="W12" i="5" s="1"/>
  <c r="V15" i="2"/>
  <c r="V12" i="5" s="1"/>
  <c r="U15" i="2"/>
  <c r="U12" i="5" s="1"/>
  <c r="AC14" i="2"/>
  <c r="AC11" i="5" s="1"/>
  <c r="AA14" i="2"/>
  <c r="Z14" i="2"/>
  <c r="Z11" i="5" s="1"/>
  <c r="Y14" i="2"/>
  <c r="Y11" i="5" s="1"/>
  <c r="X14" i="2"/>
  <c r="X11" i="5" s="1"/>
  <c r="W14" i="2"/>
  <c r="W11" i="5" s="1"/>
  <c r="V14" i="2"/>
  <c r="V11" i="5" s="1"/>
  <c r="U14" i="2"/>
  <c r="U11" i="5" s="1"/>
  <c r="AC13" i="2"/>
  <c r="AC10" i="5" s="1"/>
  <c r="AA13" i="2"/>
  <c r="Z13" i="2"/>
  <c r="Z10" i="5" s="1"/>
  <c r="Y13" i="2"/>
  <c r="Y10" i="5" s="1"/>
  <c r="X13" i="2"/>
  <c r="X10" i="5" s="1"/>
  <c r="W13" i="2"/>
  <c r="W10" i="5" s="1"/>
  <c r="V13" i="2"/>
  <c r="V10" i="5" s="1"/>
  <c r="U13" i="2"/>
  <c r="U10" i="5" s="1"/>
  <c r="AC12" i="2"/>
  <c r="AC9" i="5" s="1"/>
  <c r="AA12" i="2"/>
  <c r="Z12" i="2"/>
  <c r="Z9" i="5" s="1"/>
  <c r="Y12" i="2"/>
  <c r="Y9" i="5" s="1"/>
  <c r="X12" i="2"/>
  <c r="X9" i="5" s="1"/>
  <c r="W12" i="2"/>
  <c r="W9" i="5" s="1"/>
  <c r="V12" i="2"/>
  <c r="V9" i="5" s="1"/>
  <c r="U12" i="2"/>
  <c r="U9" i="5" s="1"/>
  <c r="AC11" i="2"/>
  <c r="AC8" i="5" s="1"/>
  <c r="AA11" i="2"/>
  <c r="Z11" i="2"/>
  <c r="Z8" i="5" s="1"/>
  <c r="Y11" i="2"/>
  <c r="Y8" i="5" s="1"/>
  <c r="X11" i="2"/>
  <c r="X8" i="5" s="1"/>
  <c r="W11" i="2"/>
  <c r="W8" i="5" s="1"/>
  <c r="V11" i="2"/>
  <c r="V8" i="5" s="1"/>
  <c r="U11" i="2"/>
  <c r="U8" i="5" s="1"/>
  <c r="AC10" i="2"/>
  <c r="AC7" i="5" s="1"/>
  <c r="AA10" i="2"/>
  <c r="Z10" i="2"/>
  <c r="Z7" i="5" s="1"/>
  <c r="Y10" i="2"/>
  <c r="Y7" i="5" s="1"/>
  <c r="X10" i="2"/>
  <c r="X7" i="5" s="1"/>
  <c r="W10" i="2"/>
  <c r="W7" i="5" s="1"/>
  <c r="V10" i="2"/>
  <c r="V7" i="5" s="1"/>
  <c r="U10" i="2"/>
  <c r="U7" i="5" s="1"/>
  <c r="AC9" i="2"/>
  <c r="AC6" i="5" s="1"/>
  <c r="AA9" i="2"/>
  <c r="Z9" i="2"/>
  <c r="Z6" i="5" s="1"/>
  <c r="Y9" i="2"/>
  <c r="Y6" i="5" s="1"/>
  <c r="X9" i="2"/>
  <c r="X6" i="5" s="1"/>
  <c r="W9" i="2"/>
  <c r="W6" i="5" s="1"/>
  <c r="V9" i="2"/>
  <c r="V6" i="5" s="1"/>
  <c r="U9" i="2"/>
  <c r="U6" i="5" s="1"/>
  <c r="AC8" i="2"/>
  <c r="AC5" i="5" s="1"/>
  <c r="AA8" i="2"/>
  <c r="Z8" i="2"/>
  <c r="Z5" i="5" s="1"/>
  <c r="Y8" i="2"/>
  <c r="Y5" i="5" s="1"/>
  <c r="X8" i="2"/>
  <c r="X5" i="5" s="1"/>
  <c r="W8" i="2"/>
  <c r="W5" i="5" s="1"/>
  <c r="V8" i="2"/>
  <c r="V5" i="5" s="1"/>
  <c r="U8" i="2"/>
  <c r="U5" i="5" s="1"/>
  <c r="AC7" i="2"/>
  <c r="AC4" i="5" s="1"/>
  <c r="AA7" i="2"/>
  <c r="Z7" i="2"/>
  <c r="Z4" i="5" s="1"/>
  <c r="Y7" i="2"/>
  <c r="Y4" i="5" s="1"/>
  <c r="X7" i="2"/>
  <c r="X4" i="5" s="1"/>
  <c r="W7" i="2"/>
  <c r="W4" i="5" s="1"/>
  <c r="V7" i="2"/>
  <c r="V4" i="5" s="1"/>
  <c r="U7" i="2"/>
  <c r="U4" i="5" s="1"/>
  <c r="AC6" i="2"/>
  <c r="AC3" i="5" s="1"/>
  <c r="AA6" i="2"/>
  <c r="Z6" i="2"/>
  <c r="Z3" i="5" s="1"/>
  <c r="Y6" i="2"/>
  <c r="Y3" i="5" s="1"/>
  <c r="X6" i="2"/>
  <c r="X3" i="5" s="1"/>
  <c r="W6" i="2"/>
  <c r="W3" i="5" s="1"/>
  <c r="V6" i="2"/>
  <c r="V3" i="5" s="1"/>
  <c r="U6" i="2"/>
  <c r="U3" i="5" s="1"/>
  <c r="AC5" i="2"/>
  <c r="AC2" i="14" s="1"/>
  <c r="AA5" i="2"/>
  <c r="Z5" i="2"/>
  <c r="Z2" i="14" s="1"/>
  <c r="Y5" i="2"/>
  <c r="Y2" i="14" s="1"/>
  <c r="X5" i="2"/>
  <c r="X2" i="14" s="1"/>
  <c r="W5" i="2"/>
  <c r="W2" i="14" s="1"/>
  <c r="V5" i="2"/>
  <c r="V2" i="14" s="1"/>
  <c r="U5" i="2"/>
  <c r="U2" i="14" s="1"/>
  <c r="AC4" i="2"/>
  <c r="AC2" i="11" s="1"/>
  <c r="AA4" i="2"/>
  <c r="Z4" i="2"/>
  <c r="Z2" i="11" s="1"/>
  <c r="Y4" i="2"/>
  <c r="Y2" i="11" s="1"/>
  <c r="X4" i="2"/>
  <c r="X2" i="11" s="1"/>
  <c r="W4" i="2"/>
  <c r="W2" i="11" s="1"/>
  <c r="V4" i="2"/>
  <c r="V2" i="11" s="1"/>
  <c r="U4" i="2"/>
  <c r="U2" i="11" s="1"/>
  <c r="AC3" i="2"/>
  <c r="AC2" i="10" s="1"/>
  <c r="AA3" i="2"/>
  <c r="Z3" i="2"/>
  <c r="Z2" i="10" s="1"/>
  <c r="Y3" i="2"/>
  <c r="Y2" i="10" s="1"/>
  <c r="X3" i="2"/>
  <c r="X2" i="10" s="1"/>
  <c r="W3" i="2"/>
  <c r="W2" i="10" s="1"/>
  <c r="V3" i="2"/>
  <c r="V2" i="10" s="1"/>
  <c r="U3" i="2"/>
  <c r="U2" i="10" s="1"/>
  <c r="AC2" i="2"/>
  <c r="AC2" i="5" s="1"/>
  <c r="AA2" i="2"/>
  <c r="Z2" i="2"/>
  <c r="Z2" i="5" s="1"/>
  <c r="Y2" i="2"/>
  <c r="Y2" i="5" s="1"/>
  <c r="X2" i="2"/>
  <c r="X2" i="5" s="1"/>
  <c r="W2" i="2"/>
  <c r="W2" i="5" s="1"/>
  <c r="V2" i="2"/>
  <c r="V2" i="5" s="1"/>
  <c r="U2" i="2"/>
  <c r="U2" i="5" s="1"/>
  <c r="AA2" i="5" l="1"/>
  <c r="B23" i="4"/>
  <c r="B22" i="4"/>
  <c r="B21" i="4"/>
  <c r="B20" i="4"/>
  <c r="B24" i="4" s="1"/>
  <c r="B19" i="4"/>
  <c r="B15" i="4" s="1"/>
  <c r="D15" i="4" s="1"/>
  <c r="E15" i="4" s="1"/>
  <c r="K15" i="3"/>
  <c r="K14" i="3"/>
  <c r="K13" i="3"/>
  <c r="K12" i="3"/>
  <c r="K11" i="3"/>
  <c r="K6" i="3"/>
  <c r="I6" i="3"/>
  <c r="G6" i="3"/>
  <c r="E6" i="3"/>
  <c r="C6" i="3"/>
  <c r="AB2" i="2"/>
  <c r="AA2" i="10"/>
  <c r="AB3" i="2"/>
  <c r="AB2" i="10" s="1"/>
  <c r="AA2" i="11"/>
  <c r="AB4" i="2"/>
  <c r="AB2" i="11" s="1"/>
  <c r="AA2" i="14"/>
  <c r="AB5" i="2"/>
  <c r="AB2" i="14" s="1"/>
  <c r="AA3" i="5"/>
  <c r="AB6" i="2"/>
  <c r="AB3" i="5" s="1"/>
  <c r="AA4" i="5"/>
  <c r="AB7" i="2"/>
  <c r="AB4" i="5" s="1"/>
  <c r="AA5" i="5"/>
  <c r="AB8" i="2"/>
  <c r="AB5" i="5" s="1"/>
  <c r="AA6" i="5"/>
  <c r="AB9" i="2"/>
  <c r="AB6" i="5" s="1"/>
  <c r="AA7" i="5"/>
  <c r="AB10" i="2"/>
  <c r="AB7" i="5" s="1"/>
  <c r="AA8" i="5"/>
  <c r="AB11" i="2"/>
  <c r="AB8" i="5" s="1"/>
  <c r="AA9" i="5"/>
  <c r="AB12" i="2"/>
  <c r="AB9" i="5" s="1"/>
  <c r="AA10" i="5"/>
  <c r="AB13" i="2"/>
  <c r="AB10" i="5" s="1"/>
  <c r="AA11" i="5"/>
  <c r="AB14" i="2"/>
  <c r="AB11" i="5" s="1"/>
  <c r="AA12" i="5"/>
  <c r="AB15" i="2"/>
  <c r="AB12" i="5" s="1"/>
  <c r="AA13" i="5"/>
  <c r="AB16" i="2"/>
  <c r="AB13" i="5" s="1"/>
  <c r="AA14" i="5"/>
  <c r="AB17" i="2"/>
  <c r="AB14" i="5" s="1"/>
  <c r="AA15" i="5"/>
  <c r="AB18" i="2"/>
  <c r="AB15" i="5" s="1"/>
  <c r="AA2" i="7"/>
  <c r="AB19" i="2"/>
  <c r="AB2" i="7" s="1"/>
  <c r="AA3" i="7"/>
  <c r="AB20" i="2"/>
  <c r="AB3" i="7" s="1"/>
  <c r="AA4" i="7"/>
  <c r="AB21" i="2"/>
  <c r="AB4" i="7" s="1"/>
  <c r="AA5" i="7"/>
  <c r="AB22" i="2"/>
  <c r="AB5" i="7" s="1"/>
  <c r="AA6" i="7"/>
  <c r="AB23" i="2"/>
  <c r="AB6" i="7" s="1"/>
  <c r="AA7" i="7"/>
  <c r="AB24" i="2"/>
  <c r="AB7" i="7" s="1"/>
  <c r="AA8" i="7"/>
  <c r="AB25" i="2"/>
  <c r="AB8" i="7" s="1"/>
  <c r="AA9" i="7"/>
  <c r="AB26" i="2"/>
  <c r="AB9" i="7" s="1"/>
  <c r="AA10" i="7"/>
  <c r="AB27" i="2"/>
  <c r="AB10" i="7" s="1"/>
  <c r="AA11" i="7"/>
  <c r="AB28" i="2"/>
  <c r="AB11" i="7" s="1"/>
  <c r="AA12" i="7"/>
  <c r="AB29" i="2"/>
  <c r="AB12" i="7" s="1"/>
  <c r="AA13" i="7"/>
  <c r="AB30" i="2"/>
  <c r="AB13" i="7" s="1"/>
  <c r="AA14" i="7"/>
  <c r="AB31" i="2"/>
  <c r="AB14" i="7" s="1"/>
  <c r="AA15" i="7"/>
  <c r="AB32" i="2"/>
  <c r="AB15" i="7" s="1"/>
  <c r="AA2" i="8"/>
  <c r="AB33" i="2"/>
  <c r="AB2" i="8" s="1"/>
  <c r="AA2" i="9"/>
  <c r="AB34" i="2"/>
  <c r="AB2" i="9" s="1"/>
  <c r="AA3" i="9"/>
  <c r="AB35" i="2"/>
  <c r="AB3" i="9" s="1"/>
  <c r="AA4" i="9"/>
  <c r="AB36" i="2"/>
  <c r="AB4" i="9" s="1"/>
  <c r="AA5" i="9"/>
  <c r="AB37" i="2"/>
  <c r="AB5" i="9" s="1"/>
  <c r="AA6" i="9"/>
  <c r="AB38" i="2"/>
  <c r="AB6" i="9" s="1"/>
  <c r="AA7" i="9"/>
  <c r="AB39" i="2"/>
  <c r="AB7" i="9" s="1"/>
  <c r="AA8" i="9"/>
  <c r="AB40" i="2"/>
  <c r="AB8" i="9" s="1"/>
  <c r="AA9" i="9"/>
  <c r="AB41" i="2"/>
  <c r="AB9" i="9" s="1"/>
  <c r="AA10" i="9"/>
  <c r="AB42" i="2"/>
  <c r="AB10" i="9" s="1"/>
  <c r="AA11" i="9"/>
  <c r="AB43" i="2"/>
  <c r="AB11" i="9" s="1"/>
  <c r="AA3" i="10"/>
  <c r="AB44" i="2"/>
  <c r="AB3" i="10" s="1"/>
  <c r="AA4" i="10"/>
  <c r="AB45" i="2"/>
  <c r="AB4" i="10" s="1"/>
  <c r="AA5" i="10"/>
  <c r="AB46" i="2"/>
  <c r="AB5" i="10" s="1"/>
  <c r="AA6" i="10"/>
  <c r="AB47" i="2"/>
  <c r="AB6" i="10" s="1"/>
  <c r="AA7" i="10"/>
  <c r="AB48" i="2"/>
  <c r="AB7" i="10" s="1"/>
  <c r="AA8" i="10"/>
  <c r="AB49" i="2"/>
  <c r="AB8" i="10" s="1"/>
  <c r="AA9" i="10"/>
  <c r="AB50" i="2"/>
  <c r="AB9" i="10" s="1"/>
  <c r="AA10" i="10"/>
  <c r="AB51" i="2"/>
  <c r="AB10" i="10" s="1"/>
  <c r="AA11" i="10"/>
  <c r="AB52" i="2"/>
  <c r="AB11" i="10" s="1"/>
  <c r="AA12" i="10"/>
  <c r="AB53" i="2"/>
  <c r="AB12" i="10" s="1"/>
  <c r="AA13" i="10"/>
  <c r="AB54" i="2"/>
  <c r="AB13" i="10" s="1"/>
  <c r="AA14" i="10"/>
  <c r="AB55" i="2"/>
  <c r="AB14" i="10" s="1"/>
  <c r="AA15" i="10"/>
  <c r="AB56" i="2"/>
  <c r="AB15" i="10" s="1"/>
  <c r="AA16" i="10"/>
  <c r="AB57" i="2"/>
  <c r="AB16" i="10" s="1"/>
  <c r="AA17" i="10"/>
  <c r="AB58" i="2"/>
  <c r="AB17" i="10" s="1"/>
  <c r="AA18" i="10"/>
  <c r="AB59" i="2"/>
  <c r="AB18" i="10" s="1"/>
  <c r="AA3" i="11"/>
  <c r="AB60" i="2"/>
  <c r="AB3" i="11" s="1"/>
  <c r="AA4" i="11"/>
  <c r="AB61" i="2"/>
  <c r="AB4" i="11" s="1"/>
  <c r="AA5" i="11"/>
  <c r="AB62" i="2"/>
  <c r="AB5" i="11" s="1"/>
  <c r="AA6" i="11"/>
  <c r="AB63" i="2"/>
  <c r="AB6" i="11" s="1"/>
  <c r="AA7" i="11"/>
  <c r="AB64" i="2"/>
  <c r="AB7" i="11" s="1"/>
  <c r="AA2" i="13"/>
  <c r="AB65" i="2"/>
  <c r="AB2" i="13" s="1"/>
  <c r="AA3" i="13"/>
  <c r="AB66" i="2"/>
  <c r="AB3" i="13" s="1"/>
  <c r="AA4" i="13"/>
  <c r="AB67" i="2"/>
  <c r="AB4" i="13" s="1"/>
  <c r="AA5" i="13"/>
  <c r="AB68" i="2"/>
  <c r="AB5" i="13" s="1"/>
  <c r="AA6" i="13"/>
  <c r="AB69" i="2"/>
  <c r="AB6" i="13" s="1"/>
  <c r="AA7" i="13"/>
  <c r="AB70" i="2"/>
  <c r="AB7" i="13" s="1"/>
  <c r="AA8" i="13"/>
  <c r="AB71" i="2"/>
  <c r="AB8" i="13" s="1"/>
  <c r="AA9" i="13"/>
  <c r="AB72" i="2"/>
  <c r="AB9" i="13" s="1"/>
  <c r="AA3" i="14"/>
  <c r="AB73" i="2"/>
  <c r="AB3" i="14" s="1"/>
  <c r="AA4" i="14"/>
  <c r="AB74" i="2"/>
  <c r="AB4" i="14" s="1"/>
  <c r="AA5" i="14"/>
  <c r="AB75" i="2"/>
  <c r="AB5" i="14" s="1"/>
  <c r="AA6" i="14"/>
  <c r="AB76" i="2"/>
  <c r="AB6" i="14" s="1"/>
  <c r="AA7" i="14"/>
  <c r="AB77" i="2"/>
  <c r="AB7" i="14" s="1"/>
  <c r="AA8" i="14"/>
  <c r="AB78" i="2"/>
  <c r="AB8" i="14" s="1"/>
  <c r="AA2" i="15"/>
  <c r="AB79" i="2"/>
  <c r="AB2" i="15" s="1"/>
  <c r="AA3" i="15"/>
  <c r="AB80" i="2"/>
  <c r="AB3" i="15" s="1"/>
  <c r="AA4" i="15"/>
  <c r="AB81" i="2"/>
  <c r="AB4" i="15" s="1"/>
  <c r="AA5" i="15"/>
  <c r="AB82" i="2"/>
  <c r="AB5" i="15" s="1"/>
  <c r="AA6" i="15"/>
  <c r="AB83" i="2"/>
  <c r="AB6" i="15" s="1"/>
  <c r="AA7" i="15"/>
  <c r="AB84" i="2"/>
  <c r="AB7" i="15" s="1"/>
  <c r="AA8" i="15"/>
  <c r="AB85" i="2"/>
  <c r="AB8" i="15" s="1"/>
  <c r="AA9" i="15"/>
  <c r="AB86" i="2"/>
  <c r="AB9" i="15" s="1"/>
  <c r="AA10" i="15"/>
  <c r="AB87" i="2"/>
  <c r="AB10" i="15" s="1"/>
  <c r="AA11" i="15"/>
  <c r="AB88" i="2"/>
  <c r="AB11" i="15" s="1"/>
  <c r="AA12" i="15"/>
  <c r="AB89" i="2"/>
  <c r="AB12" i="15" s="1"/>
  <c r="AA13" i="15"/>
  <c r="AB90" i="2"/>
  <c r="AB13" i="15" s="1"/>
  <c r="AA14" i="15"/>
  <c r="AB91" i="2"/>
  <c r="AB14" i="15" s="1"/>
  <c r="AA15" i="15"/>
  <c r="AB92" i="2"/>
  <c r="AB15" i="15" s="1"/>
  <c r="AA16" i="15"/>
  <c r="AB93" i="2"/>
  <c r="AB16" i="15" s="1"/>
  <c r="AA17" i="15"/>
  <c r="AB94" i="2"/>
  <c r="AB17" i="15" s="1"/>
  <c r="AA18" i="15"/>
  <c r="AB95" i="2"/>
  <c r="AB18" i="15" s="1"/>
  <c r="AA19" i="15"/>
  <c r="AB96" i="2"/>
  <c r="AB19" i="15" s="1"/>
  <c r="AA2" i="16"/>
  <c r="AB97" i="2"/>
  <c r="AB2" i="16" s="1"/>
  <c r="AA3" i="16"/>
  <c r="AB98" i="2"/>
  <c r="AB3" i="16" s="1"/>
  <c r="AA4" i="16"/>
  <c r="AB99" i="2"/>
  <c r="AB4" i="16" s="1"/>
  <c r="AA5" i="16"/>
  <c r="AB100" i="2"/>
  <c r="AB5" i="16" s="1"/>
  <c r="AA6" i="16"/>
  <c r="AB101" i="2"/>
  <c r="AB6" i="16" s="1"/>
  <c r="AA7" i="16"/>
  <c r="AB102" i="2"/>
  <c r="AB7" i="16" s="1"/>
  <c r="AA8" i="16"/>
  <c r="AB103" i="2"/>
  <c r="AB8" i="16" s="1"/>
  <c r="AA9" i="16"/>
  <c r="AB104" i="2"/>
  <c r="AB9" i="16" s="1"/>
  <c r="AA10" i="16"/>
  <c r="AB105" i="2"/>
  <c r="AB10" i="16" s="1"/>
  <c r="AA11" i="16"/>
  <c r="AB106" i="2"/>
  <c r="AB11" i="16" s="1"/>
  <c r="AA12" i="16"/>
  <c r="AB107" i="2"/>
  <c r="AB12" i="16" s="1"/>
  <c r="AA13" i="16"/>
  <c r="AB108" i="2"/>
  <c r="AB13" i="16" s="1"/>
  <c r="AA16" i="5"/>
  <c r="AB109" i="2"/>
  <c r="AB16" i="5" s="1"/>
  <c r="AA17" i="5"/>
  <c r="AB110" i="2"/>
  <c r="AB17" i="5" s="1"/>
  <c r="AA18" i="5"/>
  <c r="AB111" i="2"/>
  <c r="AB18" i="5" s="1"/>
  <c r="AA19" i="5"/>
  <c r="AB112" i="2"/>
  <c r="AB19" i="5" s="1"/>
  <c r="AA20" i="5"/>
  <c r="AB113" i="2"/>
  <c r="AB20" i="5" s="1"/>
  <c r="AA21" i="5"/>
  <c r="AB114" i="2"/>
  <c r="AB21" i="5" s="1"/>
  <c r="AA22" i="5"/>
  <c r="AB115" i="2"/>
  <c r="AB22" i="5" s="1"/>
  <c r="AA23" i="5"/>
  <c r="AB116" i="2"/>
  <c r="AB23" i="5" s="1"/>
  <c r="AA24" i="5"/>
  <c r="AB117" i="2"/>
  <c r="AB24" i="5" s="1"/>
  <c r="AA25" i="5"/>
  <c r="AB118" i="2"/>
  <c r="AB25" i="5" s="1"/>
  <c r="AA26" i="5"/>
  <c r="AB119" i="2"/>
  <c r="AB26" i="5" s="1"/>
  <c r="AA27" i="5"/>
  <c r="AB120" i="2"/>
  <c r="AB27" i="5" s="1"/>
  <c r="AA28" i="5"/>
  <c r="AB121" i="2"/>
  <c r="AB28" i="5" s="1"/>
  <c r="AA29" i="5"/>
  <c r="AB122" i="2"/>
  <c r="AB29" i="5" s="1"/>
  <c r="AA30" i="5"/>
  <c r="AB123" i="2"/>
  <c r="AB30" i="5" s="1"/>
  <c r="AA31" i="5"/>
  <c r="AB124" i="2"/>
  <c r="AB31" i="5" s="1"/>
  <c r="AA32" i="5"/>
  <c r="AB125" i="2"/>
  <c r="AB32" i="5" s="1"/>
  <c r="AA33" i="5"/>
  <c r="AB126" i="2"/>
  <c r="AB33" i="5" s="1"/>
  <c r="AA34" i="5"/>
  <c r="AB127" i="2"/>
  <c r="AB34" i="5" s="1"/>
  <c r="AA35" i="5"/>
  <c r="AB128" i="2"/>
  <c r="AB35" i="5" s="1"/>
  <c r="AA36" i="5"/>
  <c r="AB129" i="2"/>
  <c r="AB36" i="5" s="1"/>
  <c r="AA37" i="5"/>
  <c r="AB130" i="2"/>
  <c r="AB37" i="5" s="1"/>
  <c r="AA38" i="5"/>
  <c r="AB131" i="2"/>
  <c r="AB38" i="5" s="1"/>
  <c r="AA39" i="5"/>
  <c r="AB132" i="2"/>
  <c r="AB39" i="5" s="1"/>
  <c r="AA40" i="5"/>
  <c r="AB133" i="2"/>
  <c r="AB40" i="5" s="1"/>
  <c r="AA41" i="5"/>
  <c r="AB134" i="2"/>
  <c r="AB41" i="5" s="1"/>
  <c r="AA42" i="5"/>
  <c r="AB135" i="2"/>
  <c r="AB42" i="5" s="1"/>
  <c r="AA43" i="5"/>
  <c r="AB136" i="2"/>
  <c r="AB43" i="5" s="1"/>
  <c r="AA2" i="6"/>
  <c r="AB137" i="2"/>
  <c r="AB2" i="6" s="1"/>
  <c r="AA3" i="6"/>
  <c r="AB138" i="2"/>
  <c r="AB3" i="6" s="1"/>
  <c r="AA4" i="6"/>
  <c r="AB139" i="2"/>
  <c r="AB4" i="6" s="1"/>
  <c r="AA5" i="6"/>
  <c r="AB140" i="2"/>
  <c r="AB5" i="6" s="1"/>
  <c r="AA6" i="6"/>
  <c r="AB141" i="2"/>
  <c r="AB6" i="6" s="1"/>
  <c r="AA7" i="6"/>
  <c r="AB142" i="2"/>
  <c r="AB7" i="6" s="1"/>
  <c r="AA8" i="6"/>
  <c r="AB143" i="2"/>
  <c r="AB8" i="6" s="1"/>
  <c r="AA9" i="6"/>
  <c r="AB144" i="2"/>
  <c r="AB9" i="6" s="1"/>
  <c r="AA10" i="6"/>
  <c r="AB145" i="2"/>
  <c r="AB10" i="6" s="1"/>
  <c r="AA11" i="6"/>
  <c r="AB146" i="2"/>
  <c r="AB11" i="6" s="1"/>
  <c r="AA12" i="6"/>
  <c r="AB147" i="2"/>
  <c r="AB12" i="6" s="1"/>
  <c r="AA13" i="6"/>
  <c r="AB148" i="2"/>
  <c r="AB13" i="6" s="1"/>
  <c r="AA14" i="6"/>
  <c r="AB149" i="2"/>
  <c r="AB14" i="6" s="1"/>
  <c r="AA15" i="6"/>
  <c r="AB150" i="2"/>
  <c r="AB15" i="6" s="1"/>
  <c r="AA16" i="6"/>
  <c r="AB151" i="2"/>
  <c r="AB16" i="6" s="1"/>
  <c r="AA17" i="6"/>
  <c r="AB152" i="2"/>
  <c r="AB17" i="6" s="1"/>
  <c r="AA18" i="6"/>
  <c r="AB153" i="2"/>
  <c r="AB18" i="6" s="1"/>
  <c r="AA19" i="6"/>
  <c r="AB154" i="2"/>
  <c r="AB19" i="6" s="1"/>
  <c r="AA20" i="6"/>
  <c r="AB155" i="2"/>
  <c r="AB20" i="6" s="1"/>
  <c r="AA21" i="6"/>
  <c r="AB156" i="2"/>
  <c r="AB21" i="6" s="1"/>
  <c r="AA22" i="6"/>
  <c r="AB157" i="2"/>
  <c r="AB22" i="6" s="1"/>
  <c r="AA23" i="6"/>
  <c r="AB158" i="2"/>
  <c r="AB23" i="6" s="1"/>
  <c r="AA24" i="6"/>
  <c r="AB159" i="2"/>
  <c r="AB24" i="6" s="1"/>
  <c r="AA25" i="6"/>
  <c r="AB160" i="2"/>
  <c r="AB25" i="6" s="1"/>
  <c r="AA26" i="6"/>
  <c r="AB161" i="2"/>
  <c r="AB26" i="6" s="1"/>
  <c r="AA27" i="6"/>
  <c r="AB162" i="2"/>
  <c r="AB27" i="6" s="1"/>
  <c r="AA28" i="6"/>
  <c r="AB163" i="2"/>
  <c r="AB28" i="6" s="1"/>
  <c r="AA29" i="6"/>
  <c r="AB164" i="2"/>
  <c r="AB29" i="6" s="1"/>
  <c r="AA30" i="6"/>
  <c r="AB165" i="2"/>
  <c r="AB30" i="6" s="1"/>
  <c r="AA31" i="6"/>
  <c r="AB166" i="2"/>
  <c r="AB31" i="6" s="1"/>
  <c r="AA32" i="6"/>
  <c r="AB167" i="2"/>
  <c r="AB32" i="6" s="1"/>
  <c r="AA33" i="6"/>
  <c r="AB168" i="2"/>
  <c r="AB33" i="6" s="1"/>
  <c r="AA34" i="6"/>
  <c r="AB169" i="2"/>
  <c r="AB34" i="6" s="1"/>
  <c r="AA35" i="6"/>
  <c r="AB170" i="2"/>
  <c r="AB35" i="6" s="1"/>
  <c r="AA36" i="6"/>
  <c r="AB171" i="2"/>
  <c r="AB36" i="6" s="1"/>
  <c r="AA37" i="6"/>
  <c r="AB172" i="2"/>
  <c r="AB37" i="6" s="1"/>
  <c r="AA38" i="6"/>
  <c r="AB173" i="2"/>
  <c r="AB38" i="6" s="1"/>
  <c r="AA39" i="6"/>
  <c r="AB174" i="2"/>
  <c r="AB39" i="6" s="1"/>
  <c r="AA40" i="6"/>
  <c r="AB175" i="2"/>
  <c r="AB40" i="6" s="1"/>
  <c r="AA41" i="6"/>
  <c r="AB176" i="2"/>
  <c r="AB41" i="6" s="1"/>
  <c r="AA42" i="6"/>
  <c r="AB177" i="2"/>
  <c r="AB42" i="6" s="1"/>
  <c r="AA16" i="7"/>
  <c r="AB178" i="2"/>
  <c r="AB16" i="7" s="1"/>
  <c r="AA17" i="7"/>
  <c r="AB179" i="2"/>
  <c r="AB17" i="7" s="1"/>
  <c r="AA18" i="7"/>
  <c r="AB180" i="2"/>
  <c r="AB18" i="7" s="1"/>
  <c r="AA19" i="7"/>
  <c r="AB181" i="2"/>
  <c r="AB19" i="7" s="1"/>
  <c r="AA20" i="7"/>
  <c r="AB182" i="2"/>
  <c r="AB20" i="7" s="1"/>
  <c r="AA21" i="7"/>
  <c r="AB183" i="2"/>
  <c r="AB21" i="7" s="1"/>
  <c r="AA22" i="7"/>
  <c r="AB184" i="2"/>
  <c r="AB22" i="7" s="1"/>
  <c r="AA23" i="7"/>
  <c r="AB185" i="2"/>
  <c r="AB23" i="7" s="1"/>
  <c r="AA24" i="7"/>
  <c r="AB186" i="2"/>
  <c r="AB24" i="7" s="1"/>
  <c r="AA25" i="7"/>
  <c r="AB187" i="2"/>
  <c r="AB25" i="7" s="1"/>
  <c r="AA26" i="7"/>
  <c r="AB188" i="2"/>
  <c r="AB26" i="7" s="1"/>
  <c r="AA27" i="7"/>
  <c r="AB189" i="2"/>
  <c r="AB27" i="7" s="1"/>
  <c r="AA28" i="7"/>
  <c r="AB190" i="2"/>
  <c r="AB28" i="7" s="1"/>
  <c r="AA29" i="7"/>
  <c r="AB191" i="2"/>
  <c r="AB29" i="7" s="1"/>
  <c r="AA30" i="7"/>
  <c r="AB192" i="2"/>
  <c r="AB30" i="7" s="1"/>
  <c r="AA31" i="7"/>
  <c r="AB193" i="2"/>
  <c r="AB31" i="7" s="1"/>
  <c r="AA32" i="7"/>
  <c r="AB194" i="2"/>
  <c r="AB32" i="7" s="1"/>
  <c r="AA33" i="7"/>
  <c r="AB195" i="2"/>
  <c r="AB33" i="7" s="1"/>
  <c r="AA34" i="7"/>
  <c r="AB196" i="2"/>
  <c r="AB34" i="7" s="1"/>
  <c r="AA35" i="7"/>
  <c r="AB197" i="2"/>
  <c r="AB35" i="7" s="1"/>
  <c r="AA36" i="7"/>
  <c r="AB198" i="2"/>
  <c r="AB36" i="7" s="1"/>
  <c r="AA37" i="7"/>
  <c r="AB199" i="2"/>
  <c r="AB37" i="7" s="1"/>
  <c r="AA38" i="7"/>
  <c r="AB200" i="2"/>
  <c r="AB38" i="7" s="1"/>
  <c r="AA39" i="7"/>
  <c r="AB201" i="2"/>
  <c r="AB39" i="7" s="1"/>
  <c r="AA40" i="7"/>
  <c r="AB202" i="2"/>
  <c r="AB40" i="7" s="1"/>
  <c r="AA41" i="7"/>
  <c r="AB203" i="2"/>
  <c r="AB41" i="7" s="1"/>
  <c r="AA42" i="7"/>
  <c r="AB204" i="2"/>
  <c r="AB42" i="7" s="1"/>
  <c r="AA43" i="7"/>
  <c r="AB205" i="2"/>
  <c r="AB43" i="7" s="1"/>
  <c r="AA44" i="7"/>
  <c r="AB206" i="2"/>
  <c r="AB44" i="7" s="1"/>
  <c r="AA45" i="7"/>
  <c r="AB207" i="2"/>
  <c r="AB45" i="7" s="1"/>
  <c r="AA46" i="7"/>
  <c r="AB208" i="2"/>
  <c r="AB46" i="7" s="1"/>
  <c r="AA47" i="7"/>
  <c r="AB209" i="2"/>
  <c r="AB47" i="7" s="1"/>
  <c r="AA48" i="7"/>
  <c r="AB210" i="2"/>
  <c r="AB48" i="7" s="1"/>
  <c r="AA49" i="7"/>
  <c r="AB211" i="2"/>
  <c r="AB49" i="7" s="1"/>
  <c r="AA50" i="7"/>
  <c r="AB212" i="2"/>
  <c r="AB50" i="7" s="1"/>
  <c r="AA51" i="7"/>
  <c r="AB213" i="2"/>
  <c r="AB51" i="7" s="1"/>
  <c r="AA52" i="7"/>
  <c r="AB214" i="2"/>
  <c r="AB52" i="7" s="1"/>
  <c r="AA53" i="7"/>
  <c r="AB215" i="2"/>
  <c r="AB53" i="7" s="1"/>
  <c r="AA54" i="7"/>
  <c r="AB216" i="2"/>
  <c r="AB54" i="7" s="1"/>
  <c r="AA55" i="7"/>
  <c r="AB217" i="2"/>
  <c r="AB55" i="7" s="1"/>
  <c r="AA56" i="7"/>
  <c r="AB218" i="2"/>
  <c r="AB56" i="7" s="1"/>
  <c r="AA3" i="8"/>
  <c r="AB219" i="2"/>
  <c r="AB3" i="8" s="1"/>
  <c r="AA4" i="8"/>
  <c r="AB220" i="2"/>
  <c r="AB4" i="8" s="1"/>
  <c r="AA5" i="8"/>
  <c r="AB221" i="2"/>
  <c r="AB5" i="8" s="1"/>
  <c r="AA6" i="8"/>
  <c r="AB222" i="2"/>
  <c r="AB6" i="8" s="1"/>
  <c r="AA7" i="8"/>
  <c r="AB223" i="2"/>
  <c r="AB7" i="8" s="1"/>
  <c r="AA8" i="8"/>
  <c r="AB224" i="2"/>
  <c r="AB8" i="8" s="1"/>
  <c r="AA9" i="8"/>
  <c r="AB225" i="2"/>
  <c r="AB9" i="8" s="1"/>
  <c r="AA10" i="8"/>
  <c r="AB226" i="2"/>
  <c r="AB10" i="8" s="1"/>
  <c r="AA11" i="8"/>
  <c r="AB227" i="2"/>
  <c r="AB11" i="8" s="1"/>
  <c r="AA12" i="8"/>
  <c r="AB228" i="2"/>
  <c r="AB12" i="8" s="1"/>
  <c r="AA13" i="8"/>
  <c r="AB229" i="2"/>
  <c r="AB13" i="8" s="1"/>
  <c r="AA14" i="8"/>
  <c r="AB230" i="2"/>
  <c r="AB14" i="8" s="1"/>
  <c r="AA15" i="8"/>
  <c r="AB231" i="2"/>
  <c r="AB15" i="8" s="1"/>
  <c r="AA16" i="8"/>
  <c r="AB232" i="2"/>
  <c r="AB16" i="8" s="1"/>
  <c r="AA17" i="8"/>
  <c r="AB233" i="2"/>
  <c r="AB17" i="8" s="1"/>
  <c r="AA18" i="8"/>
  <c r="AB234" i="2"/>
  <c r="AB18" i="8" s="1"/>
  <c r="AA12" i="9"/>
  <c r="AB235" i="2"/>
  <c r="AB12" i="9" s="1"/>
  <c r="AA13" i="9"/>
  <c r="AB236" i="2"/>
  <c r="AB13" i="9" s="1"/>
  <c r="AA14" i="9"/>
  <c r="AB237" i="2"/>
  <c r="AB14" i="9" s="1"/>
  <c r="AA15" i="9"/>
  <c r="AB238" i="2"/>
  <c r="AB15" i="9" s="1"/>
  <c r="AA16" i="9"/>
  <c r="AB239" i="2"/>
  <c r="AB16" i="9" s="1"/>
  <c r="AA17" i="9"/>
  <c r="AB240" i="2"/>
  <c r="AB17" i="9" s="1"/>
  <c r="AA18" i="9"/>
  <c r="AB241" i="2"/>
  <c r="AB18" i="9" s="1"/>
  <c r="AA19" i="9"/>
  <c r="AB242" i="2"/>
  <c r="AB19" i="9" s="1"/>
  <c r="AA20" i="9"/>
  <c r="AB243" i="2"/>
  <c r="AB20" i="9" s="1"/>
  <c r="AA21" i="9"/>
  <c r="AB244" i="2"/>
  <c r="AB21" i="9" s="1"/>
  <c r="AA22" i="9"/>
  <c r="AB245" i="2"/>
  <c r="AB22" i="9" s="1"/>
  <c r="AA23" i="9"/>
  <c r="AB246" i="2"/>
  <c r="AB23" i="9" s="1"/>
  <c r="AA24" i="9"/>
  <c r="AB247" i="2"/>
  <c r="AB24" i="9" s="1"/>
  <c r="AA25" i="9"/>
  <c r="AB248" i="2"/>
  <c r="AB25" i="9" s="1"/>
  <c r="AA26" i="9"/>
  <c r="AB249" i="2"/>
  <c r="AB26" i="9" s="1"/>
  <c r="AA27" i="9"/>
  <c r="AB250" i="2"/>
  <c r="AB27" i="9" s="1"/>
  <c r="AA28" i="9"/>
  <c r="AB251" i="2"/>
  <c r="AB28" i="9" s="1"/>
  <c r="AA29" i="9"/>
  <c r="AB252" i="2"/>
  <c r="AB29" i="9" s="1"/>
  <c r="AA30" i="9"/>
  <c r="AB253" i="2"/>
  <c r="AB30" i="9" s="1"/>
  <c r="AA31" i="9"/>
  <c r="AB254" i="2"/>
  <c r="AB31" i="9" s="1"/>
  <c r="AA32" i="9"/>
  <c r="AB255" i="2"/>
  <c r="AB32" i="9" s="1"/>
  <c r="AA33" i="9"/>
  <c r="AB256" i="2"/>
  <c r="AB33" i="9" s="1"/>
  <c r="AA34" i="9"/>
  <c r="AB257" i="2"/>
  <c r="AB34" i="9" s="1"/>
  <c r="AA35" i="9"/>
  <c r="AB258" i="2"/>
  <c r="AB35" i="9" s="1"/>
  <c r="AA36" i="9"/>
  <c r="AB259" i="2"/>
  <c r="AB36" i="9" s="1"/>
  <c r="AA37" i="9"/>
  <c r="AB260" i="2"/>
  <c r="AB37" i="9" s="1"/>
  <c r="AA19" i="10"/>
  <c r="AB261" i="2"/>
  <c r="AB19" i="10" s="1"/>
  <c r="AA20" i="10"/>
  <c r="AB262" i="2"/>
  <c r="AB20" i="10" s="1"/>
  <c r="AA21" i="10"/>
  <c r="AB263" i="2"/>
  <c r="AB21" i="10" s="1"/>
  <c r="AA22" i="10"/>
  <c r="AB264" i="2"/>
  <c r="AB22" i="10" s="1"/>
  <c r="AA23" i="10"/>
  <c r="AB265" i="2"/>
  <c r="AB23" i="10" s="1"/>
  <c r="AA24" i="10"/>
  <c r="AB266" i="2"/>
  <c r="AB24" i="10" s="1"/>
  <c r="AA25" i="10"/>
  <c r="AB267" i="2"/>
  <c r="AB25" i="10" s="1"/>
  <c r="AA26" i="10"/>
  <c r="AB268" i="2"/>
  <c r="AB26" i="10" s="1"/>
  <c r="AA27" i="10"/>
  <c r="AB269" i="2"/>
  <c r="AB27" i="10" s="1"/>
  <c r="AA28" i="10"/>
  <c r="AB270" i="2"/>
  <c r="AB28" i="10" s="1"/>
  <c r="AA29" i="10"/>
  <c r="AB271" i="2"/>
  <c r="AB29" i="10" s="1"/>
  <c r="AA30" i="10"/>
  <c r="AB272" i="2"/>
  <c r="AB30" i="10" s="1"/>
  <c r="AA31" i="10"/>
  <c r="AB273" i="2"/>
  <c r="AB31" i="10" s="1"/>
  <c r="AA32" i="10"/>
  <c r="AB274" i="2"/>
  <c r="AB32" i="10" s="1"/>
  <c r="AA33" i="10"/>
  <c r="AB275" i="2"/>
  <c r="AB33" i="10" s="1"/>
  <c r="AA34" i="10"/>
  <c r="AB276" i="2"/>
  <c r="AB34" i="10" s="1"/>
  <c r="AA35" i="10"/>
  <c r="AB277" i="2"/>
  <c r="AB35" i="10" s="1"/>
  <c r="AA36" i="10"/>
  <c r="AB278" i="2"/>
  <c r="AB36" i="10" s="1"/>
  <c r="AA37" i="10"/>
  <c r="AB279" i="2"/>
  <c r="AB37" i="10" s="1"/>
  <c r="AA38" i="10"/>
  <c r="AB280" i="2"/>
  <c r="AB38" i="10" s="1"/>
  <c r="AA39" i="10"/>
  <c r="AB281" i="2"/>
  <c r="AB39" i="10" s="1"/>
  <c r="AA40" i="10"/>
  <c r="AB282" i="2"/>
  <c r="AB40" i="10" s="1"/>
  <c r="AA41" i="10"/>
  <c r="AB283" i="2"/>
  <c r="AB41" i="10" s="1"/>
  <c r="AA42" i="10"/>
  <c r="AB284" i="2"/>
  <c r="AB42" i="10" s="1"/>
  <c r="AA43" i="10"/>
  <c r="AB285" i="2"/>
  <c r="AB43" i="10" s="1"/>
  <c r="AA44" i="10"/>
  <c r="AB286" i="2"/>
  <c r="AB44" i="10" s="1"/>
  <c r="AA45" i="10"/>
  <c r="AB287" i="2"/>
  <c r="AB45" i="10" s="1"/>
  <c r="AA46" i="10"/>
  <c r="AB288" i="2"/>
  <c r="AB46" i="10" s="1"/>
  <c r="AA47" i="10"/>
  <c r="AB289" i="2"/>
  <c r="AB47" i="10" s="1"/>
  <c r="AA48" i="10"/>
  <c r="AB290" i="2"/>
  <c r="AB48" i="10" s="1"/>
  <c r="AA49" i="10"/>
  <c r="AB291" i="2"/>
  <c r="AB49" i="10" s="1"/>
  <c r="AA8" i="11"/>
  <c r="AB292" i="2"/>
  <c r="AB8" i="11" s="1"/>
  <c r="AA9" i="11"/>
  <c r="AB293" i="2"/>
  <c r="AB9" i="11" s="1"/>
  <c r="AA10" i="11"/>
  <c r="AB294" i="2"/>
  <c r="AB10" i="11" s="1"/>
  <c r="AA11" i="11"/>
  <c r="AB295" i="2"/>
  <c r="AB11" i="11" s="1"/>
  <c r="AA12" i="11"/>
  <c r="AB296" i="2"/>
  <c r="AB12" i="11" s="1"/>
  <c r="AA13" i="11"/>
  <c r="AB297" i="2"/>
  <c r="AB13" i="11" s="1"/>
  <c r="AA14" i="11"/>
  <c r="AB298" i="2"/>
  <c r="AB14" i="11" s="1"/>
  <c r="AA15" i="11"/>
  <c r="AB299" i="2"/>
  <c r="AB15" i="11" s="1"/>
  <c r="AA16" i="11"/>
  <c r="AB300" i="2"/>
  <c r="AB16" i="11" s="1"/>
  <c r="AA17" i="11"/>
  <c r="AB301" i="2"/>
  <c r="AB17" i="11" s="1"/>
  <c r="AA18" i="11"/>
  <c r="AB302" i="2"/>
  <c r="AB18" i="11" s="1"/>
  <c r="AA19" i="11"/>
  <c r="AB303" i="2"/>
  <c r="AB19" i="11" s="1"/>
  <c r="AA20" i="11"/>
  <c r="AB304" i="2"/>
  <c r="AB20" i="11" s="1"/>
  <c r="AA21" i="11"/>
  <c r="AB305" i="2"/>
  <c r="AB21" i="11" s="1"/>
  <c r="AA22" i="11"/>
  <c r="AB306" i="2"/>
  <c r="AB22" i="11" s="1"/>
  <c r="AA23" i="11"/>
  <c r="AB307" i="2"/>
  <c r="AB23" i="11" s="1"/>
  <c r="AA24" i="11"/>
  <c r="AB308" i="2"/>
  <c r="AB24" i="11" s="1"/>
  <c r="AA25" i="11"/>
  <c r="AB309" i="2"/>
  <c r="AB25" i="11" s="1"/>
  <c r="AA26" i="11"/>
  <c r="AB310" i="2"/>
  <c r="AB26" i="11" s="1"/>
  <c r="AA27" i="11"/>
  <c r="AB311" i="2"/>
  <c r="AB27" i="11" s="1"/>
  <c r="AA28" i="11"/>
  <c r="AB312" i="2"/>
  <c r="AB28" i="11" s="1"/>
  <c r="AA29" i="11"/>
  <c r="AB313" i="2"/>
  <c r="AB29" i="11" s="1"/>
  <c r="AA30" i="11"/>
  <c r="AB314" i="2"/>
  <c r="AB30" i="11" s="1"/>
  <c r="AA31" i="11"/>
  <c r="AB315" i="2"/>
  <c r="AB31" i="11" s="1"/>
  <c r="AA32" i="11"/>
  <c r="AB316" i="2"/>
  <c r="AB32" i="11" s="1"/>
  <c r="AA33" i="11"/>
  <c r="AB317" i="2"/>
  <c r="AB33" i="11" s="1"/>
  <c r="AA34" i="11"/>
  <c r="AB318" i="2"/>
  <c r="AB34" i="11" s="1"/>
  <c r="AA35" i="11"/>
  <c r="AB319" i="2"/>
  <c r="AB35" i="11" s="1"/>
  <c r="AA36" i="11"/>
  <c r="AB320" i="2"/>
  <c r="AB36" i="11" s="1"/>
  <c r="AA37" i="11"/>
  <c r="AB321" i="2"/>
  <c r="AB37" i="11" s="1"/>
  <c r="AA38" i="11"/>
  <c r="AB322" i="2"/>
  <c r="AB38" i="11" s="1"/>
  <c r="AA39" i="11"/>
  <c r="AB323" i="2"/>
  <c r="AB39" i="11" s="1"/>
  <c r="AA40" i="11"/>
  <c r="AB324" i="2"/>
  <c r="AB40" i="11" s="1"/>
  <c r="AA41" i="11"/>
  <c r="AB325" i="2"/>
  <c r="AB41" i="11" s="1"/>
  <c r="AA42" i="11"/>
  <c r="AB326" i="2"/>
  <c r="AB42" i="11" s="1"/>
  <c r="AA43" i="11"/>
  <c r="AB327" i="2"/>
  <c r="AB43" i="11" s="1"/>
  <c r="AA44" i="11"/>
  <c r="AB328" i="2"/>
  <c r="AB44" i="11" s="1"/>
  <c r="AA45" i="11"/>
  <c r="AB329" i="2"/>
  <c r="AB45" i="11" s="1"/>
  <c r="AA46" i="11"/>
  <c r="AB330" i="2"/>
  <c r="AB46" i="11" s="1"/>
  <c r="AA47" i="11"/>
  <c r="AB331" i="2"/>
  <c r="AB47" i="11" s="1"/>
  <c r="AA48" i="11"/>
  <c r="AB332" i="2"/>
  <c r="AB48" i="11" s="1"/>
  <c r="AA49" i="11"/>
  <c r="AB333" i="2"/>
  <c r="AB49" i="11" s="1"/>
  <c r="AA50" i="11"/>
  <c r="AB334" i="2"/>
  <c r="AB50" i="11" s="1"/>
  <c r="AA51" i="11"/>
  <c r="AB335" i="2"/>
  <c r="AB51" i="11" s="1"/>
  <c r="AA52" i="11"/>
  <c r="AB336" i="2"/>
  <c r="AB52" i="11" s="1"/>
  <c r="AA53" i="11"/>
  <c r="AB337" i="2"/>
  <c r="AB53" i="11" s="1"/>
  <c r="AA54" i="11"/>
  <c r="AB338" i="2"/>
  <c r="AB54" i="11" s="1"/>
  <c r="AA55" i="11"/>
  <c r="AB339" i="2"/>
  <c r="AB55" i="11" s="1"/>
  <c r="AA56" i="11"/>
  <c r="AB340" i="2"/>
  <c r="AB56" i="11" s="1"/>
  <c r="AA2" i="12"/>
  <c r="AB341" i="2"/>
  <c r="AB2" i="12" s="1"/>
  <c r="AA3" i="12"/>
  <c r="AB342" i="2"/>
  <c r="AB3" i="12" s="1"/>
  <c r="AA4" i="12"/>
  <c r="AB343" i="2"/>
  <c r="AB4" i="12" s="1"/>
  <c r="AA5" i="12"/>
  <c r="AB344" i="2"/>
  <c r="AB5" i="12" s="1"/>
  <c r="AA6" i="12"/>
  <c r="AB345" i="2"/>
  <c r="AB6" i="12" s="1"/>
  <c r="AA7" i="12"/>
  <c r="AB346" i="2"/>
  <c r="AB7" i="12" s="1"/>
  <c r="AA8" i="12"/>
  <c r="AB347" i="2"/>
  <c r="AB8" i="12" s="1"/>
  <c r="AA9" i="12"/>
  <c r="AB348" i="2"/>
  <c r="AB9" i="12" s="1"/>
  <c r="AA10" i="12"/>
  <c r="AB349" i="2"/>
  <c r="AB10" i="12" s="1"/>
  <c r="AA11" i="12"/>
  <c r="AB350" i="2"/>
  <c r="AB11" i="12" s="1"/>
  <c r="AA12" i="12"/>
  <c r="AB351" i="2"/>
  <c r="AB12" i="12" s="1"/>
  <c r="AA13" i="12"/>
  <c r="AB352" i="2"/>
  <c r="AB13" i="12" s="1"/>
  <c r="AA14" i="12"/>
  <c r="AB353" i="2"/>
  <c r="AB14" i="12" s="1"/>
  <c r="AA15" i="12"/>
  <c r="AB354" i="2"/>
  <c r="AB15" i="12" s="1"/>
  <c r="AA16" i="12"/>
  <c r="AB355" i="2"/>
  <c r="AB16" i="12" s="1"/>
  <c r="AA17" i="12"/>
  <c r="AB356" i="2"/>
  <c r="AB17" i="12" s="1"/>
  <c r="AA18" i="12"/>
  <c r="AB357" i="2"/>
  <c r="AB18" i="12" s="1"/>
  <c r="AA19" i="12"/>
  <c r="AB358" i="2"/>
  <c r="AB19" i="12" s="1"/>
  <c r="AA20" i="12"/>
  <c r="AB359" i="2"/>
  <c r="AB20" i="12" s="1"/>
  <c r="AA21" i="12"/>
  <c r="AB360" i="2"/>
  <c r="AB21" i="12" s="1"/>
  <c r="AA22" i="12"/>
  <c r="AB361" i="2"/>
  <c r="AB22" i="12" s="1"/>
  <c r="AA23" i="12"/>
  <c r="AB362" i="2"/>
  <c r="AB23" i="12" s="1"/>
  <c r="AA24" i="12"/>
  <c r="AB363" i="2"/>
  <c r="AB24" i="12" s="1"/>
  <c r="AA10" i="13"/>
  <c r="AB364" i="2"/>
  <c r="AB10" i="13" s="1"/>
  <c r="AA11" i="13"/>
  <c r="AB365" i="2"/>
  <c r="AB11" i="13" s="1"/>
  <c r="AA12" i="13"/>
  <c r="AB366" i="2"/>
  <c r="AB12" i="13" s="1"/>
  <c r="AA13" i="13"/>
  <c r="AB367" i="2"/>
  <c r="AB13" i="13" s="1"/>
  <c r="AA14" i="13"/>
  <c r="AB368" i="2"/>
  <c r="AB14" i="13" s="1"/>
  <c r="AA15" i="13"/>
  <c r="AB369" i="2"/>
  <c r="AB15" i="13" s="1"/>
  <c r="AA16" i="13"/>
  <c r="AB370" i="2"/>
  <c r="AB16" i="13" s="1"/>
  <c r="AA17" i="13"/>
  <c r="AB371" i="2"/>
  <c r="AB17" i="13" s="1"/>
  <c r="AA18" i="13"/>
  <c r="AB372" i="2"/>
  <c r="AB18" i="13" s="1"/>
  <c r="AA19" i="13"/>
  <c r="AB373" i="2"/>
  <c r="AB19" i="13" s="1"/>
  <c r="AA20" i="13"/>
  <c r="AB374" i="2"/>
  <c r="AB20" i="13" s="1"/>
  <c r="AA21" i="13"/>
  <c r="AB375" i="2"/>
  <c r="AB21" i="13" s="1"/>
  <c r="AA22" i="13"/>
  <c r="AB376" i="2"/>
  <c r="AB22" i="13" s="1"/>
  <c r="AA23" i="13"/>
  <c r="AB377" i="2"/>
  <c r="AB23" i="13" s="1"/>
  <c r="AA24" i="13"/>
  <c r="AB378" i="2"/>
  <c r="AB24" i="13" s="1"/>
  <c r="AA25" i="13"/>
  <c r="AB379" i="2"/>
  <c r="AB25" i="13" s="1"/>
  <c r="AA26" i="13"/>
  <c r="AB380" i="2"/>
  <c r="AB26" i="13" s="1"/>
  <c r="AA27" i="13"/>
  <c r="AB381" i="2"/>
  <c r="AB27" i="13" s="1"/>
  <c r="AA28" i="13"/>
  <c r="AB382" i="2"/>
  <c r="AB28" i="13" s="1"/>
  <c r="AA29" i="13"/>
  <c r="AB383" i="2"/>
  <c r="AB29" i="13" s="1"/>
  <c r="AA30" i="13"/>
  <c r="AB384" i="2"/>
  <c r="AB30" i="13" s="1"/>
  <c r="AA31" i="13"/>
  <c r="AB385" i="2"/>
  <c r="AB31" i="13" s="1"/>
  <c r="AA32" i="13"/>
  <c r="AB386" i="2"/>
  <c r="AB32" i="13" s="1"/>
  <c r="AA33" i="13"/>
  <c r="AB387" i="2"/>
  <c r="AB33" i="13" s="1"/>
  <c r="AA34" i="13"/>
  <c r="AB388" i="2"/>
  <c r="AB34" i="13" s="1"/>
  <c r="AA35" i="13"/>
  <c r="AB389" i="2"/>
  <c r="AB35" i="13" s="1"/>
  <c r="AA36" i="13"/>
  <c r="AB390" i="2"/>
  <c r="AB36" i="13" s="1"/>
  <c r="AA37" i="13"/>
  <c r="AB391" i="2"/>
  <c r="AB37" i="13" s="1"/>
  <c r="AA38" i="13"/>
  <c r="AB392" i="2"/>
  <c r="AB38" i="13" s="1"/>
  <c r="AA39" i="13"/>
  <c r="AB393" i="2"/>
  <c r="AB39" i="13" s="1"/>
  <c r="AA40" i="13"/>
  <c r="AB394" i="2"/>
  <c r="AB40" i="13" s="1"/>
  <c r="AA41" i="13"/>
  <c r="AB395" i="2"/>
  <c r="AB41" i="13" s="1"/>
  <c r="AA42" i="13"/>
  <c r="AB396" i="2"/>
  <c r="AB42" i="13" s="1"/>
  <c r="AA43" i="13"/>
  <c r="AB397" i="2"/>
  <c r="AB43" i="13" s="1"/>
  <c r="AA44" i="13"/>
  <c r="AB398" i="2"/>
  <c r="AB44" i="13" s="1"/>
  <c r="AA45" i="13"/>
  <c r="AB399" i="2"/>
  <c r="AB45" i="13" s="1"/>
  <c r="AA9" i="14"/>
  <c r="AB400" i="2"/>
  <c r="AB9" i="14" s="1"/>
  <c r="AA10" i="14"/>
  <c r="AB401" i="2"/>
  <c r="AB10" i="14" s="1"/>
  <c r="AA11" i="14"/>
  <c r="AB402" i="2"/>
  <c r="AB11" i="14" s="1"/>
  <c r="AA12" i="14"/>
  <c r="AB403" i="2"/>
  <c r="AB12" i="14" s="1"/>
  <c r="AA13" i="14"/>
  <c r="AB404" i="2"/>
  <c r="AB13" i="14" s="1"/>
  <c r="AA14" i="14"/>
  <c r="AB405" i="2"/>
  <c r="AB14" i="14" s="1"/>
  <c r="AA15" i="14"/>
  <c r="AB406" i="2"/>
  <c r="AB15" i="14" s="1"/>
  <c r="AA16" i="14"/>
  <c r="AB407" i="2"/>
  <c r="AB16" i="14" s="1"/>
  <c r="AA17" i="14"/>
  <c r="AB408" i="2"/>
  <c r="AB17" i="14" s="1"/>
  <c r="AA18" i="14"/>
  <c r="AB409" i="2"/>
  <c r="AB18" i="14" s="1"/>
  <c r="AA19" i="14"/>
  <c r="AB410" i="2"/>
  <c r="AB19" i="14" s="1"/>
  <c r="AA20" i="14"/>
  <c r="AB411" i="2"/>
  <c r="AB20" i="14" s="1"/>
  <c r="AA21" i="14"/>
  <c r="AB412" i="2"/>
  <c r="AB21" i="14" s="1"/>
  <c r="AA22" i="14"/>
  <c r="AB413" i="2"/>
  <c r="AB22" i="14" s="1"/>
  <c r="AA23" i="14"/>
  <c r="AB414" i="2"/>
  <c r="AB23" i="14" s="1"/>
  <c r="AA24" i="14"/>
  <c r="AB415" i="2"/>
  <c r="AB24" i="14" s="1"/>
  <c r="AA25" i="14"/>
  <c r="AB416" i="2"/>
  <c r="AB25" i="14" s="1"/>
  <c r="AA26" i="14"/>
  <c r="AB417" i="2"/>
  <c r="AB26" i="14" s="1"/>
  <c r="AA27" i="14"/>
  <c r="AB418" i="2"/>
  <c r="AB27" i="14" s="1"/>
  <c r="AA28" i="14"/>
  <c r="AB419" i="2"/>
  <c r="AB28" i="14" s="1"/>
  <c r="AA29" i="14"/>
  <c r="AB420" i="2"/>
  <c r="AB29" i="14" s="1"/>
  <c r="AA30" i="14"/>
  <c r="AB421" i="2"/>
  <c r="AB30" i="14" s="1"/>
  <c r="AA31" i="14"/>
  <c r="AB422" i="2"/>
  <c r="AB31" i="14" s="1"/>
  <c r="AA32" i="14"/>
  <c r="AB423" i="2"/>
  <c r="AB32" i="14" s="1"/>
  <c r="AA33" i="14"/>
  <c r="AB424" i="2"/>
  <c r="AB33" i="14" s="1"/>
  <c r="AA34" i="14"/>
  <c r="AB425" i="2"/>
  <c r="AB34" i="14" s="1"/>
  <c r="AA35" i="14"/>
  <c r="AB426" i="2"/>
  <c r="AB35" i="14" s="1"/>
  <c r="AA36" i="14"/>
  <c r="AB427" i="2"/>
  <c r="AB36" i="14" s="1"/>
  <c r="AA37" i="14"/>
  <c r="AB428" i="2"/>
  <c r="AB37" i="14" s="1"/>
  <c r="AA38" i="14"/>
  <c r="AB429" i="2"/>
  <c r="AB38" i="14" s="1"/>
  <c r="AA39" i="14"/>
  <c r="AB430" i="2"/>
  <c r="AB39" i="14" s="1"/>
  <c r="AA40" i="14"/>
  <c r="AB431" i="2"/>
  <c r="AB40" i="14" s="1"/>
  <c r="AA41" i="14"/>
  <c r="AB432" i="2"/>
  <c r="AB41" i="14" s="1"/>
  <c r="AA42" i="14"/>
  <c r="AB433" i="2"/>
  <c r="AB42" i="14" s="1"/>
  <c r="AA43" i="14"/>
  <c r="AB434" i="2"/>
  <c r="AB43" i="14" s="1"/>
  <c r="AA44" i="14"/>
  <c r="AB435" i="2"/>
  <c r="AB44" i="14" s="1"/>
  <c r="AA45" i="14"/>
  <c r="AB436" i="2"/>
  <c r="AB45" i="14" s="1"/>
  <c r="AA46" i="14"/>
  <c r="AB437" i="2"/>
  <c r="AB46" i="14" s="1"/>
  <c r="AA47" i="14"/>
  <c r="AB438" i="2"/>
  <c r="AB47" i="14" s="1"/>
  <c r="AA48" i="14"/>
  <c r="AB439" i="2"/>
  <c r="AB48" i="14" s="1"/>
  <c r="AA49" i="14"/>
  <c r="AB440" i="2"/>
  <c r="AB49" i="14" s="1"/>
  <c r="AA50" i="14"/>
  <c r="AB441" i="2"/>
  <c r="AB50" i="14" s="1"/>
  <c r="AA51" i="14"/>
  <c r="AB442" i="2"/>
  <c r="AB51" i="14" s="1"/>
  <c r="AA52" i="14"/>
  <c r="AB443" i="2"/>
  <c r="AB52" i="14" s="1"/>
  <c r="AA53" i="14"/>
  <c r="AB444" i="2"/>
  <c r="AB53" i="14" s="1"/>
  <c r="AA54" i="14"/>
  <c r="AB445" i="2"/>
  <c r="AB54" i="14" s="1"/>
  <c r="AA55" i="14"/>
  <c r="AB446" i="2"/>
  <c r="AB55" i="14" s="1"/>
  <c r="AA56" i="14"/>
  <c r="AB447" i="2"/>
  <c r="AB56" i="14" s="1"/>
  <c r="AA57" i="14"/>
  <c r="AB448" i="2"/>
  <c r="AB57" i="14" s="1"/>
  <c r="AA58" i="14"/>
  <c r="AB449" i="2"/>
  <c r="AB58" i="14" s="1"/>
  <c r="AA59" i="14"/>
  <c r="AB450" i="2"/>
  <c r="AB59" i="14" s="1"/>
  <c r="AA60" i="14"/>
  <c r="AB451" i="2"/>
  <c r="AB60" i="14" s="1"/>
  <c r="AA61" i="14"/>
  <c r="AB452" i="2"/>
  <c r="AB61" i="14" s="1"/>
  <c r="AA62" i="14"/>
  <c r="AB453" i="2"/>
  <c r="AB62" i="14" s="1"/>
  <c r="AA63" i="14"/>
  <c r="AB454" i="2"/>
  <c r="AB63" i="14" s="1"/>
  <c r="AA64" i="14"/>
  <c r="AB455" i="2"/>
  <c r="AB64" i="14" s="1"/>
  <c r="AA20" i="15"/>
  <c r="AB456" i="2"/>
  <c r="AB20" i="15" s="1"/>
  <c r="AA21" i="15"/>
  <c r="AB457" i="2"/>
  <c r="AB21" i="15" s="1"/>
  <c r="AA22" i="15"/>
  <c r="AB458" i="2"/>
  <c r="AB22" i="15" s="1"/>
  <c r="AA23" i="15"/>
  <c r="AB459" i="2"/>
  <c r="AB23" i="15" s="1"/>
  <c r="AA24" i="15"/>
  <c r="AB460" i="2"/>
  <c r="AB24" i="15" s="1"/>
  <c r="AA25" i="15"/>
  <c r="AB461" i="2"/>
  <c r="AB25" i="15" s="1"/>
  <c r="AA26" i="15"/>
  <c r="AB462" i="2"/>
  <c r="AB26" i="15" s="1"/>
  <c r="AA27" i="15"/>
  <c r="AB463" i="2"/>
  <c r="AB27" i="15" s="1"/>
  <c r="AA28" i="15"/>
  <c r="AB464" i="2"/>
  <c r="AB28" i="15" s="1"/>
  <c r="AA29" i="15"/>
  <c r="AB465" i="2"/>
  <c r="AB29" i="15" s="1"/>
  <c r="AA30" i="15"/>
  <c r="AB466" i="2"/>
  <c r="AB30" i="15" s="1"/>
  <c r="AA31" i="15"/>
  <c r="AB467" i="2"/>
  <c r="AB31" i="15" s="1"/>
  <c r="AA32" i="15"/>
  <c r="AB468" i="2"/>
  <c r="AB32" i="15" s="1"/>
  <c r="AA33" i="15"/>
  <c r="AB469" i="2"/>
  <c r="AB33" i="15" s="1"/>
  <c r="AA34" i="15"/>
  <c r="AB470" i="2"/>
  <c r="AB34" i="15" s="1"/>
  <c r="AA35" i="15"/>
  <c r="AB471" i="2"/>
  <c r="AB35" i="15" s="1"/>
  <c r="AA36" i="15"/>
  <c r="AB472" i="2"/>
  <c r="AB36" i="15" s="1"/>
  <c r="AA37" i="15"/>
  <c r="AB473" i="2"/>
  <c r="AB37" i="15" s="1"/>
  <c r="AA38" i="15"/>
  <c r="AB474" i="2"/>
  <c r="AB38" i="15" s="1"/>
  <c r="AA39" i="15"/>
  <c r="AB475" i="2"/>
  <c r="AB39" i="15" s="1"/>
  <c r="AA40" i="15"/>
  <c r="AB476" i="2"/>
  <c r="AB40" i="15" s="1"/>
  <c r="AA41" i="15"/>
  <c r="AB477" i="2"/>
  <c r="AB41" i="15" s="1"/>
  <c r="AA42" i="15"/>
  <c r="AB478" i="2"/>
  <c r="AB42" i="15" s="1"/>
  <c r="AA43" i="15"/>
  <c r="AB479" i="2"/>
  <c r="AB43" i="15" s="1"/>
  <c r="AA44" i="15"/>
  <c r="AB480" i="2"/>
  <c r="AB44" i="15" s="1"/>
  <c r="AA45" i="15"/>
  <c r="AB481" i="2"/>
  <c r="AB45" i="15" s="1"/>
  <c r="AA46" i="15"/>
  <c r="AB482" i="2"/>
  <c r="AB46" i="15" s="1"/>
  <c r="AA47" i="15"/>
  <c r="AB483" i="2"/>
  <c r="AB47" i="15" s="1"/>
  <c r="AA48" i="15"/>
  <c r="AB484" i="2"/>
  <c r="AB48" i="15" s="1"/>
  <c r="AA49" i="15"/>
  <c r="AB485" i="2"/>
  <c r="AB49" i="15" s="1"/>
  <c r="AA50" i="15"/>
  <c r="AB486" i="2"/>
  <c r="AB50" i="15" s="1"/>
  <c r="AA51" i="15"/>
  <c r="AB487" i="2"/>
  <c r="AB51" i="15" s="1"/>
  <c r="AA52" i="15"/>
  <c r="AB488" i="2"/>
  <c r="AB52" i="15" s="1"/>
  <c r="AA53" i="15"/>
  <c r="AB489" i="2"/>
  <c r="AB53" i="15" s="1"/>
  <c r="AA54" i="15"/>
  <c r="AB490" i="2"/>
  <c r="AB54" i="15" s="1"/>
  <c r="AA55" i="15"/>
  <c r="AB491" i="2"/>
  <c r="AB55" i="15" s="1"/>
  <c r="AA56" i="15"/>
  <c r="AB492" i="2"/>
  <c r="AB56" i="15" s="1"/>
  <c r="AA57" i="15"/>
  <c r="AB493" i="2"/>
  <c r="AB57" i="15" s="1"/>
  <c r="AA58" i="15"/>
  <c r="AB494" i="2"/>
  <c r="AB58" i="15" s="1"/>
  <c r="AA59" i="15"/>
  <c r="AB495" i="2"/>
  <c r="AB59" i="15" s="1"/>
  <c r="AA60" i="15"/>
  <c r="AB496" i="2"/>
  <c r="AB60" i="15" s="1"/>
  <c r="AA61" i="15"/>
  <c r="AB497" i="2"/>
  <c r="AB61" i="15" s="1"/>
  <c r="AA14" i="16"/>
  <c r="AB498" i="2"/>
  <c r="AB14" i="16" s="1"/>
  <c r="AA15" i="16"/>
  <c r="AB499" i="2"/>
  <c r="AB15" i="16" s="1"/>
  <c r="AA16" i="16"/>
  <c r="AB500" i="2"/>
  <c r="AB16" i="16" s="1"/>
  <c r="AA17" i="16"/>
  <c r="AB501" i="2"/>
  <c r="AB17" i="16" s="1"/>
  <c r="AA18" i="16"/>
  <c r="AB502" i="2"/>
  <c r="AB18" i="16" s="1"/>
  <c r="AA19" i="16"/>
  <c r="AB503" i="2"/>
  <c r="AB19" i="16" s="1"/>
  <c r="AA20" i="16"/>
  <c r="AB504" i="2"/>
  <c r="AB20" i="16" s="1"/>
  <c r="AA21" i="16"/>
  <c r="AB505" i="2"/>
  <c r="AB21" i="16" s="1"/>
  <c r="AA22" i="16"/>
  <c r="AB506" i="2"/>
  <c r="AB22" i="16" s="1"/>
  <c r="AA23" i="16"/>
  <c r="AB507" i="2"/>
  <c r="AB23" i="16" s="1"/>
  <c r="AA24" i="16"/>
  <c r="AB508" i="2"/>
  <c r="AB24" i="16" s="1"/>
  <c r="AA25" i="16"/>
  <c r="AB509" i="2"/>
  <c r="AB25" i="16" s="1"/>
  <c r="AA26" i="16"/>
  <c r="AB510" i="2"/>
  <c r="AB26" i="16" s="1"/>
  <c r="AA27" i="16"/>
  <c r="AB511" i="2"/>
  <c r="AB27" i="16" s="1"/>
  <c r="AA28" i="16"/>
  <c r="AB512" i="2"/>
  <c r="AB28" i="16" s="1"/>
  <c r="AA29" i="16"/>
  <c r="AB513" i="2"/>
  <c r="AB29" i="16" s="1"/>
  <c r="AA30" i="16"/>
  <c r="AB514" i="2"/>
  <c r="AB30" i="16" s="1"/>
  <c r="AA31" i="16"/>
  <c r="AB515" i="2"/>
  <c r="AB31" i="16" s="1"/>
  <c r="AA32" i="16"/>
  <c r="AB516" i="2"/>
  <c r="AB32" i="16" s="1"/>
  <c r="AA33" i="16"/>
  <c r="AB517" i="2"/>
  <c r="AB33" i="16" s="1"/>
  <c r="AA34" i="16"/>
  <c r="AB518" i="2"/>
  <c r="AB34" i="16" s="1"/>
  <c r="AA35" i="16"/>
  <c r="AB519" i="2"/>
  <c r="AB35" i="16" s="1"/>
  <c r="AA36" i="16"/>
  <c r="AB520" i="2"/>
  <c r="AB36" i="16" s="1"/>
  <c r="AA37" i="16"/>
  <c r="AB521" i="2"/>
  <c r="AB37" i="16" s="1"/>
  <c r="AA38" i="16"/>
  <c r="AB522" i="2"/>
  <c r="AB38" i="16" s="1"/>
  <c r="AA39" i="16"/>
  <c r="AB523" i="2"/>
  <c r="AB39" i="16" s="1"/>
  <c r="AA40" i="16"/>
  <c r="AB524" i="2"/>
  <c r="AB40" i="16" s="1"/>
  <c r="AA41" i="16"/>
  <c r="AB525" i="2"/>
  <c r="AB41" i="16" s="1"/>
  <c r="AA42" i="16"/>
  <c r="AB526" i="2"/>
  <c r="AB42" i="16" s="1"/>
  <c r="AA43" i="16"/>
  <c r="AB527" i="2"/>
  <c r="AB43" i="16" s="1"/>
  <c r="AA44" i="16"/>
  <c r="AB528" i="2"/>
  <c r="AB44" i="16" s="1"/>
  <c r="AA45" i="16"/>
  <c r="AB529" i="2"/>
  <c r="AB45" i="16" s="1"/>
  <c r="AA46" i="16"/>
  <c r="AB530" i="2"/>
  <c r="AB46" i="16" s="1"/>
  <c r="AA47" i="16"/>
  <c r="AB531" i="2"/>
  <c r="AB47" i="16" s="1"/>
  <c r="AA48" i="16"/>
  <c r="AB532" i="2"/>
  <c r="AB48" i="16" s="1"/>
  <c r="AA49" i="16"/>
  <c r="AB533" i="2"/>
  <c r="AB49" i="16" s="1"/>
  <c r="AA50" i="16"/>
  <c r="AB534" i="2"/>
  <c r="AB50" i="16" s="1"/>
  <c r="AA51" i="16"/>
  <c r="AB535" i="2"/>
  <c r="AB51" i="16" s="1"/>
  <c r="AA52" i="16"/>
  <c r="AB536" i="2"/>
  <c r="AB52" i="16" s="1"/>
  <c r="AA53" i="16"/>
  <c r="AB537" i="2"/>
  <c r="AB53" i="16" s="1"/>
  <c r="AA54" i="16"/>
  <c r="AB538" i="2"/>
  <c r="AB54" i="16" s="1"/>
  <c r="AA55" i="16"/>
  <c r="AB539" i="2"/>
  <c r="AB55" i="16" s="1"/>
  <c r="AA56" i="16"/>
  <c r="AB540" i="2"/>
  <c r="AB56" i="16" s="1"/>
  <c r="AA57" i="16"/>
  <c r="AB541" i="2"/>
  <c r="AB57" i="16" s="1"/>
  <c r="AA58" i="16"/>
  <c r="AB542" i="2"/>
  <c r="AB58" i="16" s="1"/>
  <c r="AA59" i="16"/>
  <c r="AB543" i="2"/>
  <c r="AB59" i="16" s="1"/>
  <c r="AA60" i="16"/>
  <c r="AB544" i="2"/>
  <c r="AB60" i="16" s="1"/>
  <c r="AA61" i="16"/>
  <c r="AB545" i="2"/>
  <c r="AB61" i="16" s="1"/>
  <c r="AA62" i="16"/>
  <c r="AB546" i="2"/>
  <c r="AB62" i="16" s="1"/>
  <c r="AA63" i="16"/>
  <c r="AB547" i="2"/>
  <c r="AB63" i="16" s="1"/>
  <c r="AA64" i="16"/>
  <c r="AB548" i="2"/>
  <c r="AB64" i="16" s="1"/>
  <c r="AA65" i="16"/>
  <c r="AB549" i="2"/>
  <c r="AB65" i="16" s="1"/>
  <c r="AA66" i="16"/>
  <c r="AB550" i="2"/>
  <c r="AB66" i="16" s="1"/>
  <c r="AA67" i="16"/>
  <c r="AB551" i="2"/>
  <c r="AB67" i="16" s="1"/>
  <c r="AA68" i="16"/>
  <c r="AB552" i="2"/>
  <c r="AB68" i="16" s="1"/>
  <c r="AA69" i="16"/>
  <c r="AB553" i="2"/>
  <c r="AB69" i="16" s="1"/>
  <c r="AA70" i="16"/>
  <c r="AB554" i="2"/>
  <c r="AB70" i="16" s="1"/>
  <c r="AA71" i="16"/>
  <c r="AB555" i="2"/>
  <c r="AB71" i="16" s="1"/>
  <c r="AA72" i="16"/>
  <c r="AB556" i="2"/>
  <c r="AB72" i="16" s="1"/>
  <c r="AA73" i="16"/>
  <c r="AB557" i="2"/>
  <c r="AB73" i="16" s="1"/>
  <c r="AA74" i="16"/>
  <c r="AB558" i="2"/>
  <c r="AB74" i="16" s="1"/>
  <c r="AA75" i="16"/>
  <c r="AB559" i="2"/>
  <c r="AB75" i="16" s="1"/>
  <c r="AA76" i="16"/>
  <c r="AB560" i="2"/>
  <c r="AB76" i="16" s="1"/>
  <c r="AA77" i="16"/>
  <c r="AB561" i="2"/>
  <c r="AB77" i="16" s="1"/>
  <c r="D5" i="4"/>
  <c r="E5" i="4" s="1"/>
  <c r="D6" i="4"/>
  <c r="E6" i="4" s="1"/>
  <c r="D7" i="4"/>
  <c r="E7" i="4" s="1"/>
  <c r="D8" i="4"/>
  <c r="E8" i="4" s="1"/>
  <c r="D9" i="4"/>
  <c r="E9" i="4" s="1"/>
  <c r="D13" i="4"/>
  <c r="E13" i="4" s="1"/>
  <c r="AB2" i="5" l="1"/>
  <c r="E15" i="3"/>
  <c r="E14" i="3"/>
  <c r="E13" i="3"/>
  <c r="E12" i="3"/>
  <c r="E11" i="3"/>
</calcChain>
</file>

<file path=xl/sharedStrings.xml><?xml version="1.0" encoding="utf-8"?>
<sst xmlns="http://schemas.openxmlformats.org/spreadsheetml/2006/main" count="6596" uniqueCount="1538">
  <si>
    <t>SYNTHETIC CLAIMS OPPORTUNITY PORTFOLIO PROJECT</t>
  </si>
  <si>
    <t>Project objective</t>
  </si>
  <si>
    <t>Scope</t>
  </si>
  <si>
    <t>560 fully synthetic claims across 12 fictional claims analysts and five opportunity indicators.</t>
  </si>
  <si>
    <t>Tools demonstrated</t>
  </si>
  <si>
    <t>Formula-driven classifications, text-search logic, conditional formatting, dashboard KPIs and charts, linked analyst views, and independent reconciliation controls.</t>
  </si>
  <si>
    <t>Fictional reporting date</t>
  </si>
  <si>
    <t>December 31, 2031. All time-dependent statuses and classifications are interpreted relative to this fictional reporting date.</t>
  </si>
  <si>
    <t>Data statement</t>
  </si>
  <si>
    <t>All names, organizations, identifiers, dates, amounts, evaluator names, statuses, and alert text are synthetic and fictional.</t>
  </si>
  <si>
    <t>Methodology</t>
  </si>
  <si>
    <t>Important limitation</t>
  </si>
  <si>
    <t>Privacy statement</t>
  </si>
  <si>
    <t>This workbook was independently recreated for public portfolio use and contains no internal paths, personal contact details, employer-specific system names, or original claim-level values.</t>
  </si>
  <si>
    <t>Glossary</t>
  </si>
  <si>
    <t>C&amp;R = Compromise and Release; MMI = Maximum Medical Improvement; MSA = Medicare Set-Aside; QME = Qualified Medical Evaluator.</t>
  </si>
  <si>
    <t>Blank-cell handling</t>
  </si>
  <si>
    <t>Optional fields remain blank when no value applies. Linked analyst views use blank-safe formulas so missing dates and amounts do not display as 1900 dates or zero values.</t>
  </si>
  <si>
    <t>Synthetic Claim ID</t>
  </si>
  <si>
    <t>Synthetic Claimant</t>
  </si>
  <si>
    <t>Claims Analyst</t>
  </si>
  <si>
    <t>Synthetic Policyholder</t>
  </si>
  <si>
    <t>Date of Injury</t>
  </si>
  <si>
    <t>Settlement Authorization (Y/N)</t>
  </si>
  <si>
    <t>Authorized Amount</t>
  </si>
  <si>
    <t>Authorized By</t>
  </si>
  <si>
    <t>Authorization Date</t>
  </si>
  <si>
    <t>Open Stipulation Without C&amp;R (Y/N)</t>
  </si>
  <si>
    <t>First Stipulation Date</t>
  </si>
  <si>
    <t>Litigated (Y/N)</t>
  </si>
  <si>
    <t>Pending QME (Y/N)</t>
  </si>
  <si>
    <t>QME Date</t>
  </si>
  <si>
    <t>QME Evaluator</t>
  </si>
  <si>
    <t>Automated Claim Alert (Y/N)</t>
  </si>
  <si>
    <t>Current Automated Alert(s)</t>
  </si>
  <si>
    <t>Previous Automated Alert(s)</t>
  </si>
  <si>
    <t>Inactive Customer (Y/N)</t>
  </si>
  <si>
    <t>Policy Expiration Date</t>
  </si>
  <si>
    <t>Alert Contains Surgery Request (Y/N)</t>
  </si>
  <si>
    <t>Alert Contains MMI (Y/N)</t>
  </si>
  <si>
    <t>Alert Contains Denied Treatment (Y/N)</t>
  </si>
  <si>
    <t>Alert Contains Specialist Consultation (Y/N)</t>
  </si>
  <si>
    <t>Alert Contains Non-Renewed Account (Y/N)</t>
  </si>
  <si>
    <t>Alert Contains MSA Eligibility (Y/N)</t>
  </si>
  <si>
    <t>Active Opportunity Indicators</t>
  </si>
  <si>
    <t>Opportunity Signal Level</t>
  </si>
  <si>
    <t>Reports Appearing On</t>
  </si>
  <si>
    <t>SYN-CLM-0001</t>
  </si>
  <si>
    <t>Synthetic Claimant 0001</t>
  </si>
  <si>
    <t>Claims Analyst A</t>
  </si>
  <si>
    <t>Synthetic Policyholder 034, LLC</t>
  </si>
  <si>
    <t>Y</t>
  </si>
  <si>
    <t>Synthetic Approver 07</t>
  </si>
  <si>
    <t>N</t>
  </si>
  <si>
    <t>MMI Date Reported; Non-Renewed Account; MSA Eligible in Next 3 Years</t>
  </si>
  <si>
    <t>SYN-CLM-0002</t>
  </si>
  <si>
    <t>Synthetic Claimant 0002</t>
  </si>
  <si>
    <t>Claims Analyst F</t>
  </si>
  <si>
    <t>Synthetic Policyholder 170, LLC</t>
  </si>
  <si>
    <t>Synthetic Approver 04</t>
  </si>
  <si>
    <t>Non-Renewed Account; Denied Treatment Requests; Surgery Requested</t>
  </si>
  <si>
    <t>MSA Eligible in Next 3 Years; Specialist Consultation Requested</t>
  </si>
  <si>
    <t>SYN-CLM-0003</t>
  </si>
  <si>
    <t>Synthetic Claimant 0003</t>
  </si>
  <si>
    <t>Claims Analyst G</t>
  </si>
  <si>
    <t>Synthetic Policyholder 147, LLC</t>
  </si>
  <si>
    <t>Synthetic Approver 11</t>
  </si>
  <si>
    <t>SYN-CLM-0004</t>
  </si>
  <si>
    <t>Synthetic Claimant 0004</t>
  </si>
  <si>
    <t>Claims Analyst J</t>
  </si>
  <si>
    <t>Synthetic Policyholder 118, LLC</t>
  </si>
  <si>
    <t>Synthetic Approver 01</t>
  </si>
  <si>
    <t>SYN-CLM-0005</t>
  </si>
  <si>
    <t>Synthetic Claimant 0005</t>
  </si>
  <si>
    <t>Synthetic Policyholder 129, LLC</t>
  </si>
  <si>
    <t>SYN-CLM-0006</t>
  </si>
  <si>
    <t>Synthetic Claimant 0006</t>
  </si>
  <si>
    <t>Synthetic Policyholder 167, LLC</t>
  </si>
  <si>
    <t>Synthetic Approver 09</t>
  </si>
  <si>
    <t>SYN-CLM-0007</t>
  </si>
  <si>
    <t>Synthetic Claimant 0007</t>
  </si>
  <si>
    <t>Synthetic Policyholder 080, LLC</t>
  </si>
  <si>
    <t>SYN-CLM-0008</t>
  </si>
  <si>
    <t>Synthetic Claimant 0008</t>
  </si>
  <si>
    <t>Synthetic Policyholder 153, LLC</t>
  </si>
  <si>
    <t>Synthetic Approver 06</t>
  </si>
  <si>
    <t>SYN-CLM-0009</t>
  </si>
  <si>
    <t>Synthetic Claimant 0009</t>
  </si>
  <si>
    <t>Synthetic Policyholder 143, LLC</t>
  </si>
  <si>
    <t>Synthetic Approver 02</t>
  </si>
  <si>
    <t>SYN-CLM-0010</t>
  </si>
  <si>
    <t>Synthetic Claimant 0010</t>
  </si>
  <si>
    <t>Synthetic Policyholder 172, LLC</t>
  </si>
  <si>
    <t>Synthetic Approver 08</t>
  </si>
  <si>
    <t>SYN-CLM-0011</t>
  </si>
  <si>
    <t>Synthetic Claimant 0011</t>
  </si>
  <si>
    <t>Synthetic Policyholder 103, LLC</t>
  </si>
  <si>
    <t>SYN-CLM-0012</t>
  </si>
  <si>
    <t>Synthetic Claimant 0012</t>
  </si>
  <si>
    <t>Synthetic Policyholder 125, LLC</t>
  </si>
  <si>
    <t>SYN-CLM-0013</t>
  </si>
  <si>
    <t>Synthetic Claimant 0013</t>
  </si>
  <si>
    <t>Synthetic Policyholder 002, LLC</t>
  </si>
  <si>
    <t>SYN-CLM-0014</t>
  </si>
  <si>
    <t>Synthetic Claimant 0014</t>
  </si>
  <si>
    <t>Synthetic Policyholder 171, LLC</t>
  </si>
  <si>
    <t>SYN-CLM-0015</t>
  </si>
  <si>
    <t>Synthetic Claimant 0015</t>
  </si>
  <si>
    <t>Synthetic Policyholder 056, LLC</t>
  </si>
  <si>
    <t>Synthetic Approver 12</t>
  </si>
  <si>
    <t>SYN-CLM-0016</t>
  </si>
  <si>
    <t>Synthetic Claimant 0016</t>
  </si>
  <si>
    <t>Synthetic Policyholder 018, LLC</t>
  </si>
  <si>
    <t>SYN-CLM-0017</t>
  </si>
  <si>
    <t>Synthetic Claimant 0017</t>
  </si>
  <si>
    <t>Synthetic Policyholder 028, LLC</t>
  </si>
  <si>
    <t>Synthetic Approver 05</t>
  </si>
  <si>
    <t>SYN-CLM-0018</t>
  </si>
  <si>
    <t>Synthetic Claimant 0018</t>
  </si>
  <si>
    <t>Claims Analyst C</t>
  </si>
  <si>
    <t>Synthetic Policyholder 157, LLC</t>
  </si>
  <si>
    <t>Surgery Requested; MSA Eligible in Next 3 Years; MMI Date Reported</t>
  </si>
  <si>
    <t>Specialist Consultation Requested</t>
  </si>
  <si>
    <t>SYN-CLM-0019</t>
  </si>
  <si>
    <t>Synthetic Claimant 0019</t>
  </si>
  <si>
    <t>Synthetic Policyholder 004, LLC</t>
  </si>
  <si>
    <t>SYN-CLM-0020</t>
  </si>
  <si>
    <t>Synthetic Claimant 0020</t>
  </si>
  <si>
    <t>Synthetic Policyholder 115, LLC</t>
  </si>
  <si>
    <t>Synthetic QME Evaluator 25</t>
  </si>
  <si>
    <t>SYN-CLM-0021</t>
  </si>
  <si>
    <t>Synthetic Claimant 0021</t>
  </si>
  <si>
    <t>Synthetic Policyholder 090, LLC</t>
  </si>
  <si>
    <t>SYN-CLM-0022</t>
  </si>
  <si>
    <t>Synthetic Claimant 0022</t>
  </si>
  <si>
    <t>Synthetic Policyholder 073, LLC</t>
  </si>
  <si>
    <t>SYN-CLM-0023</t>
  </si>
  <si>
    <t>Synthetic Claimant 0023</t>
  </si>
  <si>
    <t>Synthetic Policyholder 040, LLC</t>
  </si>
  <si>
    <t>Synthetic QME Evaluator 20</t>
  </si>
  <si>
    <t>SYN-CLM-0024</t>
  </si>
  <si>
    <t>Synthetic Claimant 0024</t>
  </si>
  <si>
    <t>Synthetic Policyholder 155, LLC</t>
  </si>
  <si>
    <t>Non-Renewed Account; MSA Eligible in Next 3 Years; Denied Treatment Requests</t>
  </si>
  <si>
    <t>SYN-CLM-0025</t>
  </si>
  <si>
    <t>Synthetic Claimant 0025</t>
  </si>
  <si>
    <t>SYN-CLM-0026</t>
  </si>
  <si>
    <t>Synthetic Claimant 0026</t>
  </si>
  <si>
    <t>Synthetic Policyholder 042, LLC</t>
  </si>
  <si>
    <t>MSA Eligible in Next 3 Years</t>
  </si>
  <si>
    <t>SYN-CLM-0027</t>
  </si>
  <si>
    <t>Synthetic Claimant 0027</t>
  </si>
  <si>
    <t>Synthetic Policyholder 104, LLC</t>
  </si>
  <si>
    <t>SYN-CLM-0028</t>
  </si>
  <si>
    <t>Synthetic Claimant 0028</t>
  </si>
  <si>
    <t>Synthetic Policyholder 096, LLC</t>
  </si>
  <si>
    <t>SYN-CLM-0029</t>
  </si>
  <si>
    <t>Synthetic Claimant 0029</t>
  </si>
  <si>
    <t>Synthetic Policyholder 089, LLC</t>
  </si>
  <si>
    <t>SYN-CLM-0030</t>
  </si>
  <si>
    <t>Synthetic Claimant 0030</t>
  </si>
  <si>
    <t>Synthetic Policyholder 085, LLC</t>
  </si>
  <si>
    <t>SYN-CLM-0031</t>
  </si>
  <si>
    <t>Synthetic Claimant 0031</t>
  </si>
  <si>
    <t>Synthetic Policyholder 048, LLC</t>
  </si>
  <si>
    <t>SYN-CLM-0032</t>
  </si>
  <si>
    <t>Synthetic Claimant 0032</t>
  </si>
  <si>
    <t>Claims Analyst D</t>
  </si>
  <si>
    <t>SYN-CLM-0033</t>
  </si>
  <si>
    <t>Synthetic Claimant 0033</t>
  </si>
  <si>
    <t>Claims Analyst E</t>
  </si>
  <si>
    <t>SYN-CLM-0034</t>
  </si>
  <si>
    <t>Synthetic Claimant 0034</t>
  </si>
  <si>
    <t>Synthetic Policyholder 019, LLC</t>
  </si>
  <si>
    <t>SYN-CLM-0035</t>
  </si>
  <si>
    <t>Synthetic Claimant 0035</t>
  </si>
  <si>
    <t>Synthetic Policyholder 014, LLC</t>
  </si>
  <si>
    <t>SYN-CLM-0036</t>
  </si>
  <si>
    <t>Synthetic Claimant 0036</t>
  </si>
  <si>
    <t>SYN-CLM-0037</t>
  </si>
  <si>
    <t>Synthetic Claimant 0037</t>
  </si>
  <si>
    <t>Synthetic Policyholder 162, LLC</t>
  </si>
  <si>
    <t>MSA Eligible in Next 3 Years; Surgery Requested; MMI Date Reported</t>
  </si>
  <si>
    <t>Denied Treatment Requests</t>
  </si>
  <si>
    <t>SYN-CLM-0038</t>
  </si>
  <si>
    <t>Synthetic Claimant 0038</t>
  </si>
  <si>
    <t>Synthetic Policyholder 113, LLC</t>
  </si>
  <si>
    <t>SYN-CLM-0039</t>
  </si>
  <si>
    <t>Synthetic Claimant 0039</t>
  </si>
  <si>
    <t>Synthetic Policyholder 010, LLC</t>
  </si>
  <si>
    <t>SYN-CLM-0040</t>
  </si>
  <si>
    <t>Synthetic Claimant 0040</t>
  </si>
  <si>
    <t>Synthetic Policyholder 032, LLC</t>
  </si>
  <si>
    <t>Surgery Requested; MSA Eligible in Next 3 Years</t>
  </si>
  <si>
    <t>SYN-CLM-0041</t>
  </si>
  <si>
    <t>Synthetic Claimant 0041</t>
  </si>
  <si>
    <t>SYN-CLM-0042</t>
  </si>
  <si>
    <t>Synthetic Claimant 0042</t>
  </si>
  <si>
    <t>Synthetic Policyholder 139, LLC</t>
  </si>
  <si>
    <t>SYN-CLM-0043</t>
  </si>
  <si>
    <t>Synthetic Claimant 0043</t>
  </si>
  <si>
    <t>Synthetic Policyholder 159, LLC</t>
  </si>
  <si>
    <t>SYN-CLM-0044</t>
  </si>
  <si>
    <t>Synthetic Claimant 0044</t>
  </si>
  <si>
    <t>Synthetic Policyholder 092, LLC</t>
  </si>
  <si>
    <t>SYN-CLM-0045</t>
  </si>
  <si>
    <t>Synthetic Claimant 0045</t>
  </si>
  <si>
    <t>Synthetic Policyholder 109, LLC</t>
  </si>
  <si>
    <t>Non-Renewed Account; MSA Eligible in Next 3 Years; MMI Date Reported</t>
  </si>
  <si>
    <t>Surgery Requested</t>
  </si>
  <si>
    <t>SYN-CLM-0046</t>
  </si>
  <si>
    <t>Synthetic Claimant 0046</t>
  </si>
  <si>
    <t>Synthetic Policyholder 054, LLC</t>
  </si>
  <si>
    <t>SYN-CLM-0047</t>
  </si>
  <si>
    <t>Synthetic Claimant 0047</t>
  </si>
  <si>
    <t>Synthetic Policyholder 046, LLC</t>
  </si>
  <si>
    <t>MSA Eligible in Next 3 Years; Specialist Consultation Requested; Non-Renewed Account</t>
  </si>
  <si>
    <t>SYN-CLM-0048</t>
  </si>
  <si>
    <t>Synthetic Claimant 0048</t>
  </si>
  <si>
    <t>SYN-CLM-0049</t>
  </si>
  <si>
    <t>Synthetic Claimant 0049</t>
  </si>
  <si>
    <t>Synthetic Policyholder 131, LLC</t>
  </si>
  <si>
    <t>Non-Renewed Account</t>
  </si>
  <si>
    <t>Specialist Consultation Requested; Surgery Requested</t>
  </si>
  <si>
    <t>SYN-CLM-0050</t>
  </si>
  <si>
    <t>Synthetic Claimant 0050</t>
  </si>
  <si>
    <t>Synthetic Policyholder 149, LLC</t>
  </si>
  <si>
    <t>MMI Date Reported</t>
  </si>
  <si>
    <t>SYN-CLM-0051</t>
  </si>
  <si>
    <t>Synthetic Claimant 0051</t>
  </si>
  <si>
    <t>Synthetic Policyholder 122, LLC</t>
  </si>
  <si>
    <t>SYN-CLM-0052</t>
  </si>
  <si>
    <t>Synthetic Claimant 0052</t>
  </si>
  <si>
    <t>Synthetic Policyholder 141, LLC</t>
  </si>
  <si>
    <t>SYN-CLM-0053</t>
  </si>
  <si>
    <t>Synthetic Claimant 0053</t>
  </si>
  <si>
    <t>SYN-CLM-0054</t>
  </si>
  <si>
    <t>Synthetic Claimant 0054</t>
  </si>
  <si>
    <t>Synthetic Policyholder 006, LLC</t>
  </si>
  <si>
    <t>SYN-CLM-0055</t>
  </si>
  <si>
    <t>Synthetic Claimant 0055</t>
  </si>
  <si>
    <t>Synthetic Policyholder 007, LLC</t>
  </si>
  <si>
    <t>Synthetic Approver 03</t>
  </si>
  <si>
    <t>SYN-CLM-0056</t>
  </si>
  <si>
    <t>Synthetic Claimant 0056</t>
  </si>
  <si>
    <t>SYN-CLM-0057</t>
  </si>
  <si>
    <t>Synthetic Claimant 0057</t>
  </si>
  <si>
    <t>Synthetic Policyholder 074, LLC</t>
  </si>
  <si>
    <t>SYN-CLM-0058</t>
  </si>
  <si>
    <t>Synthetic Claimant 0058</t>
  </si>
  <si>
    <t>SYN-CLM-0059</t>
  </si>
  <si>
    <t>Synthetic Claimant 0059</t>
  </si>
  <si>
    <t>Synthetic Policyholder 050, LLC</t>
  </si>
  <si>
    <t>Specialist Consultation Requested; Denied Treatment Requests; Surgery Requested</t>
  </si>
  <si>
    <t>SYN-CLM-0060</t>
  </si>
  <si>
    <t>Synthetic Claimant 0060</t>
  </si>
  <si>
    <t>Synthetic Policyholder 037, LLC</t>
  </si>
  <si>
    <t>Synthetic QME Evaluator 02</t>
  </si>
  <si>
    <t>SYN-CLM-0061</t>
  </si>
  <si>
    <t>Synthetic Claimant 0061</t>
  </si>
  <si>
    <t>Specialist Consultation Requested; Denied Treatment Requests</t>
  </si>
  <si>
    <t>SYN-CLM-0062</t>
  </si>
  <si>
    <t>Synthetic Claimant 0062</t>
  </si>
  <si>
    <t>Synthetic Policyholder 165, LLC</t>
  </si>
  <si>
    <t>Synthetic QME Evaluator 17</t>
  </si>
  <si>
    <t>SYN-CLM-0063</t>
  </si>
  <si>
    <t>Synthetic Claimant 0063</t>
  </si>
  <si>
    <t>Synthetic Policyholder 132, LLC</t>
  </si>
  <si>
    <t>SYN-CLM-0064</t>
  </si>
  <si>
    <t>Synthetic Claimant 0064</t>
  </si>
  <si>
    <t>Claims Analyst I</t>
  </si>
  <si>
    <t>Synthetic QME Evaluator 23</t>
  </si>
  <si>
    <t>SYN-CLM-0065</t>
  </si>
  <si>
    <t>Synthetic Claimant 0065</t>
  </si>
  <si>
    <t>Synthetic Policyholder 057, LLC</t>
  </si>
  <si>
    <t>SYN-CLM-0066</t>
  </si>
  <si>
    <t>Synthetic Claimant 0066</t>
  </si>
  <si>
    <t>Synthetic Approver 10</t>
  </si>
  <si>
    <t>Non-Renewed Account; Denied Treatment Requests; MMI Date Reported</t>
  </si>
  <si>
    <t>SYN-CLM-0067</t>
  </si>
  <si>
    <t>Synthetic Claimant 0067</t>
  </si>
  <si>
    <t>SYN-CLM-0068</t>
  </si>
  <si>
    <t>Synthetic Claimant 0068</t>
  </si>
  <si>
    <t>Synthetic Policyholder 094, LLC</t>
  </si>
  <si>
    <t>SYN-CLM-0069</t>
  </si>
  <si>
    <t>Synthetic Claimant 0069</t>
  </si>
  <si>
    <t>Synthetic QME Evaluator 07</t>
  </si>
  <si>
    <t>SYN-CLM-0070</t>
  </si>
  <si>
    <t>Synthetic Claimant 0070</t>
  </si>
  <si>
    <t>Synthetic Policyholder 175, LLC</t>
  </si>
  <si>
    <t>SYN-CLM-0071</t>
  </si>
  <si>
    <t>Synthetic Claimant 0071</t>
  </si>
  <si>
    <t>Synthetic Policyholder 126, LLC</t>
  </si>
  <si>
    <t>SYN-CLM-0072</t>
  </si>
  <si>
    <t>Synthetic Claimant 0072</t>
  </si>
  <si>
    <t>Synthetic Policyholder 138, LLC</t>
  </si>
  <si>
    <t>SYN-CLM-0073</t>
  </si>
  <si>
    <t>Synthetic Claimant 0073</t>
  </si>
  <si>
    <t>Synthetic Policyholder 058, LLC</t>
  </si>
  <si>
    <t>MSA Eligible in Next 3 Years; Denied Treatment Requests</t>
  </si>
  <si>
    <t>SYN-CLM-0074</t>
  </si>
  <si>
    <t>Synthetic Claimant 0074</t>
  </si>
  <si>
    <t>SYN-CLM-0075</t>
  </si>
  <si>
    <t>Synthetic Claimant 0075</t>
  </si>
  <si>
    <t>SYN-CLM-0076</t>
  </si>
  <si>
    <t>Synthetic Claimant 0076</t>
  </si>
  <si>
    <t>Synthetic Policyholder 059, LLC</t>
  </si>
  <si>
    <t>SYN-CLM-0077</t>
  </si>
  <si>
    <t>Synthetic Claimant 0077</t>
  </si>
  <si>
    <t>Synthetic Policyholder 044, LLC</t>
  </si>
  <si>
    <t>Synthetic QME Evaluator 13</t>
  </si>
  <si>
    <t>SYN-CLM-0078</t>
  </si>
  <si>
    <t>Synthetic Claimant 0078</t>
  </si>
  <si>
    <t>Claims Analyst K</t>
  </si>
  <si>
    <t>SYN-CLM-0079</t>
  </si>
  <si>
    <t>Synthetic Claimant 0079</t>
  </si>
  <si>
    <t>Synthetic Policyholder 117, LLC</t>
  </si>
  <si>
    <t>Non-Renewed Account; Surgery Requested; Specialist Consultation Requested</t>
  </si>
  <si>
    <t>SYN-CLM-0080</t>
  </si>
  <si>
    <t>Synthetic Claimant 0080</t>
  </si>
  <si>
    <t>Synthetic Policyholder 035, LLC</t>
  </si>
  <si>
    <t>Non-Renewed Account; MSA Eligible in Next 3 Years</t>
  </si>
  <si>
    <t>SYN-CLM-0081</t>
  </si>
  <si>
    <t>Synthetic Claimant 0081</t>
  </si>
  <si>
    <t>SYN-CLM-0082</t>
  </si>
  <si>
    <t>Synthetic Claimant 0082</t>
  </si>
  <si>
    <t>Synthetic Policyholder 075, LLC</t>
  </si>
  <si>
    <t>SYN-CLM-0083</t>
  </si>
  <si>
    <t>Synthetic Claimant 0083</t>
  </si>
  <si>
    <t>Synthetic Policyholder 068, LLC</t>
  </si>
  <si>
    <t>SYN-CLM-0084</t>
  </si>
  <si>
    <t>Synthetic Claimant 0084</t>
  </si>
  <si>
    <t>SYN-CLM-0085</t>
  </si>
  <si>
    <t>Synthetic Claimant 0085</t>
  </si>
  <si>
    <t>Synthetic Policyholder 045, LLC</t>
  </si>
  <si>
    <t>SYN-CLM-0086</t>
  </si>
  <si>
    <t>Synthetic Claimant 0086</t>
  </si>
  <si>
    <t>Synthetic Policyholder 062, LLC</t>
  </si>
  <si>
    <t>Synthetic QME Evaluator 34</t>
  </si>
  <si>
    <t>SYN-CLM-0087</t>
  </si>
  <si>
    <t>Synthetic Claimant 0087</t>
  </si>
  <si>
    <t>Non-Renewed Account; MMI Date Reported; MSA Eligible in Next 3 Years</t>
  </si>
  <si>
    <t>SYN-CLM-0088</t>
  </si>
  <si>
    <t>Synthetic Claimant 0088</t>
  </si>
  <si>
    <t>Synthetic Policyholder 179, LLC</t>
  </si>
  <si>
    <t>SYN-CLM-0089</t>
  </si>
  <si>
    <t>Synthetic Claimant 0089</t>
  </si>
  <si>
    <t>Synthetic Policyholder 030, LLC</t>
  </si>
  <si>
    <t>SYN-CLM-0090</t>
  </si>
  <si>
    <t>Synthetic Claimant 0090</t>
  </si>
  <si>
    <t>Denied Treatment Requests; MSA Eligible in Next 3 Years</t>
  </si>
  <si>
    <t>SYN-CLM-0091</t>
  </si>
  <si>
    <t>Synthetic Claimant 0091</t>
  </si>
  <si>
    <t>Synthetic Policyholder 033, LLC</t>
  </si>
  <si>
    <t>SYN-CLM-0092</t>
  </si>
  <si>
    <t>Synthetic Claimant 0092</t>
  </si>
  <si>
    <t>Synthetic Policyholder 112, LLC</t>
  </si>
  <si>
    <t>SYN-CLM-0093</t>
  </si>
  <si>
    <t>Synthetic Claimant 0093</t>
  </si>
  <si>
    <t>SYN-CLM-0094</t>
  </si>
  <si>
    <t>Synthetic Claimant 0094</t>
  </si>
  <si>
    <t>Synthetic Policyholder 164, LLC</t>
  </si>
  <si>
    <t>SYN-CLM-0095</t>
  </si>
  <si>
    <t>Synthetic Claimant 0095</t>
  </si>
  <si>
    <t>Synthetic QME Evaluator 11</t>
  </si>
  <si>
    <t>SYN-CLM-0096</t>
  </si>
  <si>
    <t>Synthetic Claimant 0096</t>
  </si>
  <si>
    <t>Claims Analyst L</t>
  </si>
  <si>
    <t>Synthetic Policyholder 013, LLC</t>
  </si>
  <si>
    <t>SYN-CLM-0097</t>
  </si>
  <si>
    <t>Synthetic Claimant 0097</t>
  </si>
  <si>
    <t>Synthetic Policyholder 150, LLC</t>
  </si>
  <si>
    <t>SYN-CLM-0098</t>
  </si>
  <si>
    <t>Synthetic Claimant 0098</t>
  </si>
  <si>
    <t>Specialist Consultation Requested; MSA Eligible in Next 3 Years</t>
  </si>
  <si>
    <t>SYN-CLM-0099</t>
  </si>
  <si>
    <t>Synthetic Claimant 0099</t>
  </si>
  <si>
    <t>SYN-CLM-0100</t>
  </si>
  <si>
    <t>Synthetic Claimant 0100</t>
  </si>
  <si>
    <t>Synthetic Policyholder 134, LLC</t>
  </si>
  <si>
    <t>SYN-CLM-0101</t>
  </si>
  <si>
    <t>Synthetic Claimant 0101</t>
  </si>
  <si>
    <t>SYN-CLM-0102</t>
  </si>
  <si>
    <t>Synthetic Claimant 0102</t>
  </si>
  <si>
    <t>Synthetic Policyholder 066, LLC</t>
  </si>
  <si>
    <t>SYN-CLM-0103</t>
  </si>
  <si>
    <t>Synthetic Claimant 0103</t>
  </si>
  <si>
    <t>Synthetic Policyholder 026, LLC</t>
  </si>
  <si>
    <t>Synthetic QME Evaluator 10</t>
  </si>
  <si>
    <t>SYN-CLM-0104</t>
  </si>
  <si>
    <t>Synthetic Claimant 0104</t>
  </si>
  <si>
    <t>Denied Treatment Requests; Non-Renewed Account</t>
  </si>
  <si>
    <t>SYN-CLM-0105</t>
  </si>
  <si>
    <t>Synthetic Claimant 0105</t>
  </si>
  <si>
    <t>Synthetic Policyholder 158, LLC</t>
  </si>
  <si>
    <t>SYN-CLM-0106</t>
  </si>
  <si>
    <t>Synthetic Claimant 0106</t>
  </si>
  <si>
    <t>Synthetic Policyholder 081, LLC</t>
  </si>
  <si>
    <t>MSA Eligible in Next 3 Years; Specialist Consultation Requested; Surgery Requested</t>
  </si>
  <si>
    <t>SYN-CLM-0107</t>
  </si>
  <si>
    <t>Synthetic Claimant 0107</t>
  </si>
  <si>
    <t>Synthetic Policyholder 178, LLC</t>
  </si>
  <si>
    <t>MMI Date Reported; Specialist Consultation Requested</t>
  </si>
  <si>
    <t>SYN-CLM-0108</t>
  </si>
  <si>
    <t>Synthetic Claimant 0108</t>
  </si>
  <si>
    <t>Synthetic Policyholder 127, LLC</t>
  </si>
  <si>
    <t>SYN-CLM-0109</t>
  </si>
  <si>
    <t>Synthetic Claimant 0109</t>
  </si>
  <si>
    <t>SYN-CLM-0110</t>
  </si>
  <si>
    <t>Synthetic Claimant 0110</t>
  </si>
  <si>
    <t>Synthetic Policyholder 051, LLC</t>
  </si>
  <si>
    <t>Synthetic QME Evaluator 19</t>
  </si>
  <si>
    <t>SYN-CLM-0111</t>
  </si>
  <si>
    <t>Synthetic Claimant 0111</t>
  </si>
  <si>
    <t>Synthetic QME Evaluator 08</t>
  </si>
  <si>
    <t>Surgery Requested; Specialist Consultation Requested</t>
  </si>
  <si>
    <t>Non-Renewed Account; Denied Treatment Requests</t>
  </si>
  <si>
    <t>SYN-CLM-0112</t>
  </si>
  <si>
    <t>Synthetic Claimant 0112</t>
  </si>
  <si>
    <t>Synthetic Policyholder 067, LLC</t>
  </si>
  <si>
    <t>SYN-CLM-0113</t>
  </si>
  <si>
    <t>Synthetic Claimant 0113</t>
  </si>
  <si>
    <t>Synthetic Policyholder 025, LLC</t>
  </si>
  <si>
    <t>Surgery Requested; Denied Treatment Requests; Specialist Consultation Requested</t>
  </si>
  <si>
    <t>MSA Eligible in Next 3 Years; MMI Date Reported</t>
  </si>
  <si>
    <t>SYN-CLM-0114</t>
  </si>
  <si>
    <t>Synthetic Claimant 0114</t>
  </si>
  <si>
    <t>Synthetic Policyholder 005, LLC</t>
  </si>
  <si>
    <t>Specialist Consultation Requested; Non-Renewed Account</t>
  </si>
  <si>
    <t>SYN-CLM-0115</t>
  </si>
  <si>
    <t>Synthetic Claimant 0115</t>
  </si>
  <si>
    <t>Synthetic Policyholder 061, LLC</t>
  </si>
  <si>
    <t>SYN-CLM-0116</t>
  </si>
  <si>
    <t>Synthetic Claimant 0116</t>
  </si>
  <si>
    <t>Synthetic Policyholder 079, LLC</t>
  </si>
  <si>
    <t>SYN-CLM-0117</t>
  </si>
  <si>
    <t>Synthetic Claimant 0117</t>
  </si>
  <si>
    <t>Synthetic Policyholder 108, LLC</t>
  </si>
  <si>
    <t>SYN-CLM-0118</t>
  </si>
  <si>
    <t>Synthetic Claimant 0118</t>
  </si>
  <si>
    <t>Synthetic QME Evaluator 21</t>
  </si>
  <si>
    <t>Non-Renewed Account; Specialist Consultation Requested</t>
  </si>
  <si>
    <t>SYN-CLM-0119</t>
  </si>
  <si>
    <t>Synthetic Claimant 0119</t>
  </si>
  <si>
    <t>Specialist Consultation Requested; Denied Treatment Requests; Non-Renewed Account</t>
  </si>
  <si>
    <t>Surgery Requested; MMI Date Reported</t>
  </si>
  <si>
    <t>SYN-CLM-0120</t>
  </si>
  <si>
    <t>Synthetic Claimant 0120</t>
  </si>
  <si>
    <t>Synthetic Policyholder 015, LLC</t>
  </si>
  <si>
    <t>SYN-CLM-0121</t>
  </si>
  <si>
    <t>Synthetic Claimant 0121</t>
  </si>
  <si>
    <t>SYN-CLM-0122</t>
  </si>
  <si>
    <t>Synthetic Claimant 0122</t>
  </si>
  <si>
    <t>Synthetic Policyholder 084, LLC</t>
  </si>
  <si>
    <t>Denied Treatment Requests; MMI Date Reported; Non-Renewed Account</t>
  </si>
  <si>
    <t>SYN-CLM-0123</t>
  </si>
  <si>
    <t>Synthetic Claimant 0123</t>
  </si>
  <si>
    <t>Synthetic Policyholder 142, LLC</t>
  </si>
  <si>
    <t>Synthetic QME Evaluator 32</t>
  </si>
  <si>
    <t>SYN-CLM-0124</t>
  </si>
  <si>
    <t>Synthetic Claimant 0124</t>
  </si>
  <si>
    <t>Non-Renewed Account; Surgery Requested</t>
  </si>
  <si>
    <t>MMI Date Reported; MSA Eligible in Next 3 Years</t>
  </si>
  <si>
    <t>SYN-CLM-0125</t>
  </si>
  <si>
    <t>Synthetic Claimant 0125</t>
  </si>
  <si>
    <t>SYN-CLM-0126</t>
  </si>
  <si>
    <t>Synthetic Claimant 0126</t>
  </si>
  <si>
    <t>SYN-CLM-0127</t>
  </si>
  <si>
    <t>Synthetic Claimant 0127</t>
  </si>
  <si>
    <t>MSA Eligible in Next 3 Years; Surgery Requested</t>
  </si>
  <si>
    <t>SYN-CLM-0128</t>
  </si>
  <si>
    <t>Synthetic Claimant 0128</t>
  </si>
  <si>
    <t>Synthetic Policyholder 021, LLC</t>
  </si>
  <si>
    <t>SYN-CLM-0129</t>
  </si>
  <si>
    <t>Synthetic Claimant 0129</t>
  </si>
  <si>
    <t>Synthetic Policyholder 146, LLC</t>
  </si>
  <si>
    <t>Specialist Consultation Requested; MMI Date Reported; Non-Renewed Account</t>
  </si>
  <si>
    <t>Surgery Requested; Denied Treatment Requests</t>
  </si>
  <si>
    <t>SYN-CLM-0130</t>
  </si>
  <si>
    <t>Synthetic Claimant 0130</t>
  </si>
  <si>
    <t>Synthetic Policyholder 120, LLC</t>
  </si>
  <si>
    <t>Non-Renewed Account; Denied Treatment Requests; Specialist Consultation Requested</t>
  </si>
  <si>
    <t>SYN-CLM-0131</t>
  </si>
  <si>
    <t>Synthetic Claimant 0131</t>
  </si>
  <si>
    <t>Synthetic Policyholder 036, LLC</t>
  </si>
  <si>
    <t>Synthetic QME Evaluator 15</t>
  </si>
  <si>
    <t>SYN-CLM-0132</t>
  </si>
  <si>
    <t>Synthetic Claimant 0132</t>
  </si>
  <si>
    <t>SYN-CLM-0133</t>
  </si>
  <si>
    <t>Synthetic Claimant 0133</t>
  </si>
  <si>
    <t>SYN-CLM-0134</t>
  </si>
  <si>
    <t>Synthetic Claimant 0134</t>
  </si>
  <si>
    <t>Synthetic Policyholder 099, LLC</t>
  </si>
  <si>
    <t>SYN-CLM-0135</t>
  </si>
  <si>
    <t>Synthetic Claimant 0135</t>
  </si>
  <si>
    <t>SYN-CLM-0136</t>
  </si>
  <si>
    <t>Synthetic Claimant 0136</t>
  </si>
  <si>
    <t>Claims Analyst B</t>
  </si>
  <si>
    <t>SYN-CLM-0137</t>
  </si>
  <si>
    <t>Synthetic Claimant 0137</t>
  </si>
  <si>
    <t>Synthetic Policyholder 088, LLC</t>
  </si>
  <si>
    <t>SYN-CLM-0138</t>
  </si>
  <si>
    <t>Synthetic Claimant 0138</t>
  </si>
  <si>
    <t>SYN-CLM-0139</t>
  </si>
  <si>
    <t>Synthetic Claimant 0139</t>
  </si>
  <si>
    <t>MSA Eligible in Next 3 Years; Non-Renewed Account</t>
  </si>
  <si>
    <t>SYN-CLM-0140</t>
  </si>
  <si>
    <t>Synthetic Claimant 0140</t>
  </si>
  <si>
    <t>SYN-CLM-0141</t>
  </si>
  <si>
    <t>Synthetic Claimant 0141</t>
  </si>
  <si>
    <t>Synthetic Policyholder 106, LLC</t>
  </si>
  <si>
    <t>SYN-CLM-0142</t>
  </si>
  <si>
    <t>Synthetic Claimant 0142</t>
  </si>
  <si>
    <t>Synthetic Policyholder 043, LLC</t>
  </si>
  <si>
    <t>SYN-CLM-0143</t>
  </si>
  <si>
    <t>Synthetic Claimant 0143</t>
  </si>
  <si>
    <t>Synthetic Policyholder 003, LLC</t>
  </si>
  <si>
    <t>SYN-CLM-0144</t>
  </si>
  <si>
    <t>Synthetic Claimant 0144</t>
  </si>
  <si>
    <t>Synthetic Policyholder 174, LLC</t>
  </si>
  <si>
    <t>SYN-CLM-0145</t>
  </si>
  <si>
    <t>Synthetic Claimant 0145</t>
  </si>
  <si>
    <t>SYN-CLM-0146</t>
  </si>
  <si>
    <t>Synthetic Claimant 0146</t>
  </si>
  <si>
    <t>Synthetic Policyholder 022, LLC</t>
  </si>
  <si>
    <t>SYN-CLM-0147</t>
  </si>
  <si>
    <t>Synthetic Claimant 0147</t>
  </si>
  <si>
    <t>Synthetic Policyholder 160, LLC</t>
  </si>
  <si>
    <t>SYN-CLM-0148</t>
  </si>
  <si>
    <t>Synthetic Claimant 0148</t>
  </si>
  <si>
    <t>SYN-CLM-0149</t>
  </si>
  <si>
    <t>Synthetic Claimant 0149</t>
  </si>
  <si>
    <t>SYN-CLM-0150</t>
  </si>
  <si>
    <t>Synthetic Claimant 0150</t>
  </si>
  <si>
    <t>MMI Date Reported; Denied Treatment Requests; Specialist Consultation Requested</t>
  </si>
  <si>
    <t>SYN-CLM-0151</t>
  </si>
  <si>
    <t>Synthetic Claimant 0151</t>
  </si>
  <si>
    <t>Synthetic Policyholder 052, LLC</t>
  </si>
  <si>
    <t>MMI Date Reported; Specialist Consultation Requested; Surgery Requested</t>
  </si>
  <si>
    <t>SYN-CLM-0152</t>
  </si>
  <si>
    <t>Synthetic Claimant 0152</t>
  </si>
  <si>
    <t>Surgery Requested; Specialist Consultation Requested; MMI Date Reported</t>
  </si>
  <si>
    <t>SYN-CLM-0153</t>
  </si>
  <si>
    <t>Synthetic Claimant 0153</t>
  </si>
  <si>
    <t>Non-Renewed Account; Surgery Requested; MMI Date Reported</t>
  </si>
  <si>
    <t>SYN-CLM-0154</t>
  </si>
  <si>
    <t>Synthetic Claimant 0154</t>
  </si>
  <si>
    <t>SYN-CLM-0155</t>
  </si>
  <si>
    <t>Synthetic Claimant 0155</t>
  </si>
  <si>
    <t>SYN-CLM-0156</t>
  </si>
  <si>
    <t>Synthetic Claimant 0156</t>
  </si>
  <si>
    <t>Synthetic Policyholder 049, LLC</t>
  </si>
  <si>
    <t>Specialist Consultation Requested; Non-Renewed Account; Surgery Requested</t>
  </si>
  <si>
    <t>SYN-CLM-0157</t>
  </si>
  <si>
    <t>Synthetic Claimant 0157</t>
  </si>
  <si>
    <t>SYN-CLM-0158</t>
  </si>
  <si>
    <t>Synthetic Claimant 0158</t>
  </si>
  <si>
    <t>SYN-CLM-0159</t>
  </si>
  <si>
    <t>Synthetic Claimant 0159</t>
  </si>
  <si>
    <t>Synthetic Policyholder 166, LLC</t>
  </si>
  <si>
    <t>Non-Renewed Account; MMI Date Reported</t>
  </si>
  <si>
    <t>SYN-CLM-0160</t>
  </si>
  <si>
    <t>Synthetic Claimant 0160</t>
  </si>
  <si>
    <t>Synthetic Policyholder 110, LLC</t>
  </si>
  <si>
    <t>SYN-CLM-0161</t>
  </si>
  <si>
    <t>Synthetic Claimant 0161</t>
  </si>
  <si>
    <t>SYN-CLM-0162</t>
  </si>
  <si>
    <t>Synthetic Claimant 0162</t>
  </si>
  <si>
    <t>Synthetic Policyholder 144, LLC</t>
  </si>
  <si>
    <t>SYN-CLM-0163</t>
  </si>
  <si>
    <t>Synthetic Claimant 0163</t>
  </si>
  <si>
    <t>SYN-CLM-0164</t>
  </si>
  <si>
    <t>Synthetic Claimant 0164</t>
  </si>
  <si>
    <t>Synthetic QME Evaluator 28</t>
  </si>
  <si>
    <t>SYN-CLM-0165</t>
  </si>
  <si>
    <t>Synthetic Claimant 0165</t>
  </si>
  <si>
    <t>SYN-CLM-0166</t>
  </si>
  <si>
    <t>Synthetic Claimant 0166</t>
  </si>
  <si>
    <t>SYN-CLM-0167</t>
  </si>
  <si>
    <t>Synthetic Claimant 0167</t>
  </si>
  <si>
    <t>Synthetic Policyholder 169, LLC</t>
  </si>
  <si>
    <t>SYN-CLM-0168</t>
  </si>
  <si>
    <t>Synthetic Claimant 0168</t>
  </si>
  <si>
    <t>Synthetic Policyholder 098, LLC</t>
  </si>
  <si>
    <t>SYN-CLM-0169</t>
  </si>
  <si>
    <t>Synthetic Claimant 0169</t>
  </si>
  <si>
    <t>SYN-CLM-0170</t>
  </si>
  <si>
    <t>Synthetic Claimant 0170</t>
  </si>
  <si>
    <t>MSA Eligible in Next 3 Years; MMI Date Reported; Surgery Requested</t>
  </si>
  <si>
    <t>SYN-CLM-0171</t>
  </si>
  <si>
    <t>Synthetic Claimant 0171</t>
  </si>
  <si>
    <t>SYN-CLM-0172</t>
  </si>
  <si>
    <t>Synthetic Claimant 0172</t>
  </si>
  <si>
    <t>SYN-CLM-0173</t>
  </si>
  <si>
    <t>Synthetic Claimant 0173</t>
  </si>
  <si>
    <t>SYN-CLM-0174</t>
  </si>
  <si>
    <t>Synthetic Claimant 0174</t>
  </si>
  <si>
    <t>SYN-CLM-0175</t>
  </si>
  <si>
    <t>Synthetic Claimant 0175</t>
  </si>
  <si>
    <t>SYN-CLM-0176</t>
  </si>
  <si>
    <t>Synthetic Claimant 0176</t>
  </si>
  <si>
    <t>Synthetic Policyholder 137, LLC</t>
  </si>
  <si>
    <t>SYN-CLM-0177</t>
  </si>
  <si>
    <t>Synthetic Claimant 0177</t>
  </si>
  <si>
    <t>Synthetic Policyholder 151, LLC</t>
  </si>
  <si>
    <t>SYN-CLM-0178</t>
  </si>
  <si>
    <t>Synthetic Claimant 0178</t>
  </si>
  <si>
    <t>Synthetic Policyholder 135, LLC</t>
  </si>
  <si>
    <t>SYN-CLM-0179</t>
  </si>
  <si>
    <t>Synthetic Claimant 0179</t>
  </si>
  <si>
    <t>SYN-CLM-0180</t>
  </si>
  <si>
    <t>Synthetic Claimant 0180</t>
  </si>
  <si>
    <t>Synthetic Policyholder 091, LLC</t>
  </si>
  <si>
    <t>SYN-CLM-0181</t>
  </si>
  <si>
    <t>Synthetic Claimant 0181</t>
  </si>
  <si>
    <t>Synthetic Policyholder 055, LLC</t>
  </si>
  <si>
    <t>SYN-CLM-0182</t>
  </si>
  <si>
    <t>Synthetic Claimant 0182</t>
  </si>
  <si>
    <t>SYN-CLM-0183</t>
  </si>
  <si>
    <t>Synthetic Claimant 0183</t>
  </si>
  <si>
    <t>SYN-CLM-0184</t>
  </si>
  <si>
    <t>Synthetic Claimant 0184</t>
  </si>
  <si>
    <t>Synthetic Policyholder 063, LLC</t>
  </si>
  <si>
    <t>Surgery Requested; MMI Date Reported; Specialist Consultation Requested</t>
  </si>
  <si>
    <t>SYN-CLM-0185</t>
  </si>
  <si>
    <t>Synthetic Claimant 0185</t>
  </si>
  <si>
    <t>SYN-CLM-0186</t>
  </si>
  <si>
    <t>Synthetic Claimant 0186</t>
  </si>
  <si>
    <t>Synthetic Policyholder 100, LLC</t>
  </si>
  <si>
    <t>SYN-CLM-0187</t>
  </si>
  <si>
    <t>Synthetic Claimant 0187</t>
  </si>
  <si>
    <t>SYN-CLM-0188</t>
  </si>
  <si>
    <t>Synthetic Claimant 0188</t>
  </si>
  <si>
    <t>Synthetic Policyholder 148, LLC</t>
  </si>
  <si>
    <t>SYN-CLM-0189</t>
  </si>
  <si>
    <t>Synthetic Claimant 0189</t>
  </si>
  <si>
    <t>SYN-CLM-0190</t>
  </si>
  <si>
    <t>Synthetic Claimant 0190</t>
  </si>
  <si>
    <t>SYN-CLM-0191</t>
  </si>
  <si>
    <t>Synthetic Claimant 0191</t>
  </si>
  <si>
    <t>SYN-CLM-0192</t>
  </si>
  <si>
    <t>Synthetic Claimant 0192</t>
  </si>
  <si>
    <t>Synthetic Policyholder 008, LLC</t>
  </si>
  <si>
    <t>Synthetic QME Evaluator 06</t>
  </si>
  <si>
    <t>SYN-CLM-0193</t>
  </si>
  <si>
    <t>Synthetic Claimant 0193</t>
  </si>
  <si>
    <t>Surgery Requested; Denied Treatment Requests; MMI Date Reported</t>
  </si>
  <si>
    <t>SYN-CLM-0194</t>
  </si>
  <si>
    <t>Synthetic Claimant 0194</t>
  </si>
  <si>
    <t>Synthetic Policyholder 047, LLC</t>
  </si>
  <si>
    <t>SYN-CLM-0195</t>
  </si>
  <si>
    <t>Synthetic Claimant 0195</t>
  </si>
  <si>
    <t>Synthetic Policyholder 065, LLC</t>
  </si>
  <si>
    <t>SYN-CLM-0196</t>
  </si>
  <si>
    <t>Synthetic Claimant 0196</t>
  </si>
  <si>
    <t>SYN-CLM-0197</t>
  </si>
  <si>
    <t>Synthetic Claimant 0197</t>
  </si>
  <si>
    <t>Denied Treatment Requests; Surgery Requested; MMI Date Reported</t>
  </si>
  <si>
    <t>SYN-CLM-0198</t>
  </si>
  <si>
    <t>Synthetic Claimant 0198</t>
  </si>
  <si>
    <t>SYN-CLM-0199</t>
  </si>
  <si>
    <t>Synthetic Claimant 0199</t>
  </si>
  <si>
    <t>Synthetic Policyholder 086, LLC</t>
  </si>
  <si>
    <t>SYN-CLM-0200</t>
  </si>
  <si>
    <t>Synthetic Claimant 0200</t>
  </si>
  <si>
    <t>Synthetic Policyholder 078, LLC</t>
  </si>
  <si>
    <t>SYN-CLM-0201</t>
  </si>
  <si>
    <t>Synthetic Claimant 0201</t>
  </si>
  <si>
    <t>SYN-CLM-0202</t>
  </si>
  <si>
    <t>Synthetic Claimant 0202</t>
  </si>
  <si>
    <t>SYN-CLM-0203</t>
  </si>
  <si>
    <t>Synthetic Claimant 0203</t>
  </si>
  <si>
    <t>SYN-CLM-0204</t>
  </si>
  <si>
    <t>Synthetic Claimant 0204</t>
  </si>
  <si>
    <t>SYN-CLM-0205</t>
  </si>
  <si>
    <t>Synthetic Claimant 0205</t>
  </si>
  <si>
    <t>SYN-CLM-0206</t>
  </si>
  <si>
    <t>Synthetic Claimant 0206</t>
  </si>
  <si>
    <t>SYN-CLM-0207</t>
  </si>
  <si>
    <t>Synthetic Claimant 0207</t>
  </si>
  <si>
    <t>Synthetic Policyholder 123, LLC</t>
  </si>
  <si>
    <t>SYN-CLM-0208</t>
  </si>
  <si>
    <t>Synthetic Claimant 0208</t>
  </si>
  <si>
    <t>SYN-CLM-0209</t>
  </si>
  <si>
    <t>Synthetic Claimant 0209</t>
  </si>
  <si>
    <t>SYN-CLM-0210</t>
  </si>
  <si>
    <t>Synthetic Claimant 0210</t>
  </si>
  <si>
    <t>Synthetic Policyholder 039, LLC</t>
  </si>
  <si>
    <t>SYN-CLM-0211</t>
  </si>
  <si>
    <t>Synthetic Claimant 0211</t>
  </si>
  <si>
    <t>SYN-CLM-0212</t>
  </si>
  <si>
    <t>Synthetic Claimant 0212</t>
  </si>
  <si>
    <t>SYN-CLM-0213</t>
  </si>
  <si>
    <t>Synthetic Claimant 0213</t>
  </si>
  <si>
    <t>SYN-CLM-0214</t>
  </si>
  <si>
    <t>Synthetic Claimant 0214</t>
  </si>
  <si>
    <t>SYN-CLM-0215</t>
  </si>
  <si>
    <t>Synthetic Claimant 0215</t>
  </si>
  <si>
    <t>SYN-CLM-0216</t>
  </si>
  <si>
    <t>Synthetic Claimant 0216</t>
  </si>
  <si>
    <t>SYN-CLM-0217</t>
  </si>
  <si>
    <t>Synthetic Claimant 0217</t>
  </si>
  <si>
    <t>SYN-CLM-0218</t>
  </si>
  <si>
    <t>Synthetic Claimant 0218</t>
  </si>
  <si>
    <t>SYN-CLM-0219</t>
  </si>
  <si>
    <t>Synthetic Claimant 0219</t>
  </si>
  <si>
    <t>SYN-CLM-0220</t>
  </si>
  <si>
    <t>Synthetic Claimant 0220</t>
  </si>
  <si>
    <t>SYN-CLM-0221</t>
  </si>
  <si>
    <t>Synthetic Claimant 0221</t>
  </si>
  <si>
    <t>SYN-CLM-0222</t>
  </si>
  <si>
    <t>Synthetic Claimant 0222</t>
  </si>
  <si>
    <t>SYN-CLM-0223</t>
  </si>
  <si>
    <t>Synthetic Claimant 0223</t>
  </si>
  <si>
    <t>Synthetic Policyholder 023, LLC</t>
  </si>
  <si>
    <t>SYN-CLM-0224</t>
  </si>
  <si>
    <t>Synthetic Claimant 0224</t>
  </si>
  <si>
    <t>Synthetic Policyholder 069, LLC</t>
  </si>
  <si>
    <t>SYN-CLM-0225</t>
  </si>
  <si>
    <t>Synthetic Claimant 0225</t>
  </si>
  <si>
    <t>Synthetic Policyholder 041, LLC</t>
  </si>
  <si>
    <t>SYN-CLM-0226</t>
  </si>
  <si>
    <t>Synthetic Claimant 0226</t>
  </si>
  <si>
    <t>SYN-CLM-0227</t>
  </si>
  <si>
    <t>Synthetic Claimant 0227</t>
  </si>
  <si>
    <t>Synthetic Policyholder 024, LLC</t>
  </si>
  <si>
    <t>SYN-CLM-0228</t>
  </si>
  <si>
    <t>Synthetic Claimant 0228</t>
  </si>
  <si>
    <t>SYN-CLM-0229</t>
  </si>
  <si>
    <t>Synthetic Claimant 0229</t>
  </si>
  <si>
    <t>Synthetic Policyholder 111, LLC</t>
  </si>
  <si>
    <t>SYN-CLM-0230</t>
  </si>
  <si>
    <t>Synthetic Claimant 0230</t>
  </si>
  <si>
    <t>SYN-CLM-0231</t>
  </si>
  <si>
    <t>Synthetic Claimant 0231</t>
  </si>
  <si>
    <t>SYN-CLM-0232</t>
  </si>
  <si>
    <t>Synthetic Claimant 0232</t>
  </si>
  <si>
    <t>SYN-CLM-0233</t>
  </si>
  <si>
    <t>Synthetic Claimant 0233</t>
  </si>
  <si>
    <t>Synthetic Policyholder 180, LLC</t>
  </si>
  <si>
    <t>SYN-CLM-0234</t>
  </si>
  <si>
    <t>Synthetic Claimant 0234</t>
  </si>
  <si>
    <t>Synthetic Policyholder 017, LLC</t>
  </si>
  <si>
    <t>SYN-CLM-0235</t>
  </si>
  <si>
    <t>Synthetic Claimant 0235</t>
  </si>
  <si>
    <t>SYN-CLM-0236</t>
  </si>
  <si>
    <t>Synthetic Claimant 0236</t>
  </si>
  <si>
    <t>Synthetic Policyholder 095, LLC</t>
  </si>
  <si>
    <t>SYN-CLM-0237</t>
  </si>
  <si>
    <t>Synthetic Claimant 0237</t>
  </si>
  <si>
    <t>SYN-CLM-0238</t>
  </si>
  <si>
    <t>Synthetic Claimant 0238</t>
  </si>
  <si>
    <t>SYN-CLM-0239</t>
  </si>
  <si>
    <t>Synthetic Claimant 0239</t>
  </si>
  <si>
    <t>Denied Treatment Requests; MMI Date Reported; MSA Eligible in Next 3 Years</t>
  </si>
  <si>
    <t>SYN-CLM-0240</t>
  </si>
  <si>
    <t>Synthetic Claimant 0240</t>
  </si>
  <si>
    <t>Synthetic Policyholder 087, LLC</t>
  </si>
  <si>
    <t>SYN-CLM-0241</t>
  </si>
  <si>
    <t>Synthetic Claimant 0241</t>
  </si>
  <si>
    <t>Synthetic Policyholder 071, LLC</t>
  </si>
  <si>
    <t>SYN-CLM-0242</t>
  </si>
  <si>
    <t>Synthetic Claimant 0242</t>
  </si>
  <si>
    <t>Synthetic QME Evaluator 12</t>
  </si>
  <si>
    <t>SYN-CLM-0243</t>
  </si>
  <si>
    <t>Synthetic Claimant 0243</t>
  </si>
  <si>
    <t>Synthetic Policyholder 016, LLC</t>
  </si>
  <si>
    <t>SYN-CLM-0244</t>
  </si>
  <si>
    <t>Synthetic Claimant 0244</t>
  </si>
  <si>
    <t>SYN-CLM-0245</t>
  </si>
  <si>
    <t>Synthetic Claimant 0245</t>
  </si>
  <si>
    <t>SYN-CLM-0246</t>
  </si>
  <si>
    <t>Synthetic Claimant 0246</t>
  </si>
  <si>
    <t>SYN-CLM-0247</t>
  </si>
  <si>
    <t>Synthetic Claimant 0247</t>
  </si>
  <si>
    <t>SYN-CLM-0248</t>
  </si>
  <si>
    <t>Synthetic Claimant 0248</t>
  </si>
  <si>
    <t>Specialist Consultation Requested; MMI Date Reported</t>
  </si>
  <si>
    <t>SYN-CLM-0249</t>
  </si>
  <si>
    <t>Synthetic Claimant 0249</t>
  </si>
  <si>
    <t>SYN-CLM-0250</t>
  </si>
  <si>
    <t>Synthetic Claimant 0250</t>
  </si>
  <si>
    <t>SYN-CLM-0251</t>
  </si>
  <si>
    <t>Synthetic Claimant 0251</t>
  </si>
  <si>
    <t>SYN-CLM-0252</t>
  </si>
  <si>
    <t>Synthetic Claimant 0252</t>
  </si>
  <si>
    <t>SYN-CLM-0253</t>
  </si>
  <si>
    <t>Synthetic Claimant 0253</t>
  </si>
  <si>
    <t>Synthetic Policyholder 102, LLC</t>
  </si>
  <si>
    <t>SYN-CLM-0254</t>
  </si>
  <si>
    <t>Synthetic Claimant 0254</t>
  </si>
  <si>
    <t>SYN-CLM-0255</t>
  </si>
  <si>
    <t>Synthetic Claimant 0255</t>
  </si>
  <si>
    <t>SYN-CLM-0256</t>
  </si>
  <si>
    <t>Synthetic Claimant 0256</t>
  </si>
  <si>
    <t>Surgery Requested; MSA Eligible in Next 3 Years; Denied Treatment Requests</t>
  </si>
  <si>
    <t>SYN-CLM-0257</t>
  </si>
  <si>
    <t>Synthetic Claimant 0257</t>
  </si>
  <si>
    <t>SYN-CLM-0258</t>
  </si>
  <si>
    <t>Synthetic Claimant 0258</t>
  </si>
  <si>
    <t>SYN-CLM-0259</t>
  </si>
  <si>
    <t>Synthetic Claimant 0259</t>
  </si>
  <si>
    <t>Surgery Requested; Non-Renewed Account</t>
  </si>
  <si>
    <t>SYN-CLM-0260</t>
  </si>
  <si>
    <t>Synthetic Claimant 0260</t>
  </si>
  <si>
    <t>SYN-CLM-0261</t>
  </si>
  <si>
    <t>Synthetic Claimant 0261</t>
  </si>
  <si>
    <t>SYN-CLM-0262</t>
  </si>
  <si>
    <t>Synthetic Claimant 0262</t>
  </si>
  <si>
    <t>SYN-CLM-0263</t>
  </si>
  <si>
    <t>Synthetic Claimant 0263</t>
  </si>
  <si>
    <t>Denied Treatment Requests; Specialist Consultation Requested</t>
  </si>
  <si>
    <t>SYN-CLM-0264</t>
  </si>
  <si>
    <t>Synthetic Claimant 0264</t>
  </si>
  <si>
    <t>SYN-CLM-0265</t>
  </si>
  <si>
    <t>Synthetic Claimant 0265</t>
  </si>
  <si>
    <t>Synthetic Policyholder 012, LLC</t>
  </si>
  <si>
    <t>SYN-CLM-0266</t>
  </si>
  <si>
    <t>Synthetic Claimant 0266</t>
  </si>
  <si>
    <t>SYN-CLM-0267</t>
  </si>
  <si>
    <t>Synthetic Claimant 0267</t>
  </si>
  <si>
    <t>SYN-CLM-0268</t>
  </si>
  <si>
    <t>Synthetic Claimant 0268</t>
  </si>
  <si>
    <t>SYN-CLM-0269</t>
  </si>
  <si>
    <t>Synthetic Claimant 0269</t>
  </si>
  <si>
    <t>SYN-CLM-0270</t>
  </si>
  <si>
    <t>Synthetic Claimant 0270</t>
  </si>
  <si>
    <t>Synthetic Policyholder 038, LLC</t>
  </si>
  <si>
    <t>SYN-CLM-0271</t>
  </si>
  <si>
    <t>Synthetic Claimant 0271</t>
  </si>
  <si>
    <t>SYN-CLM-0272</t>
  </si>
  <si>
    <t>Synthetic Claimant 0272</t>
  </si>
  <si>
    <t>SYN-CLM-0273</t>
  </si>
  <si>
    <t>Synthetic Claimant 0273</t>
  </si>
  <si>
    <t>SYN-CLM-0274</t>
  </si>
  <si>
    <t>Synthetic Claimant 0274</t>
  </si>
  <si>
    <t>SYN-CLM-0275</t>
  </si>
  <si>
    <t>Synthetic Claimant 0275</t>
  </si>
  <si>
    <t>SYN-CLM-0276</t>
  </si>
  <si>
    <t>Synthetic Claimant 0276</t>
  </si>
  <si>
    <t>SYN-CLM-0277</t>
  </si>
  <si>
    <t>Synthetic Claimant 0277</t>
  </si>
  <si>
    <t>SYN-CLM-0278</t>
  </si>
  <si>
    <t>Synthetic Claimant 0278</t>
  </si>
  <si>
    <t>Synthetic Policyholder 168, LLC</t>
  </si>
  <si>
    <t>SYN-CLM-0279</t>
  </si>
  <si>
    <t>Synthetic Claimant 0279</t>
  </si>
  <si>
    <t>Synthetic QME Evaluator 27</t>
  </si>
  <si>
    <t>SYN-CLM-0280</t>
  </si>
  <si>
    <t>Synthetic Claimant 0280</t>
  </si>
  <si>
    <t>Synthetic Policyholder 114, LLC</t>
  </si>
  <si>
    <t>SYN-CLM-0281</t>
  </si>
  <si>
    <t>Synthetic Claimant 0281</t>
  </si>
  <si>
    <t>SYN-CLM-0282</t>
  </si>
  <si>
    <t>Synthetic Claimant 0282</t>
  </si>
  <si>
    <t>SYN-CLM-0283</t>
  </si>
  <si>
    <t>Synthetic Claimant 0283</t>
  </si>
  <si>
    <t>SYN-CLM-0284</t>
  </si>
  <si>
    <t>Synthetic Claimant 0284</t>
  </si>
  <si>
    <t>Synthetic Policyholder 053, LLC</t>
  </si>
  <si>
    <t>SYN-CLM-0285</t>
  </si>
  <si>
    <t>Synthetic Claimant 0285</t>
  </si>
  <si>
    <t>Synthetic QME Evaluator 09</t>
  </si>
  <si>
    <t>SYN-CLM-0286</t>
  </si>
  <si>
    <t>Synthetic Claimant 0286</t>
  </si>
  <si>
    <t>MMI Date Reported; Denied Treatment Requests</t>
  </si>
  <si>
    <t>SYN-CLM-0287</t>
  </si>
  <si>
    <t>Synthetic Claimant 0287</t>
  </si>
  <si>
    <t>Synthetic QME Evaluator 16</t>
  </si>
  <si>
    <t>SYN-CLM-0288</t>
  </si>
  <si>
    <t>Synthetic Claimant 0288</t>
  </si>
  <si>
    <t>SYN-CLM-0289</t>
  </si>
  <si>
    <t>Synthetic Claimant 0289</t>
  </si>
  <si>
    <t>Synthetic Policyholder 031, LLC</t>
  </si>
  <si>
    <t>SYN-CLM-0290</t>
  </si>
  <si>
    <t>Synthetic Claimant 0290</t>
  </si>
  <si>
    <t>SYN-CLM-0291</t>
  </si>
  <si>
    <t>Synthetic Claimant 0291</t>
  </si>
  <si>
    <t>SYN-CLM-0292</t>
  </si>
  <si>
    <t>Synthetic Claimant 0292</t>
  </si>
  <si>
    <t>SYN-CLM-0293</t>
  </si>
  <si>
    <t>Synthetic Claimant 0293</t>
  </si>
  <si>
    <t>SYN-CLM-0294</t>
  </si>
  <si>
    <t>Synthetic Claimant 0294</t>
  </si>
  <si>
    <t>Synthetic Policyholder 163, LLC</t>
  </si>
  <si>
    <t>SYN-CLM-0295</t>
  </si>
  <si>
    <t>Synthetic Claimant 0295</t>
  </si>
  <si>
    <t>SYN-CLM-0296</t>
  </si>
  <si>
    <t>Synthetic Claimant 0296</t>
  </si>
  <si>
    <t>SYN-CLM-0297</t>
  </si>
  <si>
    <t>Synthetic Claimant 0297</t>
  </si>
  <si>
    <t>SYN-CLM-0298</t>
  </si>
  <si>
    <t>Synthetic Claimant 0298</t>
  </si>
  <si>
    <t>Synthetic Policyholder 101, LLC</t>
  </si>
  <si>
    <t>SYN-CLM-0299</t>
  </si>
  <si>
    <t>Synthetic Claimant 0299</t>
  </si>
  <si>
    <t>SYN-CLM-0300</t>
  </si>
  <si>
    <t>Synthetic Claimant 0300</t>
  </si>
  <si>
    <t>SYN-CLM-0301</t>
  </si>
  <si>
    <t>Synthetic Claimant 0301</t>
  </si>
  <si>
    <t>SYN-CLM-0302</t>
  </si>
  <si>
    <t>Synthetic Claimant 0302</t>
  </si>
  <si>
    <t>Surgery Requested; Denied Treatment Requests; MSA Eligible in Next 3 Years</t>
  </si>
  <si>
    <t>SYN-CLM-0303</t>
  </si>
  <si>
    <t>Synthetic Claimant 0303</t>
  </si>
  <si>
    <t>SYN-CLM-0304</t>
  </si>
  <si>
    <t>Synthetic Claimant 0304</t>
  </si>
  <si>
    <t>Synthetic Policyholder 064, LLC</t>
  </si>
  <si>
    <t>SYN-CLM-0305</t>
  </si>
  <si>
    <t>Synthetic Claimant 0305</t>
  </si>
  <si>
    <t>SYN-CLM-0306</t>
  </si>
  <si>
    <t>Synthetic Claimant 0306</t>
  </si>
  <si>
    <t>Synthetic Policyholder 119, LLC</t>
  </si>
  <si>
    <t>SYN-CLM-0307</t>
  </si>
  <si>
    <t>Synthetic Claimant 0307</t>
  </si>
  <si>
    <t>SYN-CLM-0308</t>
  </si>
  <si>
    <t>Synthetic Claimant 0308</t>
  </si>
  <si>
    <t>SYN-CLM-0309</t>
  </si>
  <si>
    <t>Synthetic Claimant 0309</t>
  </si>
  <si>
    <t>MMI Date Reported; MSA Eligible in Next 3 Years; Non-Renewed Account</t>
  </si>
  <si>
    <t>SYN-CLM-0310</t>
  </si>
  <si>
    <t>Synthetic Claimant 0310</t>
  </si>
  <si>
    <t>Synthetic Policyholder 173, LLC</t>
  </si>
  <si>
    <t>SYN-CLM-0311</t>
  </si>
  <si>
    <t>Synthetic Claimant 0311</t>
  </si>
  <si>
    <t>SYN-CLM-0312</t>
  </si>
  <si>
    <t>Synthetic Claimant 0312</t>
  </si>
  <si>
    <t>Synthetic Policyholder 161, LLC</t>
  </si>
  <si>
    <t>SYN-CLM-0313</t>
  </si>
  <si>
    <t>Synthetic Claimant 0313</t>
  </si>
  <si>
    <t>Synthetic Policyholder 176, LLC</t>
  </si>
  <si>
    <t>SYN-CLM-0314</t>
  </si>
  <si>
    <t>Synthetic Claimant 0314</t>
  </si>
  <si>
    <t>Synthetic Policyholder 136, LLC</t>
  </si>
  <si>
    <t>SYN-CLM-0315</t>
  </si>
  <si>
    <t>Synthetic Claimant 0315</t>
  </si>
  <si>
    <t>SYN-CLM-0316</t>
  </si>
  <si>
    <t>Synthetic Claimant 0316</t>
  </si>
  <si>
    <t>Synthetic Policyholder 124, LLC</t>
  </si>
  <si>
    <t>SYN-CLM-0317</t>
  </si>
  <si>
    <t>Synthetic Claimant 0317</t>
  </si>
  <si>
    <t>Synthetic QME Evaluator 01</t>
  </si>
  <si>
    <t>SYN-CLM-0318</t>
  </si>
  <si>
    <t>Synthetic Claimant 0318</t>
  </si>
  <si>
    <t>SYN-CLM-0319</t>
  </si>
  <si>
    <t>Synthetic Claimant 0319</t>
  </si>
  <si>
    <t>SYN-CLM-0320</t>
  </si>
  <si>
    <t>Synthetic Claimant 0320</t>
  </si>
  <si>
    <t>SYN-CLM-0321</t>
  </si>
  <si>
    <t>Synthetic Claimant 0321</t>
  </si>
  <si>
    <t>SYN-CLM-0322</t>
  </si>
  <si>
    <t>Synthetic Claimant 0322</t>
  </si>
  <si>
    <t>SYN-CLM-0323</t>
  </si>
  <si>
    <t>Synthetic Claimant 0323</t>
  </si>
  <si>
    <t>SYN-CLM-0324</t>
  </si>
  <si>
    <t>Synthetic Claimant 0324</t>
  </si>
  <si>
    <t>SYN-CLM-0325</t>
  </si>
  <si>
    <t>Synthetic Claimant 0325</t>
  </si>
  <si>
    <t>SYN-CLM-0326</t>
  </si>
  <si>
    <t>Synthetic Claimant 0326</t>
  </si>
  <si>
    <t>SYN-CLM-0327</t>
  </si>
  <si>
    <t>Synthetic Claimant 0327</t>
  </si>
  <si>
    <t>SYN-CLM-0328</t>
  </si>
  <si>
    <t>Synthetic Claimant 0328</t>
  </si>
  <si>
    <t>SYN-CLM-0329</t>
  </si>
  <si>
    <t>Synthetic Claimant 0329</t>
  </si>
  <si>
    <t>SYN-CLM-0330</t>
  </si>
  <si>
    <t>Synthetic Claimant 0330</t>
  </si>
  <si>
    <t>SYN-CLM-0331</t>
  </si>
  <si>
    <t>Synthetic Claimant 0331</t>
  </si>
  <si>
    <t>SYN-CLM-0332</t>
  </si>
  <si>
    <t>Synthetic Claimant 0332</t>
  </si>
  <si>
    <t>SYN-CLM-0333</t>
  </si>
  <si>
    <t>Synthetic Claimant 0333</t>
  </si>
  <si>
    <t>SYN-CLM-0334</t>
  </si>
  <si>
    <t>Synthetic Claimant 0334</t>
  </si>
  <si>
    <t>SYN-CLM-0335</t>
  </si>
  <si>
    <t>Synthetic Claimant 0335</t>
  </si>
  <si>
    <t>SYN-CLM-0336</t>
  </si>
  <si>
    <t>Synthetic Claimant 0336</t>
  </si>
  <si>
    <t>SYN-CLM-0337</t>
  </si>
  <si>
    <t>Synthetic Claimant 0337</t>
  </si>
  <si>
    <t>SYN-CLM-0338</t>
  </si>
  <si>
    <t>Synthetic Claimant 0338</t>
  </si>
  <si>
    <t>SYN-CLM-0339</t>
  </si>
  <si>
    <t>Synthetic Claimant 0339</t>
  </si>
  <si>
    <t>Synthetic Policyholder 009, LLC</t>
  </si>
  <si>
    <t>SYN-CLM-0340</t>
  </si>
  <si>
    <t>Synthetic Claimant 0340</t>
  </si>
  <si>
    <t>Claims Analyst H</t>
  </si>
  <si>
    <t>SYN-CLM-0341</t>
  </si>
  <si>
    <t>Synthetic Claimant 0341</t>
  </si>
  <si>
    <t>Synthetic QME Evaluator 04</t>
  </si>
  <si>
    <t>SYN-CLM-0342</t>
  </si>
  <si>
    <t>Synthetic Claimant 0342</t>
  </si>
  <si>
    <t>SYN-CLM-0343</t>
  </si>
  <si>
    <t>Synthetic Claimant 0343</t>
  </si>
  <si>
    <t>SYN-CLM-0344</t>
  </si>
  <si>
    <t>Synthetic Claimant 0344</t>
  </si>
  <si>
    <t>SYN-CLM-0345</t>
  </si>
  <si>
    <t>Synthetic Claimant 0345</t>
  </si>
  <si>
    <t>Synthetic Policyholder 130, LLC</t>
  </si>
  <si>
    <t>SYN-CLM-0346</t>
  </si>
  <si>
    <t>Synthetic Claimant 0346</t>
  </si>
  <si>
    <t>SYN-CLM-0347</t>
  </si>
  <si>
    <t>Synthetic Claimant 0347</t>
  </si>
  <si>
    <t>SYN-CLM-0348</t>
  </si>
  <si>
    <t>Synthetic Claimant 0348</t>
  </si>
  <si>
    <t>SYN-CLM-0349</t>
  </si>
  <si>
    <t>Synthetic Claimant 0349</t>
  </si>
  <si>
    <t>SYN-CLM-0350</t>
  </si>
  <si>
    <t>Synthetic Claimant 0350</t>
  </si>
  <si>
    <t>Synthetic QME Evaluator 26</t>
  </si>
  <si>
    <t>SYN-CLM-0351</t>
  </si>
  <si>
    <t>Synthetic Claimant 0351</t>
  </si>
  <si>
    <t>SYN-CLM-0352</t>
  </si>
  <si>
    <t>Synthetic Claimant 0352</t>
  </si>
  <si>
    <t>SYN-CLM-0353</t>
  </si>
  <si>
    <t>Synthetic Claimant 0353</t>
  </si>
  <si>
    <t>Synthetic Policyholder 152, LLC</t>
  </si>
  <si>
    <t>SYN-CLM-0354</t>
  </si>
  <si>
    <t>Synthetic Claimant 0354</t>
  </si>
  <si>
    <t>SYN-CLM-0355</t>
  </si>
  <si>
    <t>Synthetic Claimant 0355</t>
  </si>
  <si>
    <t>SYN-CLM-0356</t>
  </si>
  <si>
    <t>Synthetic Claimant 0356</t>
  </si>
  <si>
    <t>SYN-CLM-0357</t>
  </si>
  <si>
    <t>Synthetic Claimant 0357</t>
  </si>
  <si>
    <t>Synthetic Policyholder 140, LLC</t>
  </si>
  <si>
    <t>SYN-CLM-0358</t>
  </si>
  <si>
    <t>Synthetic Claimant 0358</t>
  </si>
  <si>
    <t>SYN-CLM-0359</t>
  </si>
  <si>
    <t>Synthetic Claimant 0359</t>
  </si>
  <si>
    <t>SYN-CLM-0360</t>
  </si>
  <si>
    <t>Synthetic Claimant 0360</t>
  </si>
  <si>
    <t>SYN-CLM-0361</t>
  </si>
  <si>
    <t>Synthetic Claimant 0361</t>
  </si>
  <si>
    <t>SYN-CLM-0362</t>
  </si>
  <si>
    <t>Synthetic Claimant 0362</t>
  </si>
  <si>
    <t>SYN-CLM-0363</t>
  </si>
  <si>
    <t>Synthetic Claimant 0363</t>
  </si>
  <si>
    <t>SYN-CLM-0364</t>
  </si>
  <si>
    <t>Synthetic Claimant 0364</t>
  </si>
  <si>
    <t>SYN-CLM-0365</t>
  </si>
  <si>
    <t>Synthetic Claimant 0365</t>
  </si>
  <si>
    <t>Synthetic Policyholder 029, LLC</t>
  </si>
  <si>
    <t>SYN-CLM-0366</t>
  </si>
  <si>
    <t>Synthetic Claimant 0366</t>
  </si>
  <si>
    <t>SYN-CLM-0367</t>
  </si>
  <si>
    <t>Synthetic Claimant 0367</t>
  </si>
  <si>
    <t>Synthetic Policyholder 154, LLC</t>
  </si>
  <si>
    <t>Synthetic QME Evaluator 30</t>
  </si>
  <si>
    <t>SYN-CLM-0368</t>
  </si>
  <si>
    <t>Synthetic Claimant 0368</t>
  </si>
  <si>
    <t>Synthetic QME Evaluator 05</t>
  </si>
  <si>
    <t>SYN-CLM-0369</t>
  </si>
  <si>
    <t>Synthetic Claimant 0369</t>
  </si>
  <si>
    <t>SYN-CLM-0370</t>
  </si>
  <si>
    <t>Synthetic Claimant 0370</t>
  </si>
  <si>
    <t>SYN-CLM-0371</t>
  </si>
  <si>
    <t>Synthetic Claimant 0371</t>
  </si>
  <si>
    <t>Synthetic QME Evaluator 18</t>
  </si>
  <si>
    <t>SYN-CLM-0372</t>
  </si>
  <si>
    <t>Synthetic Claimant 0372</t>
  </si>
  <si>
    <t>SYN-CLM-0373</t>
  </si>
  <si>
    <t>Synthetic Claimant 0373</t>
  </si>
  <si>
    <t>Synthetic QME Evaluator 29</t>
  </si>
  <si>
    <t>SYN-CLM-0374</t>
  </si>
  <si>
    <t>Synthetic Claimant 0374</t>
  </si>
  <si>
    <t>Synthetic Policyholder 133, LLC</t>
  </si>
  <si>
    <t>SYN-CLM-0375</t>
  </si>
  <si>
    <t>Synthetic Claimant 0375</t>
  </si>
  <si>
    <t>SYN-CLM-0376</t>
  </si>
  <si>
    <t>Synthetic Claimant 0376</t>
  </si>
  <si>
    <t>SYN-CLM-0377</t>
  </si>
  <si>
    <t>Synthetic Claimant 0377</t>
  </si>
  <si>
    <t>SYN-CLM-0378</t>
  </si>
  <si>
    <t>Synthetic Claimant 0378</t>
  </si>
  <si>
    <t>SYN-CLM-0379</t>
  </si>
  <si>
    <t>Synthetic Claimant 0379</t>
  </si>
  <si>
    <t>SYN-CLM-0380</t>
  </si>
  <si>
    <t>Synthetic Claimant 0380</t>
  </si>
  <si>
    <t>Synthetic Policyholder 076, LLC</t>
  </si>
  <si>
    <t>SYN-CLM-0381</t>
  </si>
  <si>
    <t>Synthetic Claimant 0381</t>
  </si>
  <si>
    <t>SYN-CLM-0382</t>
  </si>
  <si>
    <t>Synthetic Claimant 0382</t>
  </si>
  <si>
    <t>SYN-CLM-0383</t>
  </si>
  <si>
    <t>Synthetic Claimant 0383</t>
  </si>
  <si>
    <t>SYN-CLM-0384</t>
  </si>
  <si>
    <t>Synthetic Claimant 0384</t>
  </si>
  <si>
    <t>Synthetic Policyholder 105, LLC</t>
  </si>
  <si>
    <t>SYN-CLM-0385</t>
  </si>
  <si>
    <t>Synthetic Claimant 0385</t>
  </si>
  <si>
    <t>SYN-CLM-0386</t>
  </si>
  <si>
    <t>Synthetic Claimant 0386</t>
  </si>
  <si>
    <t>SYN-CLM-0387</t>
  </si>
  <si>
    <t>Synthetic Claimant 0387</t>
  </si>
  <si>
    <t>SYN-CLM-0388</t>
  </si>
  <si>
    <t>Synthetic Claimant 0388</t>
  </si>
  <si>
    <t>SYN-CLM-0389</t>
  </si>
  <si>
    <t>Synthetic Claimant 0389</t>
  </si>
  <si>
    <t>SYN-CLM-0390</t>
  </si>
  <si>
    <t>Synthetic Claimant 0390</t>
  </si>
  <si>
    <t>SYN-CLM-0391</t>
  </si>
  <si>
    <t>Synthetic Claimant 0391</t>
  </si>
  <si>
    <t>SYN-CLM-0392</t>
  </si>
  <si>
    <t>Synthetic Claimant 0392</t>
  </si>
  <si>
    <t>Synthetic Policyholder 116, LLC</t>
  </si>
  <si>
    <t>SYN-CLM-0393</t>
  </si>
  <si>
    <t>Synthetic Claimant 0393</t>
  </si>
  <si>
    <t>SYN-CLM-0394</t>
  </si>
  <si>
    <t>Synthetic Claimant 0394</t>
  </si>
  <si>
    <t>SYN-CLM-0395</t>
  </si>
  <si>
    <t>Synthetic Claimant 0395</t>
  </si>
  <si>
    <t>Surgery Requested; Denied Treatment Requests; Non-Renewed Account</t>
  </si>
  <si>
    <t>SYN-CLM-0396</t>
  </si>
  <si>
    <t>Synthetic Claimant 0396</t>
  </si>
  <si>
    <t>SYN-CLM-0397</t>
  </si>
  <si>
    <t>Synthetic Claimant 0397</t>
  </si>
  <si>
    <t>SYN-CLM-0398</t>
  </si>
  <si>
    <t>Synthetic Claimant 0398</t>
  </si>
  <si>
    <t>SYN-CLM-0399</t>
  </si>
  <si>
    <t>Synthetic Claimant 0399</t>
  </si>
  <si>
    <t>SYN-CLM-0400</t>
  </si>
  <si>
    <t>Synthetic Claimant 0400</t>
  </si>
  <si>
    <t>SYN-CLM-0401</t>
  </si>
  <si>
    <t>Synthetic Claimant 0401</t>
  </si>
  <si>
    <t>Surgery Requested; Non-Renewed Account; Denied Treatment Requests</t>
  </si>
  <si>
    <t>SYN-CLM-0402</t>
  </si>
  <si>
    <t>Synthetic Claimant 0402</t>
  </si>
  <si>
    <t>SYN-CLM-0403</t>
  </si>
  <si>
    <t>Synthetic Claimant 0403</t>
  </si>
  <si>
    <t>SYN-CLM-0404</t>
  </si>
  <si>
    <t>Synthetic Claimant 0404</t>
  </si>
  <si>
    <t>Synthetic QME Evaluator 35</t>
  </si>
  <si>
    <t>Denied Treatment Requests; MMI Date Reported</t>
  </si>
  <si>
    <t>SYN-CLM-0405</t>
  </si>
  <si>
    <t>Synthetic Claimant 0405</t>
  </si>
  <si>
    <t>MSA Eligible in Next 3 Years; Denied Treatment Requests; Specialist Consultation Requested</t>
  </si>
  <si>
    <t>SYN-CLM-0406</t>
  </si>
  <si>
    <t>Synthetic Claimant 0406</t>
  </si>
  <si>
    <t>Surgery Requested; Non-Renewed Account; Specialist Consultation Requested</t>
  </si>
  <si>
    <t>SYN-CLM-0407</t>
  </si>
  <si>
    <t>Synthetic Claimant 0407</t>
  </si>
  <si>
    <t>SYN-CLM-0408</t>
  </si>
  <si>
    <t>Synthetic Claimant 0408</t>
  </si>
  <si>
    <t>SYN-CLM-0409</t>
  </si>
  <si>
    <t>Synthetic Claimant 0409</t>
  </si>
  <si>
    <t>SYN-CLM-0410</t>
  </si>
  <si>
    <t>Synthetic Claimant 0410</t>
  </si>
  <si>
    <t>SYN-CLM-0411</t>
  </si>
  <si>
    <t>Synthetic Claimant 0411</t>
  </si>
  <si>
    <t>SYN-CLM-0412</t>
  </si>
  <si>
    <t>Synthetic Claimant 0412</t>
  </si>
  <si>
    <t>SYN-CLM-0413</t>
  </si>
  <si>
    <t>Synthetic Claimant 0413</t>
  </si>
  <si>
    <t>SYN-CLM-0414</t>
  </si>
  <si>
    <t>Synthetic Claimant 0414</t>
  </si>
  <si>
    <t>SYN-CLM-0415</t>
  </si>
  <si>
    <t>Synthetic Claimant 0415</t>
  </si>
  <si>
    <t>SYN-CLM-0416</t>
  </si>
  <si>
    <t>Synthetic Claimant 0416</t>
  </si>
  <si>
    <t>SYN-CLM-0417</t>
  </si>
  <si>
    <t>Synthetic Claimant 0417</t>
  </si>
  <si>
    <t>SYN-CLM-0418</t>
  </si>
  <si>
    <t>Synthetic Claimant 0418</t>
  </si>
  <si>
    <t>SYN-CLM-0419</t>
  </si>
  <si>
    <t>Synthetic Claimant 0419</t>
  </si>
  <si>
    <t>SYN-CLM-0420</t>
  </si>
  <si>
    <t>Synthetic Claimant 0420</t>
  </si>
  <si>
    <t>SYN-CLM-0421</t>
  </si>
  <si>
    <t>Synthetic Claimant 0421</t>
  </si>
  <si>
    <t>SYN-CLM-0422</t>
  </si>
  <si>
    <t>Synthetic Claimant 0422</t>
  </si>
  <si>
    <t>SYN-CLM-0423</t>
  </si>
  <si>
    <t>Synthetic Claimant 0423</t>
  </si>
  <si>
    <t>Synthetic Policyholder 001, LLC</t>
  </si>
  <si>
    <t>SYN-CLM-0424</t>
  </si>
  <si>
    <t>Synthetic Claimant 0424</t>
  </si>
  <si>
    <t>SYN-CLM-0425</t>
  </si>
  <si>
    <t>Synthetic Claimant 0425</t>
  </si>
  <si>
    <t>Synthetic Policyholder 093, LLC</t>
  </si>
  <si>
    <t>SYN-CLM-0426</t>
  </si>
  <si>
    <t>Synthetic Claimant 0426</t>
  </si>
  <si>
    <t>SYN-CLM-0427</t>
  </si>
  <si>
    <t>Synthetic Claimant 0427</t>
  </si>
  <si>
    <t>SYN-CLM-0428</t>
  </si>
  <si>
    <t>Synthetic Claimant 0428</t>
  </si>
  <si>
    <t>SYN-CLM-0429</t>
  </si>
  <si>
    <t>Synthetic Claimant 0429</t>
  </si>
  <si>
    <t>SYN-CLM-0430</t>
  </si>
  <si>
    <t>Synthetic Claimant 0430</t>
  </si>
  <si>
    <t>SYN-CLM-0431</t>
  </si>
  <si>
    <t>Synthetic Claimant 0431</t>
  </si>
  <si>
    <t>SYN-CLM-0432</t>
  </si>
  <si>
    <t>Synthetic Claimant 0432</t>
  </si>
  <si>
    <t>SYN-CLM-0433</t>
  </si>
  <si>
    <t>Synthetic Claimant 0433</t>
  </si>
  <si>
    <t>SYN-CLM-0434</t>
  </si>
  <si>
    <t>Synthetic Claimant 0434</t>
  </si>
  <si>
    <t>SYN-CLM-0435</t>
  </si>
  <si>
    <t>Synthetic Claimant 0435</t>
  </si>
  <si>
    <t>SYN-CLM-0436</t>
  </si>
  <si>
    <t>Synthetic Claimant 0436</t>
  </si>
  <si>
    <t>SYN-CLM-0437</t>
  </si>
  <si>
    <t>Synthetic Claimant 0437</t>
  </si>
  <si>
    <t>SYN-CLM-0438</t>
  </si>
  <si>
    <t>Synthetic Claimant 0438</t>
  </si>
  <si>
    <t>SYN-CLM-0439</t>
  </si>
  <si>
    <t>Synthetic Claimant 0439</t>
  </si>
  <si>
    <t>SYN-CLM-0440</t>
  </si>
  <si>
    <t>Synthetic Claimant 0440</t>
  </si>
  <si>
    <t>MMI Date Reported; Non-Renewed Account</t>
  </si>
  <si>
    <t>SYN-CLM-0441</t>
  </si>
  <si>
    <t>Synthetic Claimant 0441</t>
  </si>
  <si>
    <t>SYN-CLM-0442</t>
  </si>
  <si>
    <t>Synthetic Claimant 0442</t>
  </si>
  <si>
    <t>SYN-CLM-0443</t>
  </si>
  <si>
    <t>Synthetic Claimant 0443</t>
  </si>
  <si>
    <t>SYN-CLM-0444</t>
  </si>
  <si>
    <t>Synthetic Claimant 0444</t>
  </si>
  <si>
    <t>MMI Date Reported; Surgery Requested; MSA Eligible in Next 3 Years</t>
  </si>
  <si>
    <t>SYN-CLM-0445</t>
  </si>
  <si>
    <t>Synthetic Claimant 0445</t>
  </si>
  <si>
    <t>Specialist Consultation Requested; MMI Date Reported; MSA Eligible in Next 3 Years</t>
  </si>
  <si>
    <t>SYN-CLM-0446</t>
  </si>
  <si>
    <t>Synthetic Claimant 0446</t>
  </si>
  <si>
    <t>SYN-CLM-0447</t>
  </si>
  <si>
    <t>Synthetic Claimant 0447</t>
  </si>
  <si>
    <t>SYN-CLM-0448</t>
  </si>
  <si>
    <t>Synthetic Claimant 0448</t>
  </si>
  <si>
    <t>SYN-CLM-0449</t>
  </si>
  <si>
    <t>Synthetic Claimant 0449</t>
  </si>
  <si>
    <t>SYN-CLM-0450</t>
  </si>
  <si>
    <t>Synthetic Claimant 0450</t>
  </si>
  <si>
    <t>Synthetic QME Evaluator 33</t>
  </si>
  <si>
    <t>SYN-CLM-0451</t>
  </si>
  <si>
    <t>Synthetic Claimant 0451</t>
  </si>
  <si>
    <t>SYN-CLM-0452</t>
  </si>
  <si>
    <t>Synthetic Claimant 0452</t>
  </si>
  <si>
    <t>SYN-CLM-0453</t>
  </si>
  <si>
    <t>Synthetic Claimant 0453</t>
  </si>
  <si>
    <t>SYN-CLM-0454</t>
  </si>
  <si>
    <t>Synthetic Claimant 0454</t>
  </si>
  <si>
    <t>SYN-CLM-0455</t>
  </si>
  <si>
    <t>Synthetic Claimant 0455</t>
  </si>
  <si>
    <t>SYN-CLM-0456</t>
  </si>
  <si>
    <t>Synthetic Claimant 0456</t>
  </si>
  <si>
    <t>MMI Date Reported; Surgery Requested</t>
  </si>
  <si>
    <t>SYN-CLM-0457</t>
  </si>
  <si>
    <t>Synthetic Claimant 0457</t>
  </si>
  <si>
    <t>Synthetic QME Evaluator 22</t>
  </si>
  <si>
    <t>SYN-CLM-0458</t>
  </si>
  <si>
    <t>Synthetic Claimant 0458</t>
  </si>
  <si>
    <t>SYN-CLM-0459</t>
  </si>
  <si>
    <t>Synthetic Claimant 0459</t>
  </si>
  <si>
    <t>SYN-CLM-0460</t>
  </si>
  <si>
    <t>Synthetic Claimant 0460</t>
  </si>
  <si>
    <t>SYN-CLM-0461</t>
  </si>
  <si>
    <t>Synthetic Claimant 0461</t>
  </si>
  <si>
    <t>SYN-CLM-0462</t>
  </si>
  <si>
    <t>Synthetic Claimant 0462</t>
  </si>
  <si>
    <t>Denied Treatment Requests; Surgery Requested</t>
  </si>
  <si>
    <t>SYN-CLM-0463</t>
  </si>
  <si>
    <t>Synthetic Claimant 0463</t>
  </si>
  <si>
    <t>SYN-CLM-0464</t>
  </si>
  <si>
    <t>Synthetic Claimant 0464</t>
  </si>
  <si>
    <t>SYN-CLM-0465</t>
  </si>
  <si>
    <t>Synthetic Claimant 0465</t>
  </si>
  <si>
    <t>SYN-CLM-0466</t>
  </si>
  <si>
    <t>Synthetic Claimant 0466</t>
  </si>
  <si>
    <t>SYN-CLM-0467</t>
  </si>
  <si>
    <t>Synthetic Claimant 0467</t>
  </si>
  <si>
    <t>SYN-CLM-0468</t>
  </si>
  <si>
    <t>Synthetic Claimant 0468</t>
  </si>
  <si>
    <t>Synthetic Policyholder 072, LLC</t>
  </si>
  <si>
    <t>SYN-CLM-0469</t>
  </si>
  <si>
    <t>Synthetic Claimant 0469</t>
  </si>
  <si>
    <t>SYN-CLM-0470</t>
  </si>
  <si>
    <t>Synthetic Claimant 0470</t>
  </si>
  <si>
    <t>SYN-CLM-0471</t>
  </si>
  <si>
    <t>Synthetic Claimant 0471</t>
  </si>
  <si>
    <t>SYN-CLM-0472</t>
  </si>
  <si>
    <t>Synthetic Claimant 0472</t>
  </si>
  <si>
    <t>SYN-CLM-0473</t>
  </si>
  <si>
    <t>Synthetic Claimant 0473</t>
  </si>
  <si>
    <t>SYN-CLM-0474</t>
  </si>
  <si>
    <t>Synthetic Claimant 0474</t>
  </si>
  <si>
    <t>SYN-CLM-0475</t>
  </si>
  <si>
    <t>Synthetic Claimant 0475</t>
  </si>
  <si>
    <t>Synthetic Policyholder 177, LLC</t>
  </si>
  <si>
    <t>Denied Treatment Requests; MSA Eligible in Next 3 Years; Non-Renewed Account</t>
  </si>
  <si>
    <t>SYN-CLM-0476</t>
  </si>
  <si>
    <t>Synthetic Claimant 0476</t>
  </si>
  <si>
    <t>SYN-CLM-0477</t>
  </si>
  <si>
    <t>Synthetic Claimant 0477</t>
  </si>
  <si>
    <t>SYN-CLM-0478</t>
  </si>
  <si>
    <t>Synthetic Claimant 0478</t>
  </si>
  <si>
    <t>SYN-CLM-0479</t>
  </si>
  <si>
    <t>Synthetic Claimant 0479</t>
  </si>
  <si>
    <t>SYN-CLM-0480</t>
  </si>
  <si>
    <t>Synthetic Claimant 0480</t>
  </si>
  <si>
    <t>SYN-CLM-0481</t>
  </si>
  <si>
    <t>Synthetic Claimant 0481</t>
  </si>
  <si>
    <t>SYN-CLM-0482</t>
  </si>
  <si>
    <t>Synthetic Claimant 0482</t>
  </si>
  <si>
    <t>SYN-CLM-0483</t>
  </si>
  <si>
    <t>Synthetic Claimant 0483</t>
  </si>
  <si>
    <t>SYN-CLM-0484</t>
  </si>
  <si>
    <t>Synthetic Claimant 0484</t>
  </si>
  <si>
    <t>Synthetic Policyholder 070, LLC</t>
  </si>
  <si>
    <t>SYN-CLM-0485</t>
  </si>
  <si>
    <t>Synthetic Claimant 0485</t>
  </si>
  <si>
    <t>SYN-CLM-0486</t>
  </si>
  <si>
    <t>Synthetic Claimant 0486</t>
  </si>
  <si>
    <t>Synthetic QME Evaluator 03</t>
  </si>
  <si>
    <t>SYN-CLM-0487</t>
  </si>
  <si>
    <t>Synthetic Claimant 0487</t>
  </si>
  <si>
    <t>SYN-CLM-0488</t>
  </si>
  <si>
    <t>Synthetic Claimant 0488</t>
  </si>
  <si>
    <t>SYN-CLM-0489</t>
  </si>
  <si>
    <t>Synthetic Claimant 0489</t>
  </si>
  <si>
    <t>SYN-CLM-0490</t>
  </si>
  <si>
    <t>Synthetic Claimant 0490</t>
  </si>
  <si>
    <t>SYN-CLM-0491</t>
  </si>
  <si>
    <t>Synthetic Claimant 0491</t>
  </si>
  <si>
    <t>SYN-CLM-0492</t>
  </si>
  <si>
    <t>Synthetic Claimant 0492</t>
  </si>
  <si>
    <t>SYN-CLM-0493</t>
  </si>
  <si>
    <t>Synthetic Claimant 0493</t>
  </si>
  <si>
    <t>SYN-CLM-0494</t>
  </si>
  <si>
    <t>Synthetic Claimant 0494</t>
  </si>
  <si>
    <t>SYN-CLM-0495</t>
  </si>
  <si>
    <t>Synthetic Claimant 0495</t>
  </si>
  <si>
    <t>SYN-CLM-0496</t>
  </si>
  <si>
    <t>Synthetic Claimant 0496</t>
  </si>
  <si>
    <t>SYN-CLM-0497</t>
  </si>
  <si>
    <t>Synthetic Claimant 0497</t>
  </si>
  <si>
    <t>SYN-CLM-0498</t>
  </si>
  <si>
    <t>Synthetic Claimant 0498</t>
  </si>
  <si>
    <t>SYN-CLM-0499</t>
  </si>
  <si>
    <t>Synthetic Claimant 0499</t>
  </si>
  <si>
    <t>SYN-CLM-0500</t>
  </si>
  <si>
    <t>Synthetic Claimant 0500</t>
  </si>
  <si>
    <t>SYN-CLM-0501</t>
  </si>
  <si>
    <t>Synthetic Claimant 0501</t>
  </si>
  <si>
    <t>Specialist Consultation Requested; Denied Treatment Requests; MSA Eligible in Next 3 Years</t>
  </si>
  <si>
    <t>SYN-CLM-0502</t>
  </si>
  <si>
    <t>Synthetic Claimant 0502</t>
  </si>
  <si>
    <t>SYN-CLM-0503</t>
  </si>
  <si>
    <t>Synthetic Claimant 0503</t>
  </si>
  <si>
    <t>SYN-CLM-0504</t>
  </si>
  <si>
    <t>Synthetic Claimant 0504</t>
  </si>
  <si>
    <t>SYN-CLM-0505</t>
  </si>
  <si>
    <t>Synthetic Claimant 0505</t>
  </si>
  <si>
    <t>SYN-CLM-0506</t>
  </si>
  <si>
    <t>Synthetic Claimant 0506</t>
  </si>
  <si>
    <t>SYN-CLM-0507</t>
  </si>
  <si>
    <t>Synthetic Claimant 0507</t>
  </si>
  <si>
    <t>SYN-CLM-0508</t>
  </si>
  <si>
    <t>Synthetic Claimant 0508</t>
  </si>
  <si>
    <t>SYN-CLM-0509</t>
  </si>
  <si>
    <t>Synthetic Claimant 0509</t>
  </si>
  <si>
    <t>SYN-CLM-0510</t>
  </si>
  <si>
    <t>Synthetic Claimant 0510</t>
  </si>
  <si>
    <t>SYN-CLM-0511</t>
  </si>
  <si>
    <t>Synthetic Claimant 0511</t>
  </si>
  <si>
    <t>SYN-CLM-0512</t>
  </si>
  <si>
    <t>Synthetic Claimant 0512</t>
  </si>
  <si>
    <t>SYN-CLM-0513</t>
  </si>
  <si>
    <t>Synthetic Claimant 0513</t>
  </si>
  <si>
    <t>SYN-CLM-0514</t>
  </si>
  <si>
    <t>Synthetic Claimant 0514</t>
  </si>
  <si>
    <t>SYN-CLM-0515</t>
  </si>
  <si>
    <t>Synthetic Claimant 0515</t>
  </si>
  <si>
    <t>Specialist Consultation Requested; MSA Eligible in Next 3 Years; MMI Date Reported</t>
  </si>
  <si>
    <t>SYN-CLM-0516</t>
  </si>
  <si>
    <t>Synthetic Claimant 0516</t>
  </si>
  <si>
    <t>SYN-CLM-0517</t>
  </si>
  <si>
    <t>Synthetic Claimant 0517</t>
  </si>
  <si>
    <t>SYN-CLM-0518</t>
  </si>
  <si>
    <t>Synthetic Claimant 0518</t>
  </si>
  <si>
    <t>SYN-CLM-0519</t>
  </si>
  <si>
    <t>Synthetic Claimant 0519</t>
  </si>
  <si>
    <t>SYN-CLM-0520</t>
  </si>
  <si>
    <t>Synthetic Claimant 0520</t>
  </si>
  <si>
    <t>SYN-CLM-0521</t>
  </si>
  <si>
    <t>Synthetic Claimant 0521</t>
  </si>
  <si>
    <t>SYN-CLM-0522</t>
  </si>
  <si>
    <t>Synthetic Claimant 0522</t>
  </si>
  <si>
    <t>Synthetic Policyholder 027, LLC</t>
  </si>
  <si>
    <t>SYN-CLM-0523</t>
  </si>
  <si>
    <t>Synthetic Claimant 0523</t>
  </si>
  <si>
    <t>Synthetic QME Evaluator 24</t>
  </si>
  <si>
    <t>SYN-CLM-0524</t>
  </si>
  <si>
    <t>Synthetic Claimant 0524</t>
  </si>
  <si>
    <t>Synthetic Policyholder 082, LLC</t>
  </si>
  <si>
    <t>SYN-CLM-0525</t>
  </si>
  <si>
    <t>Synthetic Claimant 0525</t>
  </si>
  <si>
    <t>Synthetic Policyholder 011, LLC</t>
  </si>
  <si>
    <t>SYN-CLM-0526</t>
  </si>
  <si>
    <t>Synthetic Claimant 0526</t>
  </si>
  <si>
    <t>SYN-CLM-0527</t>
  </si>
  <si>
    <t>Synthetic Claimant 0527</t>
  </si>
  <si>
    <t>SYN-CLM-0528</t>
  </si>
  <si>
    <t>Synthetic Claimant 0528</t>
  </si>
  <si>
    <t>SYN-CLM-0529</t>
  </si>
  <si>
    <t>Synthetic Claimant 0529</t>
  </si>
  <si>
    <t>SYN-CLM-0530</t>
  </si>
  <si>
    <t>Synthetic Claimant 0530</t>
  </si>
  <si>
    <t>SYN-CLM-0531</t>
  </si>
  <si>
    <t>Synthetic Claimant 0531</t>
  </si>
  <si>
    <t>Denied Treatment Requests; Non-Renewed Account; MMI Date Reported</t>
  </si>
  <si>
    <t>SYN-CLM-0532</t>
  </si>
  <si>
    <t>Synthetic Claimant 0532</t>
  </si>
  <si>
    <t>SYN-CLM-0533</t>
  </si>
  <si>
    <t>Synthetic Claimant 0533</t>
  </si>
  <si>
    <t>SYN-CLM-0534</t>
  </si>
  <si>
    <t>Synthetic Claimant 0534</t>
  </si>
  <si>
    <t>SYN-CLM-0535</t>
  </si>
  <si>
    <t>Synthetic Claimant 0535</t>
  </si>
  <si>
    <t>SYN-CLM-0536</t>
  </si>
  <si>
    <t>Synthetic Claimant 0536</t>
  </si>
  <si>
    <t>SYN-CLM-0537</t>
  </si>
  <si>
    <t>Synthetic Claimant 0537</t>
  </si>
  <si>
    <t>SYN-CLM-0538</t>
  </si>
  <si>
    <t>Synthetic Claimant 0538</t>
  </si>
  <si>
    <t>Denied Treatment Requests; MSA Eligible in Next 3 Years; MMI Date Reported</t>
  </si>
  <si>
    <t>SYN-CLM-0539</t>
  </si>
  <si>
    <t>Synthetic Claimant 0539</t>
  </si>
  <si>
    <t>SYN-CLM-0540</t>
  </si>
  <si>
    <t>Synthetic Claimant 0540</t>
  </si>
  <si>
    <t>SYN-CLM-0541</t>
  </si>
  <si>
    <t>Synthetic Claimant 0541</t>
  </si>
  <si>
    <t>SYN-CLM-0542</t>
  </si>
  <si>
    <t>Synthetic Claimant 0542</t>
  </si>
  <si>
    <t>SYN-CLM-0543</t>
  </si>
  <si>
    <t>Synthetic Claimant 0543</t>
  </si>
  <si>
    <t>MMI Date Reported; Surgery Requested; Non-Renewed Account</t>
  </si>
  <si>
    <t>SYN-CLM-0544</t>
  </si>
  <si>
    <t>Synthetic Claimant 0544</t>
  </si>
  <si>
    <t>SYN-CLM-0545</t>
  </si>
  <si>
    <t>Synthetic Claimant 0545</t>
  </si>
  <si>
    <t>SYN-CLM-0546</t>
  </si>
  <si>
    <t>Synthetic Claimant 0546</t>
  </si>
  <si>
    <t>SYN-CLM-0547</t>
  </si>
  <si>
    <t>Synthetic Claimant 0547</t>
  </si>
  <si>
    <t>Denied Treatment Requests; Surgery Requested; Non-Renewed Account</t>
  </si>
  <si>
    <t>SYN-CLM-0548</t>
  </si>
  <si>
    <t>Synthetic Claimant 0548</t>
  </si>
  <si>
    <t>SYN-CLM-0549</t>
  </si>
  <si>
    <t>Synthetic Claimant 0549</t>
  </si>
  <si>
    <t>SYN-CLM-0550</t>
  </si>
  <si>
    <t>Synthetic Claimant 0550</t>
  </si>
  <si>
    <t>SYN-CLM-0551</t>
  </si>
  <si>
    <t>Synthetic Claimant 0551</t>
  </si>
  <si>
    <t>SYN-CLM-0552</t>
  </si>
  <si>
    <t>Synthetic Claimant 0552</t>
  </si>
  <si>
    <t>SYN-CLM-0553</t>
  </si>
  <si>
    <t>Synthetic Claimant 0553</t>
  </si>
  <si>
    <t>SYN-CLM-0554</t>
  </si>
  <si>
    <t>Synthetic Claimant 0554</t>
  </si>
  <si>
    <t>MSA Eligible in Next 3 Years; MMI Date Reported; Non-Renewed Account</t>
  </si>
  <si>
    <t>SYN-CLM-0555</t>
  </si>
  <si>
    <t>Synthetic Claimant 0555</t>
  </si>
  <si>
    <t>Synthetic Policyholder 020, LLC</t>
  </si>
  <si>
    <t>SYN-CLM-0556</t>
  </si>
  <si>
    <t>Synthetic Claimant 0556</t>
  </si>
  <si>
    <t>SYN-CLM-0557</t>
  </si>
  <si>
    <t>Synthetic Claimant 0557</t>
  </si>
  <si>
    <t>SYN-CLM-0558</t>
  </si>
  <si>
    <t>Synthetic Claimant 0558</t>
  </si>
  <si>
    <t>Denied Treatment Requests; Specialist Consultation Requested; MMI Date Reported</t>
  </si>
  <si>
    <t>SYN-CLM-0559</t>
  </si>
  <si>
    <t>Synthetic Claimant 0559</t>
  </si>
  <si>
    <t>MMI Date Reported; Specialist Consultation Requested; MSA Eligible in Next 3 Years</t>
  </si>
  <si>
    <t>SYN-CLM-0560</t>
  </si>
  <si>
    <t>Synthetic Claimant 0560</t>
  </si>
  <si>
    <t>SYNTHETIC CLAIMS OPPORTUNITY DASHBOARD</t>
  </si>
  <si>
    <t>Fictional reporting date: December 31, 2031 | Metrics are formula-linked to MASTER DATA.</t>
  </si>
  <si>
    <t>Total Claims</t>
  </si>
  <si>
    <t>5 Indicators</t>
  </si>
  <si>
    <t>4 Indicators</t>
  </si>
  <si>
    <t>3 Indicators</t>
  </si>
  <si>
    <t>2 Indicators</t>
  </si>
  <si>
    <t>1 Indicator</t>
  </si>
  <si>
    <t>Claims by Analyst</t>
  </si>
  <si>
    <t>Claims by Signal Level</t>
  </si>
  <si>
    <t>Claims by Indicator Type</t>
  </si>
  <si>
    <t>Claims by Source Report Count</t>
  </si>
  <si>
    <t>Claims</t>
  </si>
  <si>
    <t>Indicator</t>
  </si>
  <si>
    <t>Reports</t>
  </si>
  <si>
    <t>MAXIMUM MULTI-SIGNAL</t>
  </si>
  <si>
    <t>Settlement Authorization</t>
  </si>
  <si>
    <t>HIGH MULTI-SIGNAL</t>
  </si>
  <si>
    <t>Open Stipulation Without C&amp;R</t>
  </si>
  <si>
    <t>ELEVATED MULTI-SIGNAL</t>
  </si>
  <si>
    <t>Pending QME</t>
  </si>
  <si>
    <t>MULTI-SIGNAL</t>
  </si>
  <si>
    <t>Automated Claim Alert</t>
  </si>
  <si>
    <t>SINGLE-SIGNAL</t>
  </si>
  <si>
    <t>Inactive Customer</t>
  </si>
  <si>
    <t>SYNTHETIC DATA RECONCILIATION &amp; AUDIT CONTROLS</t>
  </si>
  <si>
    <t>Source Report</t>
  </si>
  <si>
    <t>Claims in Master</t>
  </si>
  <si>
    <t>Expected from Dashboard</t>
  </si>
  <si>
    <t>Difference</t>
  </si>
  <si>
    <t>Control Status</t>
  </si>
  <si>
    <t>Control Explanation</t>
  </si>
  <si>
    <t>Compares master source membership with dashboard summary.</t>
  </si>
  <si>
    <t>Reconciliation Check</t>
  </si>
  <si>
    <t>Calculated Result</t>
  </si>
  <si>
    <t>Expected Result</t>
  </si>
  <si>
    <t>Status</t>
  </si>
  <si>
    <t>Purpose</t>
  </si>
  <si>
    <t>Master row count</t>
  </si>
  <si>
    <t>Headline total agrees with source.</t>
  </si>
  <si>
    <t>Unique synthetic claim IDs</t>
  </si>
  <si>
    <t>One row per claim ID.</t>
  </si>
  <si>
    <t>Indicator distribution total</t>
  </si>
  <si>
    <t>All records assigned to exactly one group.</t>
  </si>
  <si>
    <t>Analyst view record total</t>
  </si>
  <si>
    <t>All analyst views cover the master dataset.</t>
  </si>
  <si>
    <t>Source Report Membership</t>
  </si>
  <si>
    <t>Claim Count</t>
  </si>
  <si>
    <t>Claims appearing on 1 report</t>
  </si>
  <si>
    <t>Claims appearing on 2 reports</t>
  </si>
  <si>
    <t>Claims appearing on 3 reports</t>
  </si>
  <si>
    <t>Claims appearing on 4 reports</t>
  </si>
  <si>
    <t>Claims appearing on 5 reports</t>
  </si>
  <si>
    <t>Claims appearing on 2+ reports</t>
  </si>
  <si>
    <t>Analyst View</t>
  </si>
  <si>
    <t>Record Count</t>
  </si>
  <si>
    <t xml:space="preserve">For each claim, an indicator is set to ‘Y’ when the claim appears on the corresponding synthetic source report: settlement authorization, open stipulation without C&amp;R, pending QME, automated claim alert, or inactive customer.
    ”
</t>
  </si>
  <si>
    <t>Opportunity Signal Level is determined solely by active-indicator count: one indicator is classified as Single-Signal, two as Multi-Signal, three as Elevated Multi-Signal, four as High Multi-Signal, and five as Maximum Multi-Signal.</t>
  </si>
  <si>
    <t>Consolidated 560 synthetic claims across five source-report categories and 12 analyst views. Developed formula-driven classifications, three dashboard visualizations, linked record-level views, and independent audit controls that verified unique claim IDs, source-report totals, indicator distributions, and complete analyst-level coverage with zero unexplained differences.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</si>
</sst>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\$#,##0;[Red]&quot;($&quot;#,##0\);\-"/>
  </numFmts>
  <fonts count="6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b/>
      <sz val="11"/>
      <color rgb="FFFFFFFF"/>
      <name val="Cambria"/>
      <charset val="1"/>
    </font>
    <font>
      <i/>
      <sz val="11"/>
      <color rgb="FF666666"/>
      <name val="Cambria"/>
      <charset val="1"/>
    </font>
    <font>
      <b/>
      <sz val="16"/>
      <color rgb="FF17365D"/>
      <name val="Cambria"/>
      <charset val="1"/>
    </font>
    <font>
      <b/>
      <sz val="18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4472C4"/>
        <bgColor rgb="FF4F81BD"/>
      </patternFill>
    </fill>
    <fill>
      <patternFill patternType="solid">
        <fgColor rgb="FFF2F2F2"/>
        <bgColor rgb="FFE2F0D9"/>
      </patternFill>
    </fill>
    <fill>
      <patternFill patternType="solid">
        <fgColor rgb="FFDDEBF7"/>
        <bgColor rgb="FFE2F0D9"/>
      </patternFill>
    </fill>
    <fill>
      <patternFill patternType="solid">
        <fgColor theme="3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/>
    </xf>
    <xf numFmtId="0" fontId="2" fillId="2" borderId="0" xfId="0" applyFont="1" applyFill="1"/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6" borderId="0" xfId="0" applyFont="1" applyFill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360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4CCCC"/>
        </patternFill>
      </fill>
    </dxf>
    <dxf>
      <fill>
        <patternFill>
          <bgColor rgb="FFF4B183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2" tint="-9.9948118533890809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4F81BD"/>
          <bgColor theme="3"/>
        </patternFill>
      </fill>
    </dxf>
    <dxf>
      <fill>
        <patternFill patternType="solid">
          <fgColor rgb="FF4F81BD"/>
          <bgColor theme="3"/>
        </patternFill>
      </fill>
    </dxf>
    <dxf>
      <fill>
        <patternFill patternType="solid">
          <fgColor rgb="FF4F81BD"/>
          <bgColor theme="3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CE4D6"/>
      <rgbColor rgb="FF99CCFF"/>
      <rgbColor rgb="FFF4B183"/>
      <rgbColor rgb="FFCC99FF"/>
      <rgbColor rgb="FFF4CCCC"/>
      <rgbColor rgb="FF4472C4"/>
      <rgbColor rgb="FF4BACC6"/>
      <rgbColor rgb="FF9BBB59"/>
      <rgbColor rgb="FFFFCC00"/>
      <rgbColor rgb="FFFF9900"/>
      <rgbColor rgb="FFFF6600"/>
      <rgbColor rgb="FF8064A2"/>
      <rgbColor rgb="FF969696"/>
      <rgbColor rgb="FF17365D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MasterClaimsTable" displayName="MasterClaimsTable" ref="A1:AC561" totalsRowShown="0" headerRowDxfId="308">
  <autoFilter ref="A1:AC561" xr:uid="{00000000-0009-0000-0100-00000D000000}"/>
  <tableColumns count="29">
    <tableColumn id="1" xr3:uid="{00000000-0010-0000-0000-000001000000}" name="Synthetic Claim ID"/>
    <tableColumn id="2" xr3:uid="{00000000-0010-0000-0000-000002000000}" name="Synthetic Claimant"/>
    <tableColumn id="3" xr3:uid="{00000000-0010-0000-0000-000003000000}" name="Claims Analyst"/>
    <tableColumn id="4" xr3:uid="{00000000-0010-0000-0000-000004000000}" name="Synthetic Policyholder"/>
    <tableColumn id="5" xr3:uid="{00000000-0010-0000-0000-000005000000}" name="Date of Injury" dataDxfId="359"/>
    <tableColumn id="6" xr3:uid="{00000000-0010-0000-0000-000006000000}" name="Settlement Authorization (Y/N)" dataDxfId="358"/>
    <tableColumn id="7" xr3:uid="{00000000-0010-0000-0000-000007000000}" name="Authorized Amount" dataDxfId="357"/>
    <tableColumn id="8" xr3:uid="{00000000-0010-0000-0000-000008000000}" name="Authorized By" dataDxfId="356"/>
    <tableColumn id="9" xr3:uid="{00000000-0010-0000-0000-000009000000}" name="Authorization Date" dataDxfId="355"/>
    <tableColumn id="10" xr3:uid="{00000000-0010-0000-0000-00000A000000}" name="Open Stipulation Without C&amp;R (Y/N)" dataDxfId="354"/>
    <tableColumn id="11" xr3:uid="{00000000-0010-0000-0000-00000B000000}" name="First Stipulation Date" dataDxfId="353"/>
    <tableColumn id="12" xr3:uid="{00000000-0010-0000-0000-00000C000000}" name="Litigated (Y/N)" dataDxfId="352"/>
    <tableColumn id="13" xr3:uid="{00000000-0010-0000-0000-00000D000000}" name="Pending QME (Y/N)" dataDxfId="351"/>
    <tableColumn id="14" xr3:uid="{00000000-0010-0000-0000-00000E000000}" name="QME Date" dataDxfId="350"/>
    <tableColumn id="15" xr3:uid="{00000000-0010-0000-0000-00000F000000}" name="QME Evaluator" dataDxfId="349"/>
    <tableColumn id="16" xr3:uid="{00000000-0010-0000-0000-000010000000}" name="Automated Claim Alert (Y/N)" dataDxfId="348"/>
    <tableColumn id="17" xr3:uid="{00000000-0010-0000-0000-000011000000}" name="Current Automated Alert(s)" dataDxfId="347"/>
    <tableColumn id="18" xr3:uid="{00000000-0010-0000-0000-000012000000}" name="Previous Automated Alert(s)" dataDxfId="346"/>
    <tableColumn id="19" xr3:uid="{00000000-0010-0000-0000-000013000000}" name="Inactive Customer (Y/N)" dataDxfId="345"/>
    <tableColumn id="20" xr3:uid="{00000000-0010-0000-0000-000014000000}" name="Policy Expiration Date" dataDxfId="344"/>
    <tableColumn id="21" xr3:uid="{00000000-0010-0000-0000-000015000000}" name="Alert Contains Surgery Request (Y/N)" dataDxfId="343"/>
    <tableColumn id="22" xr3:uid="{00000000-0010-0000-0000-000016000000}" name="Alert Contains MMI (Y/N)" dataDxfId="342"/>
    <tableColumn id="23" xr3:uid="{00000000-0010-0000-0000-000017000000}" name="Alert Contains Denied Treatment (Y/N)" dataDxfId="341"/>
    <tableColumn id="24" xr3:uid="{00000000-0010-0000-0000-000018000000}" name="Alert Contains Specialist Consultation (Y/N)" dataDxfId="340"/>
    <tableColumn id="25" xr3:uid="{00000000-0010-0000-0000-000019000000}" name="Alert Contains Non-Renewed Account (Y/N)" dataDxfId="339"/>
    <tableColumn id="26" xr3:uid="{00000000-0010-0000-0000-00001A000000}" name="Alert Contains MSA Eligibility (Y/N)" dataDxfId="338"/>
    <tableColumn id="27" xr3:uid="{00000000-0010-0000-0000-00001B000000}" name="Active Opportunity Indicators" dataDxfId="337"/>
    <tableColumn id="28" xr3:uid="{00000000-0010-0000-0000-00001C000000}" name="Opportunity Signal Level" dataDxfId="336"/>
    <tableColumn id="29" xr3:uid="{00000000-0010-0000-0000-00001D000000}" name="Reports Appearing On" dataDxfId="3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nalystAView" displayName="AnalystAView" ref="A1:AC43" totalsRowShown="0" headerRowDxfId="309">
  <autoFilter ref="A1:AC43" xr:uid="{00000000-0009-0000-0100-000001000000}"/>
  <tableColumns count="29">
    <tableColumn id="1" xr3:uid="{00000000-0010-0000-0100-000001000000}" name="Synthetic Claim ID"/>
    <tableColumn id="2" xr3:uid="{00000000-0010-0000-0100-000002000000}" name="Synthetic Claimant"/>
    <tableColumn id="3" xr3:uid="{00000000-0010-0000-0100-000003000000}" name="Claims Analyst"/>
    <tableColumn id="4" xr3:uid="{00000000-0010-0000-0100-000004000000}" name="Synthetic Policyholder"/>
    <tableColumn id="5" xr3:uid="{00000000-0010-0000-0100-000005000000}" name="Date of Injury" dataDxfId="334"/>
    <tableColumn id="6" xr3:uid="{00000000-0010-0000-0100-000006000000}" name="Settlement Authorization (Y/N)" dataDxfId="333"/>
    <tableColumn id="7" xr3:uid="{00000000-0010-0000-0100-000007000000}" name="Authorized Amount" dataDxfId="332"/>
    <tableColumn id="8" xr3:uid="{00000000-0010-0000-0100-000008000000}" name="Authorized By" dataDxfId="331"/>
    <tableColumn id="9" xr3:uid="{00000000-0010-0000-0100-000009000000}" name="Authorization Date" dataDxfId="330"/>
    <tableColumn id="10" xr3:uid="{00000000-0010-0000-0100-00000A000000}" name="Open Stipulation Without C&amp;R (Y/N)" dataDxfId="329"/>
    <tableColumn id="11" xr3:uid="{00000000-0010-0000-0100-00000B000000}" name="First Stipulation Date" dataDxfId="328"/>
    <tableColumn id="12" xr3:uid="{00000000-0010-0000-0100-00000C000000}" name="Litigated (Y/N)" dataDxfId="327"/>
    <tableColumn id="13" xr3:uid="{00000000-0010-0000-0100-00000D000000}" name="Pending QME (Y/N)" dataDxfId="326"/>
    <tableColumn id="14" xr3:uid="{00000000-0010-0000-0100-00000E000000}" name="QME Date" dataDxfId="325"/>
    <tableColumn id="15" xr3:uid="{00000000-0010-0000-0100-00000F000000}" name="QME Evaluator" dataDxfId="324"/>
    <tableColumn id="16" xr3:uid="{00000000-0010-0000-0100-000010000000}" name="Automated Claim Alert (Y/N)" dataDxfId="323"/>
    <tableColumn id="17" xr3:uid="{00000000-0010-0000-0100-000011000000}" name="Current Automated Alert(s)" dataDxfId="322"/>
    <tableColumn id="18" xr3:uid="{00000000-0010-0000-0100-000012000000}" name="Previous Automated Alert(s)" dataDxfId="321"/>
    <tableColumn id="19" xr3:uid="{00000000-0010-0000-0100-000013000000}" name="Inactive Customer (Y/N)" dataDxfId="320"/>
    <tableColumn id="20" xr3:uid="{00000000-0010-0000-0100-000014000000}" name="Policy Expiration Date" dataDxfId="319"/>
    <tableColumn id="21" xr3:uid="{00000000-0010-0000-0100-000015000000}" name="Alert Contains Surgery Request (Y/N)" dataDxfId="318"/>
    <tableColumn id="22" xr3:uid="{00000000-0010-0000-0100-000016000000}" name="Alert Contains MMI (Y/N)" dataDxfId="317"/>
    <tableColumn id="23" xr3:uid="{00000000-0010-0000-0100-000017000000}" name="Alert Contains Denied Treatment (Y/N)" dataDxfId="316"/>
    <tableColumn id="24" xr3:uid="{00000000-0010-0000-0100-000018000000}" name="Alert Contains Specialist Consultation (Y/N)" dataDxfId="315"/>
    <tableColumn id="25" xr3:uid="{00000000-0010-0000-0100-000019000000}" name="Alert Contains Non-Renewed Account (Y/N)" dataDxfId="314"/>
    <tableColumn id="26" xr3:uid="{00000000-0010-0000-0100-00001A000000}" name="Alert Contains MSA Eligibility (Y/N)" dataDxfId="313"/>
    <tableColumn id="27" xr3:uid="{00000000-0010-0000-0100-00001B000000}" name="Active Opportunity Indicators" dataDxfId="312"/>
    <tableColumn id="28" xr3:uid="{00000000-0010-0000-0100-00001C000000}" name="Opportunity Signal Level" dataDxfId="311"/>
    <tableColumn id="29" xr3:uid="{00000000-0010-0000-0100-00001D000000}" name="Reports Appearing On" dataDxfId="3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nalystBView" displayName="AnalystBView" ref="A1:AC42" totalsRowShown="0" headerRowDxfId="307">
  <autoFilter ref="A1:AC42" xr:uid="{00000000-0009-0000-0100-000002000000}"/>
  <tableColumns count="29">
    <tableColumn id="1" xr3:uid="{00000000-0010-0000-0200-000001000000}" name="Synthetic Claim ID"/>
    <tableColumn id="2" xr3:uid="{00000000-0010-0000-0200-000002000000}" name="Synthetic Claimant"/>
    <tableColumn id="3" xr3:uid="{00000000-0010-0000-0200-000003000000}" name="Claims Analyst"/>
    <tableColumn id="4" xr3:uid="{00000000-0010-0000-0200-000004000000}" name="Synthetic Policyholder"/>
    <tableColumn id="5" xr3:uid="{00000000-0010-0000-0200-000005000000}" name="Date of Injury" dataDxfId="306"/>
    <tableColumn id="6" xr3:uid="{00000000-0010-0000-0200-000006000000}" name="Settlement Authorization (Y/N)" dataDxfId="305"/>
    <tableColumn id="7" xr3:uid="{00000000-0010-0000-0200-000007000000}" name="Authorized Amount" dataDxfId="304"/>
    <tableColumn id="8" xr3:uid="{00000000-0010-0000-0200-000008000000}" name="Authorized By" dataDxfId="303"/>
    <tableColumn id="9" xr3:uid="{00000000-0010-0000-0200-000009000000}" name="Authorization Date" dataDxfId="302"/>
    <tableColumn id="10" xr3:uid="{00000000-0010-0000-0200-00000A000000}" name="Open Stipulation Without C&amp;R (Y/N)" dataDxfId="301"/>
    <tableColumn id="11" xr3:uid="{00000000-0010-0000-0200-00000B000000}" name="First Stipulation Date" dataDxfId="300"/>
    <tableColumn id="12" xr3:uid="{00000000-0010-0000-0200-00000C000000}" name="Litigated (Y/N)" dataDxfId="299"/>
    <tableColumn id="13" xr3:uid="{00000000-0010-0000-0200-00000D000000}" name="Pending QME (Y/N)" dataDxfId="298"/>
    <tableColumn id="14" xr3:uid="{00000000-0010-0000-0200-00000E000000}" name="QME Date" dataDxfId="297"/>
    <tableColumn id="15" xr3:uid="{00000000-0010-0000-0200-00000F000000}" name="QME Evaluator" dataDxfId="296"/>
    <tableColumn id="16" xr3:uid="{00000000-0010-0000-0200-000010000000}" name="Automated Claim Alert (Y/N)" dataDxfId="295"/>
    <tableColumn id="17" xr3:uid="{00000000-0010-0000-0200-000011000000}" name="Current Automated Alert(s)" dataDxfId="294"/>
    <tableColumn id="18" xr3:uid="{00000000-0010-0000-0200-000012000000}" name="Previous Automated Alert(s)" dataDxfId="293"/>
    <tableColumn id="19" xr3:uid="{00000000-0010-0000-0200-000013000000}" name="Inactive Customer (Y/N)" dataDxfId="292"/>
    <tableColumn id="20" xr3:uid="{00000000-0010-0000-0200-000014000000}" name="Policy Expiration Date" dataDxfId="291"/>
    <tableColumn id="21" xr3:uid="{00000000-0010-0000-0200-000015000000}" name="Alert Contains Surgery Request (Y/N)" dataDxfId="290"/>
    <tableColumn id="22" xr3:uid="{00000000-0010-0000-0200-000016000000}" name="Alert Contains MMI (Y/N)" dataDxfId="289"/>
    <tableColumn id="23" xr3:uid="{00000000-0010-0000-0200-000017000000}" name="Alert Contains Denied Treatment (Y/N)" dataDxfId="288"/>
    <tableColumn id="24" xr3:uid="{00000000-0010-0000-0200-000018000000}" name="Alert Contains Specialist Consultation (Y/N)" dataDxfId="287"/>
    <tableColumn id="25" xr3:uid="{00000000-0010-0000-0200-000019000000}" name="Alert Contains Non-Renewed Account (Y/N)" dataDxfId="286"/>
    <tableColumn id="26" xr3:uid="{00000000-0010-0000-0200-00001A000000}" name="Alert Contains MSA Eligibility (Y/N)" dataDxfId="285"/>
    <tableColumn id="27" xr3:uid="{00000000-0010-0000-0200-00001B000000}" name="Active Opportunity Indicators" dataDxfId="284"/>
    <tableColumn id="28" xr3:uid="{00000000-0010-0000-0200-00001C000000}" name="Opportunity Signal Level" dataDxfId="283"/>
    <tableColumn id="29" xr3:uid="{00000000-0010-0000-0200-00001D000000}" name="Reports Appearing On" dataDxfId="28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AnalystCView" displayName="AnalystCView" ref="A1:AC56" totalsRowShown="0" headerRowDxfId="256">
  <autoFilter ref="A1:AC56" xr:uid="{00000000-0009-0000-0100-000003000000}"/>
  <tableColumns count="29">
    <tableColumn id="1" xr3:uid="{00000000-0010-0000-0300-000001000000}" name="Synthetic Claim ID"/>
    <tableColumn id="2" xr3:uid="{00000000-0010-0000-0300-000002000000}" name="Synthetic Claimant"/>
    <tableColumn id="3" xr3:uid="{00000000-0010-0000-0300-000003000000}" name="Claims Analyst"/>
    <tableColumn id="4" xr3:uid="{00000000-0010-0000-0300-000004000000}" name="Synthetic Policyholder"/>
    <tableColumn id="5" xr3:uid="{00000000-0010-0000-0300-000005000000}" name="Date of Injury" dataDxfId="281"/>
    <tableColumn id="6" xr3:uid="{00000000-0010-0000-0300-000006000000}" name="Settlement Authorization (Y/N)" dataDxfId="280"/>
    <tableColumn id="7" xr3:uid="{00000000-0010-0000-0300-000007000000}" name="Authorized Amount" dataDxfId="279"/>
    <tableColumn id="8" xr3:uid="{00000000-0010-0000-0300-000008000000}" name="Authorized By" dataDxfId="278"/>
    <tableColumn id="9" xr3:uid="{00000000-0010-0000-0300-000009000000}" name="Authorization Date" dataDxfId="277"/>
    <tableColumn id="10" xr3:uid="{00000000-0010-0000-0300-00000A000000}" name="Open Stipulation Without C&amp;R (Y/N)" dataDxfId="276"/>
    <tableColumn id="11" xr3:uid="{00000000-0010-0000-0300-00000B000000}" name="First Stipulation Date" dataDxfId="275"/>
    <tableColumn id="12" xr3:uid="{00000000-0010-0000-0300-00000C000000}" name="Litigated (Y/N)" dataDxfId="274"/>
    <tableColumn id="13" xr3:uid="{00000000-0010-0000-0300-00000D000000}" name="Pending QME (Y/N)" dataDxfId="273"/>
    <tableColumn id="14" xr3:uid="{00000000-0010-0000-0300-00000E000000}" name="QME Date" dataDxfId="272"/>
    <tableColumn id="15" xr3:uid="{00000000-0010-0000-0300-00000F000000}" name="QME Evaluator" dataDxfId="271"/>
    <tableColumn id="16" xr3:uid="{00000000-0010-0000-0300-000010000000}" name="Automated Claim Alert (Y/N)" dataDxfId="270"/>
    <tableColumn id="17" xr3:uid="{00000000-0010-0000-0300-000011000000}" name="Current Automated Alert(s)" dataDxfId="269"/>
    <tableColumn id="18" xr3:uid="{00000000-0010-0000-0300-000012000000}" name="Previous Automated Alert(s)" dataDxfId="268"/>
    <tableColumn id="19" xr3:uid="{00000000-0010-0000-0300-000013000000}" name="Inactive Customer (Y/N)" dataDxfId="267"/>
    <tableColumn id="20" xr3:uid="{00000000-0010-0000-0300-000014000000}" name="Policy Expiration Date" dataDxfId="266"/>
    <tableColumn id="21" xr3:uid="{00000000-0010-0000-0300-000015000000}" name="Alert Contains Surgery Request (Y/N)" dataDxfId="265"/>
    <tableColumn id="22" xr3:uid="{00000000-0010-0000-0300-000016000000}" name="Alert Contains MMI (Y/N)" dataDxfId="264"/>
    <tableColumn id="23" xr3:uid="{00000000-0010-0000-0300-000017000000}" name="Alert Contains Denied Treatment (Y/N)" dataDxfId="263"/>
    <tableColumn id="24" xr3:uid="{00000000-0010-0000-0300-000018000000}" name="Alert Contains Specialist Consultation (Y/N)" dataDxfId="262"/>
    <tableColumn id="25" xr3:uid="{00000000-0010-0000-0300-000019000000}" name="Alert Contains Non-Renewed Account (Y/N)" dataDxfId="261"/>
    <tableColumn id="26" xr3:uid="{00000000-0010-0000-0300-00001A000000}" name="Alert Contains MSA Eligibility (Y/N)" dataDxfId="260"/>
    <tableColumn id="27" xr3:uid="{00000000-0010-0000-0300-00001B000000}" name="Active Opportunity Indicators" dataDxfId="259"/>
    <tableColumn id="28" xr3:uid="{00000000-0010-0000-0300-00001C000000}" name="Opportunity Signal Level" dataDxfId="258"/>
    <tableColumn id="29" xr3:uid="{00000000-0010-0000-0300-00001D000000}" name="Reports Appearing On" dataDxfId="25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AnalystDView" displayName="AnalystDView" ref="A1:AC18" totalsRowShown="0" headerRowDxfId="255">
  <autoFilter ref="A1:AC18" xr:uid="{00000000-0009-0000-0100-000004000000}"/>
  <tableColumns count="29">
    <tableColumn id="1" xr3:uid="{00000000-0010-0000-0400-000001000000}" name="Synthetic Claim ID"/>
    <tableColumn id="2" xr3:uid="{00000000-0010-0000-0400-000002000000}" name="Synthetic Claimant"/>
    <tableColumn id="3" xr3:uid="{00000000-0010-0000-0400-000003000000}" name="Claims Analyst"/>
    <tableColumn id="4" xr3:uid="{00000000-0010-0000-0400-000004000000}" name="Synthetic Policyholder"/>
    <tableColumn id="5" xr3:uid="{00000000-0010-0000-0400-000005000000}" name="Date of Injury" dataDxfId="254"/>
    <tableColumn id="6" xr3:uid="{00000000-0010-0000-0400-000006000000}" name="Settlement Authorization (Y/N)" dataDxfId="253"/>
    <tableColumn id="7" xr3:uid="{00000000-0010-0000-0400-000007000000}" name="Authorized Amount" dataDxfId="252"/>
    <tableColumn id="8" xr3:uid="{00000000-0010-0000-0400-000008000000}" name="Authorized By" dataDxfId="251"/>
    <tableColumn id="9" xr3:uid="{00000000-0010-0000-0400-000009000000}" name="Authorization Date" dataDxfId="250"/>
    <tableColumn id="10" xr3:uid="{00000000-0010-0000-0400-00000A000000}" name="Open Stipulation Without C&amp;R (Y/N)" dataDxfId="249"/>
    <tableColumn id="11" xr3:uid="{00000000-0010-0000-0400-00000B000000}" name="First Stipulation Date" dataDxfId="248"/>
    <tableColumn id="12" xr3:uid="{00000000-0010-0000-0400-00000C000000}" name="Litigated (Y/N)" dataDxfId="247"/>
    <tableColumn id="13" xr3:uid="{00000000-0010-0000-0400-00000D000000}" name="Pending QME (Y/N)" dataDxfId="246"/>
    <tableColumn id="14" xr3:uid="{00000000-0010-0000-0400-00000E000000}" name="QME Date" dataDxfId="245"/>
    <tableColumn id="15" xr3:uid="{00000000-0010-0000-0400-00000F000000}" name="QME Evaluator" dataDxfId="244"/>
    <tableColumn id="16" xr3:uid="{00000000-0010-0000-0400-000010000000}" name="Automated Claim Alert (Y/N)" dataDxfId="243"/>
    <tableColumn id="17" xr3:uid="{00000000-0010-0000-0400-000011000000}" name="Current Automated Alert(s)" dataDxfId="242"/>
    <tableColumn id="18" xr3:uid="{00000000-0010-0000-0400-000012000000}" name="Previous Automated Alert(s)" dataDxfId="241"/>
    <tableColumn id="19" xr3:uid="{00000000-0010-0000-0400-000013000000}" name="Inactive Customer (Y/N)" dataDxfId="240"/>
    <tableColumn id="20" xr3:uid="{00000000-0010-0000-0400-000014000000}" name="Policy Expiration Date" dataDxfId="239"/>
    <tableColumn id="21" xr3:uid="{00000000-0010-0000-0400-000015000000}" name="Alert Contains Surgery Request (Y/N)" dataDxfId="238"/>
    <tableColumn id="22" xr3:uid="{00000000-0010-0000-0400-000016000000}" name="Alert Contains MMI (Y/N)" dataDxfId="237"/>
    <tableColumn id="23" xr3:uid="{00000000-0010-0000-0400-000017000000}" name="Alert Contains Denied Treatment (Y/N)" dataDxfId="236"/>
    <tableColumn id="24" xr3:uid="{00000000-0010-0000-0400-000018000000}" name="Alert Contains Specialist Consultation (Y/N)" dataDxfId="235"/>
    <tableColumn id="25" xr3:uid="{00000000-0010-0000-0400-000019000000}" name="Alert Contains Non-Renewed Account (Y/N)" dataDxfId="234"/>
    <tableColumn id="26" xr3:uid="{00000000-0010-0000-0400-00001A000000}" name="Alert Contains MSA Eligibility (Y/N)" dataDxfId="233"/>
    <tableColumn id="27" xr3:uid="{00000000-0010-0000-0400-00001B000000}" name="Active Opportunity Indicators" dataDxfId="232"/>
    <tableColumn id="28" xr3:uid="{00000000-0010-0000-0400-00001C000000}" name="Opportunity Signal Level" dataDxfId="231"/>
    <tableColumn id="29" xr3:uid="{00000000-0010-0000-0400-00001D000000}" name="Reports Appearing On" dataDxfId="2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AnalystEView" displayName="AnalystEView" ref="A1:AC37" totalsRowShown="0" headerRowDxfId="229">
  <autoFilter ref="A1:AC37" xr:uid="{00000000-0009-0000-0100-000005000000}"/>
  <tableColumns count="29">
    <tableColumn id="1" xr3:uid="{00000000-0010-0000-0500-000001000000}" name="Synthetic Claim ID"/>
    <tableColumn id="2" xr3:uid="{00000000-0010-0000-0500-000002000000}" name="Synthetic Claimant"/>
    <tableColumn id="3" xr3:uid="{00000000-0010-0000-0500-000003000000}" name="Claims Analyst"/>
    <tableColumn id="4" xr3:uid="{00000000-0010-0000-0500-000004000000}" name="Synthetic Policyholder"/>
    <tableColumn id="5" xr3:uid="{00000000-0010-0000-0500-000005000000}" name="Date of Injury" dataDxfId="228"/>
    <tableColumn id="6" xr3:uid="{00000000-0010-0000-0500-000006000000}" name="Settlement Authorization (Y/N)" dataDxfId="227"/>
    <tableColumn id="7" xr3:uid="{00000000-0010-0000-0500-000007000000}" name="Authorized Amount" dataDxfId="226"/>
    <tableColumn id="8" xr3:uid="{00000000-0010-0000-0500-000008000000}" name="Authorized By" dataDxfId="225"/>
    <tableColumn id="9" xr3:uid="{00000000-0010-0000-0500-000009000000}" name="Authorization Date" dataDxfId="224"/>
    <tableColumn id="10" xr3:uid="{00000000-0010-0000-0500-00000A000000}" name="Open Stipulation Without C&amp;R (Y/N)" dataDxfId="223"/>
    <tableColumn id="11" xr3:uid="{00000000-0010-0000-0500-00000B000000}" name="First Stipulation Date" dataDxfId="222"/>
    <tableColumn id="12" xr3:uid="{00000000-0010-0000-0500-00000C000000}" name="Litigated (Y/N)" dataDxfId="221"/>
    <tableColumn id="13" xr3:uid="{00000000-0010-0000-0500-00000D000000}" name="Pending QME (Y/N)" dataDxfId="220"/>
    <tableColumn id="14" xr3:uid="{00000000-0010-0000-0500-00000E000000}" name="QME Date" dataDxfId="219"/>
    <tableColumn id="15" xr3:uid="{00000000-0010-0000-0500-00000F000000}" name="QME Evaluator" dataDxfId="218"/>
    <tableColumn id="16" xr3:uid="{00000000-0010-0000-0500-000010000000}" name="Automated Claim Alert (Y/N)" dataDxfId="217"/>
    <tableColumn id="17" xr3:uid="{00000000-0010-0000-0500-000011000000}" name="Current Automated Alert(s)" dataDxfId="216"/>
    <tableColumn id="18" xr3:uid="{00000000-0010-0000-0500-000012000000}" name="Previous Automated Alert(s)" dataDxfId="215"/>
    <tableColumn id="19" xr3:uid="{00000000-0010-0000-0500-000013000000}" name="Inactive Customer (Y/N)" dataDxfId="214"/>
    <tableColumn id="20" xr3:uid="{00000000-0010-0000-0500-000014000000}" name="Policy Expiration Date" dataDxfId="213"/>
    <tableColumn id="21" xr3:uid="{00000000-0010-0000-0500-000015000000}" name="Alert Contains Surgery Request (Y/N)" dataDxfId="212"/>
    <tableColumn id="22" xr3:uid="{00000000-0010-0000-0500-000016000000}" name="Alert Contains MMI (Y/N)" dataDxfId="211"/>
    <tableColumn id="23" xr3:uid="{00000000-0010-0000-0500-000017000000}" name="Alert Contains Denied Treatment (Y/N)" dataDxfId="210"/>
    <tableColumn id="24" xr3:uid="{00000000-0010-0000-0500-000018000000}" name="Alert Contains Specialist Consultation (Y/N)" dataDxfId="209"/>
    <tableColumn id="25" xr3:uid="{00000000-0010-0000-0500-000019000000}" name="Alert Contains Non-Renewed Account (Y/N)" dataDxfId="208"/>
    <tableColumn id="26" xr3:uid="{00000000-0010-0000-0500-00001A000000}" name="Alert Contains MSA Eligibility (Y/N)" dataDxfId="207"/>
    <tableColumn id="27" xr3:uid="{00000000-0010-0000-0500-00001B000000}" name="Active Opportunity Indicators" dataDxfId="206"/>
    <tableColumn id="28" xr3:uid="{00000000-0010-0000-0500-00001C000000}" name="Opportunity Signal Level" dataDxfId="205"/>
    <tableColumn id="29" xr3:uid="{00000000-0010-0000-0500-00001D000000}" name="Reports Appearing On" dataDxfId="20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AnalystFView" displayName="AnalystFView" ref="A1:AC49" totalsRowShown="0" headerRowDxfId="203">
  <autoFilter ref="A1:AC49" xr:uid="{00000000-0009-0000-0100-000006000000}"/>
  <tableColumns count="29">
    <tableColumn id="1" xr3:uid="{00000000-0010-0000-0600-000001000000}" name="Synthetic Claim ID"/>
    <tableColumn id="2" xr3:uid="{00000000-0010-0000-0600-000002000000}" name="Synthetic Claimant"/>
    <tableColumn id="3" xr3:uid="{00000000-0010-0000-0600-000003000000}" name="Claims Analyst"/>
    <tableColumn id="4" xr3:uid="{00000000-0010-0000-0600-000004000000}" name="Synthetic Policyholder"/>
    <tableColumn id="5" xr3:uid="{00000000-0010-0000-0600-000005000000}" name="Date of Injury" dataDxfId="202"/>
    <tableColumn id="6" xr3:uid="{00000000-0010-0000-0600-000006000000}" name="Settlement Authorization (Y/N)" dataDxfId="201"/>
    <tableColumn id="7" xr3:uid="{00000000-0010-0000-0600-000007000000}" name="Authorized Amount" dataDxfId="200"/>
    <tableColumn id="8" xr3:uid="{00000000-0010-0000-0600-000008000000}" name="Authorized By" dataDxfId="199"/>
    <tableColumn id="9" xr3:uid="{00000000-0010-0000-0600-000009000000}" name="Authorization Date" dataDxfId="198"/>
    <tableColumn id="10" xr3:uid="{00000000-0010-0000-0600-00000A000000}" name="Open Stipulation Without C&amp;R (Y/N)" dataDxfId="197"/>
    <tableColumn id="11" xr3:uid="{00000000-0010-0000-0600-00000B000000}" name="First Stipulation Date" dataDxfId="196"/>
    <tableColumn id="12" xr3:uid="{00000000-0010-0000-0600-00000C000000}" name="Litigated (Y/N)" dataDxfId="195"/>
    <tableColumn id="13" xr3:uid="{00000000-0010-0000-0600-00000D000000}" name="Pending QME (Y/N)" dataDxfId="194"/>
    <tableColumn id="14" xr3:uid="{00000000-0010-0000-0600-00000E000000}" name="QME Date" dataDxfId="193"/>
    <tableColumn id="15" xr3:uid="{00000000-0010-0000-0600-00000F000000}" name="QME Evaluator" dataDxfId="192"/>
    <tableColumn id="16" xr3:uid="{00000000-0010-0000-0600-000010000000}" name="Automated Claim Alert (Y/N)" dataDxfId="191"/>
    <tableColumn id="17" xr3:uid="{00000000-0010-0000-0600-000011000000}" name="Current Automated Alert(s)" dataDxfId="190"/>
    <tableColumn id="18" xr3:uid="{00000000-0010-0000-0600-000012000000}" name="Previous Automated Alert(s)" dataDxfId="189"/>
    <tableColumn id="19" xr3:uid="{00000000-0010-0000-0600-000013000000}" name="Inactive Customer (Y/N)" dataDxfId="188"/>
    <tableColumn id="20" xr3:uid="{00000000-0010-0000-0600-000014000000}" name="Policy Expiration Date" dataDxfId="187"/>
    <tableColumn id="21" xr3:uid="{00000000-0010-0000-0600-000015000000}" name="Alert Contains Surgery Request (Y/N)" dataDxfId="186"/>
    <tableColumn id="22" xr3:uid="{00000000-0010-0000-0600-000016000000}" name="Alert Contains MMI (Y/N)" dataDxfId="185"/>
    <tableColumn id="23" xr3:uid="{00000000-0010-0000-0600-000017000000}" name="Alert Contains Denied Treatment (Y/N)" dataDxfId="184"/>
    <tableColumn id="24" xr3:uid="{00000000-0010-0000-0600-000018000000}" name="Alert Contains Specialist Consultation (Y/N)" dataDxfId="183"/>
    <tableColumn id="25" xr3:uid="{00000000-0010-0000-0600-000019000000}" name="Alert Contains Non-Renewed Account (Y/N)" dataDxfId="182"/>
    <tableColumn id="26" xr3:uid="{00000000-0010-0000-0600-00001A000000}" name="Alert Contains MSA Eligibility (Y/N)" dataDxfId="181"/>
    <tableColumn id="27" xr3:uid="{00000000-0010-0000-0600-00001B000000}" name="Active Opportunity Indicators" dataDxfId="180"/>
    <tableColumn id="28" xr3:uid="{00000000-0010-0000-0600-00001C000000}" name="Opportunity Signal Level" dataDxfId="179"/>
    <tableColumn id="29" xr3:uid="{00000000-0010-0000-0600-00001D000000}" name="Reports Appearing On" dataDxfId="17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AnalystGView" displayName="AnalystGView" ref="A1:AC56" totalsRowShown="0" headerRowDxfId="151">
  <autoFilter ref="A1:AC56" xr:uid="{00000000-0009-0000-0100-000007000000}"/>
  <tableColumns count="29">
    <tableColumn id="1" xr3:uid="{00000000-0010-0000-0700-000001000000}" name="Synthetic Claim ID"/>
    <tableColumn id="2" xr3:uid="{00000000-0010-0000-0700-000002000000}" name="Synthetic Claimant"/>
    <tableColumn id="3" xr3:uid="{00000000-0010-0000-0700-000003000000}" name="Claims Analyst"/>
    <tableColumn id="4" xr3:uid="{00000000-0010-0000-0700-000004000000}" name="Synthetic Policyholder"/>
    <tableColumn id="5" xr3:uid="{00000000-0010-0000-0700-000005000000}" name="Date of Injury" dataDxfId="176"/>
    <tableColumn id="6" xr3:uid="{00000000-0010-0000-0700-000006000000}" name="Settlement Authorization (Y/N)" dataDxfId="175"/>
    <tableColumn id="7" xr3:uid="{00000000-0010-0000-0700-000007000000}" name="Authorized Amount" dataDxfId="174"/>
    <tableColumn id="8" xr3:uid="{00000000-0010-0000-0700-000008000000}" name="Authorized By" dataDxfId="173"/>
    <tableColumn id="9" xr3:uid="{00000000-0010-0000-0700-000009000000}" name="Authorization Date" dataDxfId="172"/>
    <tableColumn id="10" xr3:uid="{00000000-0010-0000-0700-00000A000000}" name="Open Stipulation Without C&amp;R (Y/N)" dataDxfId="171"/>
    <tableColumn id="11" xr3:uid="{00000000-0010-0000-0700-00000B000000}" name="First Stipulation Date" dataDxfId="170"/>
    <tableColumn id="12" xr3:uid="{00000000-0010-0000-0700-00000C000000}" name="Litigated (Y/N)" dataDxfId="169"/>
    <tableColumn id="13" xr3:uid="{00000000-0010-0000-0700-00000D000000}" name="Pending QME (Y/N)" dataDxfId="168"/>
    <tableColumn id="14" xr3:uid="{00000000-0010-0000-0700-00000E000000}" name="QME Date" dataDxfId="167"/>
    <tableColumn id="15" xr3:uid="{00000000-0010-0000-0700-00000F000000}" name="QME Evaluator" dataDxfId="166"/>
    <tableColumn id="16" xr3:uid="{00000000-0010-0000-0700-000010000000}" name="Automated Claim Alert (Y/N)" dataDxfId="165"/>
    <tableColumn id="17" xr3:uid="{00000000-0010-0000-0700-000011000000}" name="Current Automated Alert(s)" dataDxfId="164"/>
    <tableColumn id="18" xr3:uid="{00000000-0010-0000-0700-000012000000}" name="Previous Automated Alert(s)" dataDxfId="163"/>
    <tableColumn id="19" xr3:uid="{00000000-0010-0000-0700-000013000000}" name="Inactive Customer (Y/N)" dataDxfId="162"/>
    <tableColumn id="20" xr3:uid="{00000000-0010-0000-0700-000014000000}" name="Policy Expiration Date" dataDxfId="161"/>
    <tableColumn id="21" xr3:uid="{00000000-0010-0000-0700-000015000000}" name="Alert Contains Surgery Request (Y/N)" dataDxfId="160"/>
    <tableColumn id="22" xr3:uid="{00000000-0010-0000-0700-000016000000}" name="Alert Contains MMI (Y/N)" dataDxfId="159"/>
    <tableColumn id="23" xr3:uid="{00000000-0010-0000-0700-000017000000}" name="Alert Contains Denied Treatment (Y/N)" dataDxfId="158"/>
    <tableColumn id="24" xr3:uid="{00000000-0010-0000-0700-000018000000}" name="Alert Contains Specialist Consultation (Y/N)" dataDxfId="157"/>
    <tableColumn id="25" xr3:uid="{00000000-0010-0000-0700-000019000000}" name="Alert Contains Non-Renewed Account (Y/N)" dataDxfId="156"/>
    <tableColumn id="26" xr3:uid="{00000000-0010-0000-0700-00001A000000}" name="Alert Contains MSA Eligibility (Y/N)" dataDxfId="155"/>
    <tableColumn id="27" xr3:uid="{00000000-0010-0000-0700-00001B000000}" name="Active Opportunity Indicators" dataDxfId="154"/>
    <tableColumn id="28" xr3:uid="{00000000-0010-0000-0700-00001C000000}" name="Opportunity Signal Level" dataDxfId="153"/>
    <tableColumn id="29" xr3:uid="{00000000-0010-0000-0700-00001D000000}" name="Reports Appearing On" dataDxfId="15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AnalystHView" displayName="AnalystHView" ref="A1:AC24" totalsRowShown="0" headerRowDxfId="150">
  <autoFilter ref="A1:AC24" xr:uid="{00000000-0009-0000-0100-000008000000}"/>
  <tableColumns count="29">
    <tableColumn id="1" xr3:uid="{00000000-0010-0000-0800-000001000000}" name="Synthetic Claim ID"/>
    <tableColumn id="2" xr3:uid="{00000000-0010-0000-0800-000002000000}" name="Synthetic Claimant"/>
    <tableColumn id="3" xr3:uid="{00000000-0010-0000-0800-000003000000}" name="Claims Analyst"/>
    <tableColumn id="4" xr3:uid="{00000000-0010-0000-0800-000004000000}" name="Synthetic Policyholder"/>
    <tableColumn id="5" xr3:uid="{00000000-0010-0000-0800-000005000000}" name="Date of Injury" dataDxfId="149"/>
    <tableColumn id="6" xr3:uid="{00000000-0010-0000-0800-000006000000}" name="Settlement Authorization (Y/N)" dataDxfId="148"/>
    <tableColumn id="7" xr3:uid="{00000000-0010-0000-0800-000007000000}" name="Authorized Amount" dataDxfId="147"/>
    <tableColumn id="8" xr3:uid="{00000000-0010-0000-0800-000008000000}" name="Authorized By" dataDxfId="146"/>
    <tableColumn id="9" xr3:uid="{00000000-0010-0000-0800-000009000000}" name="Authorization Date" dataDxfId="145"/>
    <tableColumn id="10" xr3:uid="{00000000-0010-0000-0800-00000A000000}" name="Open Stipulation Without C&amp;R (Y/N)" dataDxfId="144"/>
    <tableColumn id="11" xr3:uid="{00000000-0010-0000-0800-00000B000000}" name="First Stipulation Date" dataDxfId="143"/>
    <tableColumn id="12" xr3:uid="{00000000-0010-0000-0800-00000C000000}" name="Litigated (Y/N)" dataDxfId="142"/>
    <tableColumn id="13" xr3:uid="{00000000-0010-0000-0800-00000D000000}" name="Pending QME (Y/N)" dataDxfId="141"/>
    <tableColumn id="14" xr3:uid="{00000000-0010-0000-0800-00000E000000}" name="QME Date" dataDxfId="140"/>
    <tableColumn id="15" xr3:uid="{00000000-0010-0000-0800-00000F000000}" name="QME Evaluator" dataDxfId="139"/>
    <tableColumn id="16" xr3:uid="{00000000-0010-0000-0800-000010000000}" name="Automated Claim Alert (Y/N)" dataDxfId="138"/>
    <tableColumn id="17" xr3:uid="{00000000-0010-0000-0800-000011000000}" name="Current Automated Alert(s)" dataDxfId="137"/>
    <tableColumn id="18" xr3:uid="{00000000-0010-0000-0800-000012000000}" name="Previous Automated Alert(s)" dataDxfId="136"/>
    <tableColumn id="19" xr3:uid="{00000000-0010-0000-0800-000013000000}" name="Inactive Customer (Y/N)" dataDxfId="135"/>
    <tableColumn id="20" xr3:uid="{00000000-0010-0000-0800-000014000000}" name="Policy Expiration Date" dataDxfId="134"/>
    <tableColumn id="21" xr3:uid="{00000000-0010-0000-0800-000015000000}" name="Alert Contains Surgery Request (Y/N)" dataDxfId="133"/>
    <tableColumn id="22" xr3:uid="{00000000-0010-0000-0800-000016000000}" name="Alert Contains MMI (Y/N)" dataDxfId="132"/>
    <tableColumn id="23" xr3:uid="{00000000-0010-0000-0800-000017000000}" name="Alert Contains Denied Treatment (Y/N)" dataDxfId="131"/>
    <tableColumn id="24" xr3:uid="{00000000-0010-0000-0800-000018000000}" name="Alert Contains Specialist Consultation (Y/N)" dataDxfId="130"/>
    <tableColumn id="25" xr3:uid="{00000000-0010-0000-0800-000019000000}" name="Alert Contains Non-Renewed Account (Y/N)" dataDxfId="129"/>
    <tableColumn id="26" xr3:uid="{00000000-0010-0000-0800-00001A000000}" name="Alert Contains MSA Eligibility (Y/N)" dataDxfId="128"/>
    <tableColumn id="27" xr3:uid="{00000000-0010-0000-0800-00001B000000}" name="Active Opportunity Indicators" dataDxfId="127"/>
    <tableColumn id="28" xr3:uid="{00000000-0010-0000-0800-00001C000000}" name="Opportunity Signal Level" dataDxfId="126"/>
    <tableColumn id="29" xr3:uid="{00000000-0010-0000-0800-00001D000000}" name="Reports Appearing On" dataDxfId="12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AnalystIView" displayName="AnalystIView" ref="A1:AC45" totalsRowShown="0" headerRowDxfId="124">
  <autoFilter ref="A1:AC45" xr:uid="{00000000-0009-0000-0100-000009000000}"/>
  <tableColumns count="29">
    <tableColumn id="1" xr3:uid="{00000000-0010-0000-0900-000001000000}" name="Synthetic Claim ID"/>
    <tableColumn id="2" xr3:uid="{00000000-0010-0000-0900-000002000000}" name="Synthetic Claimant"/>
    <tableColumn id="3" xr3:uid="{00000000-0010-0000-0900-000003000000}" name="Claims Analyst"/>
    <tableColumn id="4" xr3:uid="{00000000-0010-0000-0900-000004000000}" name="Synthetic Policyholder"/>
    <tableColumn id="5" xr3:uid="{00000000-0010-0000-0900-000005000000}" name="Date of Injury" dataDxfId="123"/>
    <tableColumn id="6" xr3:uid="{00000000-0010-0000-0900-000006000000}" name="Settlement Authorization (Y/N)" dataDxfId="122"/>
    <tableColumn id="7" xr3:uid="{00000000-0010-0000-0900-000007000000}" name="Authorized Amount" dataDxfId="121"/>
    <tableColumn id="8" xr3:uid="{00000000-0010-0000-0900-000008000000}" name="Authorized By" dataDxfId="120"/>
    <tableColumn id="9" xr3:uid="{00000000-0010-0000-0900-000009000000}" name="Authorization Date" dataDxfId="119"/>
    <tableColumn id="10" xr3:uid="{00000000-0010-0000-0900-00000A000000}" name="Open Stipulation Without C&amp;R (Y/N)" dataDxfId="118"/>
    <tableColumn id="11" xr3:uid="{00000000-0010-0000-0900-00000B000000}" name="First Stipulation Date" dataDxfId="117"/>
    <tableColumn id="12" xr3:uid="{00000000-0010-0000-0900-00000C000000}" name="Litigated (Y/N)" dataDxfId="116"/>
    <tableColumn id="13" xr3:uid="{00000000-0010-0000-0900-00000D000000}" name="Pending QME (Y/N)" dataDxfId="115"/>
    <tableColumn id="14" xr3:uid="{00000000-0010-0000-0900-00000E000000}" name="QME Date" dataDxfId="114"/>
    <tableColumn id="15" xr3:uid="{00000000-0010-0000-0900-00000F000000}" name="QME Evaluator" dataDxfId="113"/>
    <tableColumn id="16" xr3:uid="{00000000-0010-0000-0900-000010000000}" name="Automated Claim Alert (Y/N)" dataDxfId="112"/>
    <tableColumn id="17" xr3:uid="{00000000-0010-0000-0900-000011000000}" name="Current Automated Alert(s)" dataDxfId="111"/>
    <tableColumn id="18" xr3:uid="{00000000-0010-0000-0900-000012000000}" name="Previous Automated Alert(s)" dataDxfId="110"/>
    <tableColumn id="19" xr3:uid="{00000000-0010-0000-0900-000013000000}" name="Inactive Customer (Y/N)" dataDxfId="109"/>
    <tableColumn id="20" xr3:uid="{00000000-0010-0000-0900-000014000000}" name="Policy Expiration Date" dataDxfId="108"/>
    <tableColumn id="21" xr3:uid="{00000000-0010-0000-0900-000015000000}" name="Alert Contains Surgery Request (Y/N)" dataDxfId="107"/>
    <tableColumn id="22" xr3:uid="{00000000-0010-0000-0900-000016000000}" name="Alert Contains MMI (Y/N)" dataDxfId="106"/>
    <tableColumn id="23" xr3:uid="{00000000-0010-0000-0900-000017000000}" name="Alert Contains Denied Treatment (Y/N)" dataDxfId="105"/>
    <tableColumn id="24" xr3:uid="{00000000-0010-0000-0900-000018000000}" name="Alert Contains Specialist Consultation (Y/N)" dataDxfId="104"/>
    <tableColumn id="25" xr3:uid="{00000000-0010-0000-0900-000019000000}" name="Alert Contains Non-Renewed Account (Y/N)" dataDxfId="103"/>
    <tableColumn id="26" xr3:uid="{00000000-0010-0000-0900-00001A000000}" name="Alert Contains MSA Eligibility (Y/N)" dataDxfId="102"/>
    <tableColumn id="27" xr3:uid="{00000000-0010-0000-0900-00001B000000}" name="Active Opportunity Indicators" dataDxfId="101"/>
    <tableColumn id="28" xr3:uid="{00000000-0010-0000-0900-00001C000000}" name="Opportunity Signal Level" dataDxfId="100"/>
    <tableColumn id="29" xr3:uid="{00000000-0010-0000-0900-00001D000000}" name="Reports Appearing On" dataDxfId="9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AnalystJView" displayName="AnalystJView" ref="A1:AC64" totalsRowShown="0" headerRowDxfId="98">
  <autoFilter ref="A1:AC64" xr:uid="{00000000-0009-0000-0100-00000A000000}"/>
  <tableColumns count="29">
    <tableColumn id="1" xr3:uid="{00000000-0010-0000-0A00-000001000000}" name="Synthetic Claim ID"/>
    <tableColumn id="2" xr3:uid="{00000000-0010-0000-0A00-000002000000}" name="Synthetic Claimant"/>
    <tableColumn id="3" xr3:uid="{00000000-0010-0000-0A00-000003000000}" name="Claims Analyst"/>
    <tableColumn id="4" xr3:uid="{00000000-0010-0000-0A00-000004000000}" name="Synthetic Policyholder"/>
    <tableColumn id="5" xr3:uid="{00000000-0010-0000-0A00-000005000000}" name="Date of Injury" dataDxfId="97"/>
    <tableColumn id="6" xr3:uid="{00000000-0010-0000-0A00-000006000000}" name="Settlement Authorization (Y/N)" dataDxfId="96"/>
    <tableColumn id="7" xr3:uid="{00000000-0010-0000-0A00-000007000000}" name="Authorized Amount" dataDxfId="95"/>
    <tableColumn id="8" xr3:uid="{00000000-0010-0000-0A00-000008000000}" name="Authorized By" dataDxfId="94"/>
    <tableColumn id="9" xr3:uid="{00000000-0010-0000-0A00-000009000000}" name="Authorization Date" dataDxfId="93"/>
    <tableColumn id="10" xr3:uid="{00000000-0010-0000-0A00-00000A000000}" name="Open Stipulation Without C&amp;R (Y/N)" dataDxfId="92"/>
    <tableColumn id="11" xr3:uid="{00000000-0010-0000-0A00-00000B000000}" name="First Stipulation Date" dataDxfId="91"/>
    <tableColumn id="12" xr3:uid="{00000000-0010-0000-0A00-00000C000000}" name="Litigated (Y/N)" dataDxfId="90"/>
    <tableColumn id="13" xr3:uid="{00000000-0010-0000-0A00-00000D000000}" name="Pending QME (Y/N)" dataDxfId="89"/>
    <tableColumn id="14" xr3:uid="{00000000-0010-0000-0A00-00000E000000}" name="QME Date" dataDxfId="88"/>
    <tableColumn id="15" xr3:uid="{00000000-0010-0000-0A00-00000F000000}" name="QME Evaluator" dataDxfId="87"/>
    <tableColumn id="16" xr3:uid="{00000000-0010-0000-0A00-000010000000}" name="Automated Claim Alert (Y/N)" dataDxfId="86"/>
    <tableColumn id="17" xr3:uid="{00000000-0010-0000-0A00-000011000000}" name="Current Automated Alert(s)" dataDxfId="85"/>
    <tableColumn id="18" xr3:uid="{00000000-0010-0000-0A00-000012000000}" name="Previous Automated Alert(s)" dataDxfId="84"/>
    <tableColumn id="19" xr3:uid="{00000000-0010-0000-0A00-000013000000}" name="Inactive Customer (Y/N)" dataDxfId="83"/>
    <tableColumn id="20" xr3:uid="{00000000-0010-0000-0A00-000014000000}" name="Policy Expiration Date" dataDxfId="82"/>
    <tableColumn id="21" xr3:uid="{00000000-0010-0000-0A00-000015000000}" name="Alert Contains Surgery Request (Y/N)" dataDxfId="81"/>
    <tableColumn id="22" xr3:uid="{00000000-0010-0000-0A00-000016000000}" name="Alert Contains MMI (Y/N)" dataDxfId="80"/>
    <tableColumn id="23" xr3:uid="{00000000-0010-0000-0A00-000017000000}" name="Alert Contains Denied Treatment (Y/N)" dataDxfId="79"/>
    <tableColumn id="24" xr3:uid="{00000000-0010-0000-0A00-000018000000}" name="Alert Contains Specialist Consultation (Y/N)" dataDxfId="78"/>
    <tableColumn id="25" xr3:uid="{00000000-0010-0000-0A00-000019000000}" name="Alert Contains Non-Renewed Account (Y/N)" dataDxfId="77"/>
    <tableColumn id="26" xr3:uid="{00000000-0010-0000-0A00-00001A000000}" name="Alert Contains MSA Eligibility (Y/N)" dataDxfId="76"/>
    <tableColumn id="27" xr3:uid="{00000000-0010-0000-0A00-00001B000000}" name="Active Opportunity Indicators" dataDxfId="75"/>
    <tableColumn id="28" xr3:uid="{00000000-0010-0000-0A00-00001C000000}" name="Opportunity Signal Level" dataDxfId="74"/>
    <tableColumn id="29" xr3:uid="{00000000-0010-0000-0A00-00001D000000}" name="Reports Appearing On" dataDxfId="73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AnalystKView" displayName="AnalystKView" ref="A1:AC61" totalsRowShown="0" headerRowDxfId="72">
  <autoFilter ref="A1:AC61" xr:uid="{00000000-0009-0000-0100-00000B000000}"/>
  <tableColumns count="29">
    <tableColumn id="1" xr3:uid="{00000000-0010-0000-0B00-000001000000}" name="Synthetic Claim ID"/>
    <tableColumn id="2" xr3:uid="{00000000-0010-0000-0B00-000002000000}" name="Synthetic Claimant"/>
    <tableColumn id="3" xr3:uid="{00000000-0010-0000-0B00-000003000000}" name="Claims Analyst"/>
    <tableColumn id="4" xr3:uid="{00000000-0010-0000-0B00-000004000000}" name="Synthetic Policyholder"/>
    <tableColumn id="5" xr3:uid="{00000000-0010-0000-0B00-000005000000}" name="Date of Injury" dataDxfId="71"/>
    <tableColumn id="6" xr3:uid="{00000000-0010-0000-0B00-000006000000}" name="Settlement Authorization (Y/N)" dataDxfId="70"/>
    <tableColumn id="7" xr3:uid="{00000000-0010-0000-0B00-000007000000}" name="Authorized Amount" dataDxfId="69"/>
    <tableColumn id="8" xr3:uid="{00000000-0010-0000-0B00-000008000000}" name="Authorized By" dataDxfId="68"/>
    <tableColumn id="9" xr3:uid="{00000000-0010-0000-0B00-000009000000}" name="Authorization Date" dataDxfId="67"/>
    <tableColumn id="10" xr3:uid="{00000000-0010-0000-0B00-00000A000000}" name="Open Stipulation Without C&amp;R (Y/N)" dataDxfId="66"/>
    <tableColumn id="11" xr3:uid="{00000000-0010-0000-0B00-00000B000000}" name="First Stipulation Date" dataDxfId="65"/>
    <tableColumn id="12" xr3:uid="{00000000-0010-0000-0B00-00000C000000}" name="Litigated (Y/N)" dataDxfId="64"/>
    <tableColumn id="13" xr3:uid="{00000000-0010-0000-0B00-00000D000000}" name="Pending QME (Y/N)" dataDxfId="63"/>
    <tableColumn id="14" xr3:uid="{00000000-0010-0000-0B00-00000E000000}" name="QME Date" dataDxfId="62"/>
    <tableColumn id="15" xr3:uid="{00000000-0010-0000-0B00-00000F000000}" name="QME Evaluator" dataDxfId="61"/>
    <tableColumn id="16" xr3:uid="{00000000-0010-0000-0B00-000010000000}" name="Automated Claim Alert (Y/N)" dataDxfId="60"/>
    <tableColumn id="17" xr3:uid="{00000000-0010-0000-0B00-000011000000}" name="Current Automated Alert(s)" dataDxfId="59"/>
    <tableColumn id="18" xr3:uid="{00000000-0010-0000-0B00-000012000000}" name="Previous Automated Alert(s)" dataDxfId="58"/>
    <tableColumn id="19" xr3:uid="{00000000-0010-0000-0B00-000013000000}" name="Inactive Customer (Y/N)" dataDxfId="57"/>
    <tableColumn id="20" xr3:uid="{00000000-0010-0000-0B00-000014000000}" name="Policy Expiration Date" dataDxfId="56"/>
    <tableColumn id="21" xr3:uid="{00000000-0010-0000-0B00-000015000000}" name="Alert Contains Surgery Request (Y/N)" dataDxfId="55"/>
    <tableColumn id="22" xr3:uid="{00000000-0010-0000-0B00-000016000000}" name="Alert Contains MMI (Y/N)" dataDxfId="54"/>
    <tableColumn id="23" xr3:uid="{00000000-0010-0000-0B00-000017000000}" name="Alert Contains Denied Treatment (Y/N)" dataDxfId="53"/>
    <tableColumn id="24" xr3:uid="{00000000-0010-0000-0B00-000018000000}" name="Alert Contains Specialist Consultation (Y/N)" dataDxfId="52"/>
    <tableColumn id="25" xr3:uid="{00000000-0010-0000-0B00-000019000000}" name="Alert Contains Non-Renewed Account (Y/N)" dataDxfId="51"/>
    <tableColumn id="26" xr3:uid="{00000000-0010-0000-0B00-00001A000000}" name="Alert Contains MSA Eligibility (Y/N)" dataDxfId="50"/>
    <tableColumn id="27" xr3:uid="{00000000-0010-0000-0B00-00001B000000}" name="Active Opportunity Indicators" dataDxfId="49"/>
    <tableColumn id="28" xr3:uid="{00000000-0010-0000-0B00-00001C000000}" name="Opportunity Signal Level" dataDxfId="48"/>
    <tableColumn id="29" xr3:uid="{00000000-0010-0000-0B00-00001D000000}" name="Reports Appearing On" dataDxfId="47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AnalystLView" displayName="AnalystLView" ref="A1:AC77" totalsRowShown="0" headerRowDxfId="46">
  <autoFilter ref="A1:AC77" xr:uid="{00000000-0009-0000-0100-00000C000000}"/>
  <tableColumns count="29">
    <tableColumn id="1" xr3:uid="{00000000-0010-0000-0C00-000001000000}" name="Synthetic Claim ID"/>
    <tableColumn id="2" xr3:uid="{00000000-0010-0000-0C00-000002000000}" name="Synthetic Claimant"/>
    <tableColumn id="3" xr3:uid="{00000000-0010-0000-0C00-000003000000}" name="Claims Analyst"/>
    <tableColumn id="4" xr3:uid="{00000000-0010-0000-0C00-000004000000}" name="Synthetic Policyholder"/>
    <tableColumn id="5" xr3:uid="{00000000-0010-0000-0C00-000005000000}" name="Date of Injury" dataDxfId="45"/>
    <tableColumn id="6" xr3:uid="{00000000-0010-0000-0C00-000006000000}" name="Settlement Authorization (Y/N)" dataDxfId="44"/>
    <tableColumn id="7" xr3:uid="{00000000-0010-0000-0C00-000007000000}" name="Authorized Amount" dataDxfId="43"/>
    <tableColumn id="8" xr3:uid="{00000000-0010-0000-0C00-000008000000}" name="Authorized By" dataDxfId="42"/>
    <tableColumn id="9" xr3:uid="{00000000-0010-0000-0C00-000009000000}" name="Authorization Date" dataDxfId="41"/>
    <tableColumn id="10" xr3:uid="{00000000-0010-0000-0C00-00000A000000}" name="Open Stipulation Without C&amp;R (Y/N)" dataDxfId="40"/>
    <tableColumn id="11" xr3:uid="{00000000-0010-0000-0C00-00000B000000}" name="First Stipulation Date" dataDxfId="39"/>
    <tableColumn id="12" xr3:uid="{00000000-0010-0000-0C00-00000C000000}" name="Litigated (Y/N)" dataDxfId="38"/>
    <tableColumn id="13" xr3:uid="{00000000-0010-0000-0C00-00000D000000}" name="Pending QME (Y/N)" dataDxfId="37"/>
    <tableColumn id="14" xr3:uid="{00000000-0010-0000-0C00-00000E000000}" name="QME Date" dataDxfId="36"/>
    <tableColumn id="15" xr3:uid="{00000000-0010-0000-0C00-00000F000000}" name="QME Evaluator" dataDxfId="35"/>
    <tableColumn id="16" xr3:uid="{00000000-0010-0000-0C00-000010000000}" name="Automated Claim Alert (Y/N)" dataDxfId="34"/>
    <tableColumn id="17" xr3:uid="{00000000-0010-0000-0C00-000011000000}" name="Current Automated Alert(s)" dataDxfId="33"/>
    <tableColumn id="18" xr3:uid="{00000000-0010-0000-0C00-000012000000}" name="Previous Automated Alert(s)" dataDxfId="32"/>
    <tableColumn id="19" xr3:uid="{00000000-0010-0000-0C00-000013000000}" name="Inactive Customer (Y/N)" dataDxfId="31"/>
    <tableColumn id="20" xr3:uid="{00000000-0010-0000-0C00-000014000000}" name="Policy Expiration Date" dataDxfId="30"/>
    <tableColumn id="21" xr3:uid="{00000000-0010-0000-0C00-000015000000}" name="Alert Contains Surgery Request (Y/N)" dataDxfId="29"/>
    <tableColumn id="22" xr3:uid="{00000000-0010-0000-0C00-000016000000}" name="Alert Contains MMI (Y/N)" dataDxfId="28"/>
    <tableColumn id="23" xr3:uid="{00000000-0010-0000-0C00-000017000000}" name="Alert Contains Denied Treatment (Y/N)" dataDxfId="27"/>
    <tableColumn id="24" xr3:uid="{00000000-0010-0000-0C00-000018000000}" name="Alert Contains Specialist Consultation (Y/N)" dataDxfId="26"/>
    <tableColumn id="25" xr3:uid="{00000000-0010-0000-0C00-000019000000}" name="Alert Contains Non-Renewed Account (Y/N)" dataDxfId="25"/>
    <tableColumn id="26" xr3:uid="{00000000-0010-0000-0C00-00001A000000}" name="Alert Contains MSA Eligibility (Y/N)" dataDxfId="24"/>
    <tableColumn id="27" xr3:uid="{00000000-0010-0000-0C00-00001B000000}" name="Active Opportunity Indicators" dataDxfId="23"/>
    <tableColumn id="28" xr3:uid="{00000000-0010-0000-0C00-00001C000000}" name="Opportunity Signal Level" dataDxfId="22"/>
    <tableColumn id="29" xr3:uid="{00000000-0010-0000-0C00-00001D000000}" name="Reports Appearing On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showGridLines="0" tabSelected="1" zoomScaleNormal="100" workbookViewId="0">
      <pane ySplit="3" topLeftCell="A4" activePane="bottomLeft" state="frozen"/>
      <selection pane="bottomLeft" activeCell="A4" sqref="A4:A5"/>
    </sheetView>
  </sheetViews>
  <sheetFormatPr defaultColWidth="8.73046875" defaultRowHeight="14.25" x14ac:dyDescent="0.45"/>
  <cols>
    <col min="1" max="1" width="27" customWidth="1"/>
    <col min="2" max="8" width="18" customWidth="1"/>
  </cols>
  <sheetData>
    <row r="1" spans="1:8" x14ac:dyDescent="0.4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45">
      <c r="A2" s="5"/>
      <c r="B2" s="5"/>
      <c r="C2" s="5"/>
      <c r="D2" s="5"/>
      <c r="E2" s="5"/>
      <c r="F2" s="5"/>
      <c r="G2" s="5"/>
      <c r="H2" s="5"/>
    </row>
    <row r="4" spans="1:8" ht="37.5" customHeight="1" x14ac:dyDescent="0.45">
      <c r="A4" s="19" t="s">
        <v>1</v>
      </c>
      <c r="B4" s="4" t="s">
        <v>1537</v>
      </c>
      <c r="C4" s="4"/>
      <c r="D4" s="4"/>
      <c r="E4" s="4"/>
      <c r="F4" s="4"/>
      <c r="G4" s="4"/>
      <c r="H4" s="4"/>
    </row>
    <row r="5" spans="1:8" ht="37.5" customHeight="1" x14ac:dyDescent="0.45">
      <c r="A5" s="19"/>
      <c r="B5" s="4"/>
      <c r="C5" s="4"/>
      <c r="D5" s="4"/>
      <c r="E5" s="4"/>
      <c r="F5" s="4"/>
      <c r="G5" s="4"/>
      <c r="H5" s="4"/>
    </row>
    <row r="7" spans="1:8" ht="37.5" customHeight="1" x14ac:dyDescent="0.45">
      <c r="A7" s="1" t="s">
        <v>2</v>
      </c>
      <c r="B7" s="4" t="s">
        <v>3</v>
      </c>
      <c r="C7" s="4"/>
      <c r="D7" s="4"/>
      <c r="E7" s="4"/>
      <c r="F7" s="4"/>
      <c r="G7" s="4"/>
      <c r="H7" s="4"/>
    </row>
    <row r="9" spans="1:8" ht="37.5" customHeight="1" x14ac:dyDescent="0.45">
      <c r="A9" s="1" t="s">
        <v>4</v>
      </c>
      <c r="B9" s="4" t="s">
        <v>5</v>
      </c>
      <c r="C9" s="4"/>
      <c r="D9" s="4"/>
      <c r="E9" s="4"/>
      <c r="F9" s="4"/>
      <c r="G9" s="4"/>
      <c r="H9" s="4"/>
    </row>
    <row r="11" spans="1:8" ht="37.5" customHeight="1" x14ac:dyDescent="0.45">
      <c r="A11" s="1" t="s">
        <v>6</v>
      </c>
      <c r="B11" s="4" t="s">
        <v>7</v>
      </c>
      <c r="C11" s="4"/>
      <c r="D11" s="4"/>
      <c r="E11" s="4"/>
      <c r="F11" s="4"/>
      <c r="G11" s="4"/>
      <c r="H11" s="4"/>
    </row>
    <row r="13" spans="1:8" ht="37.5" customHeight="1" x14ac:dyDescent="0.45">
      <c r="A13" s="1" t="s">
        <v>8</v>
      </c>
      <c r="B13" s="4" t="s">
        <v>9</v>
      </c>
      <c r="C13" s="4"/>
      <c r="D13" s="4"/>
      <c r="E13" s="4"/>
      <c r="F13" s="4"/>
      <c r="G13" s="4"/>
      <c r="H13" s="4"/>
    </row>
    <row r="15" spans="1:8" ht="37.5" customHeight="1" x14ac:dyDescent="0.45">
      <c r="A15" s="1" t="s">
        <v>10</v>
      </c>
      <c r="B15" s="4" t="s">
        <v>1535</v>
      </c>
      <c r="C15" s="4"/>
      <c r="D15" s="4"/>
      <c r="E15" s="4"/>
      <c r="F15" s="4"/>
      <c r="G15" s="4"/>
      <c r="H15" s="4"/>
    </row>
    <row r="17" spans="1:8" ht="37.5" customHeight="1" x14ac:dyDescent="0.45">
      <c r="A17" s="1" t="s">
        <v>11</v>
      </c>
      <c r="B17" s="4" t="s">
        <v>1536</v>
      </c>
      <c r="C17" s="4"/>
      <c r="D17" s="4"/>
      <c r="E17" s="4"/>
      <c r="F17" s="4"/>
      <c r="G17" s="4"/>
      <c r="H17" s="4"/>
    </row>
    <row r="19" spans="1:8" ht="37.5" customHeight="1" x14ac:dyDescent="0.45">
      <c r="A19" s="1" t="s">
        <v>12</v>
      </c>
      <c r="B19" s="4" t="s">
        <v>13</v>
      </c>
      <c r="C19" s="4"/>
      <c r="D19" s="4"/>
      <c r="E19" s="4"/>
      <c r="F19" s="4"/>
      <c r="G19" s="4"/>
      <c r="H19" s="4"/>
    </row>
    <row r="21" spans="1:8" ht="37.5" customHeight="1" x14ac:dyDescent="0.45">
      <c r="A21" s="1" t="s">
        <v>14</v>
      </c>
      <c r="B21" s="4" t="s">
        <v>15</v>
      </c>
      <c r="C21" s="4"/>
      <c r="D21" s="4"/>
      <c r="E21" s="4"/>
      <c r="F21" s="4"/>
      <c r="G21" s="4"/>
      <c r="H21" s="4"/>
    </row>
    <row r="23" spans="1:8" ht="37.5" customHeight="1" x14ac:dyDescent="0.45">
      <c r="A23" s="1" t="s">
        <v>16</v>
      </c>
      <c r="B23" s="4" t="s">
        <v>17</v>
      </c>
      <c r="C23" s="4"/>
      <c r="D23" s="4"/>
      <c r="E23" s="4"/>
      <c r="F23" s="4"/>
      <c r="G23" s="4"/>
      <c r="H23" s="4"/>
    </row>
  </sheetData>
  <mergeCells count="12">
    <mergeCell ref="A1:H2"/>
    <mergeCell ref="B7:H7"/>
    <mergeCell ref="B9:H9"/>
    <mergeCell ref="B11:H11"/>
    <mergeCell ref="A4:A5"/>
    <mergeCell ref="B4:H5"/>
    <mergeCell ref="B23:H23"/>
    <mergeCell ref="B13:H13"/>
    <mergeCell ref="B15:H15"/>
    <mergeCell ref="B17:H17"/>
    <mergeCell ref="B19:H19"/>
    <mergeCell ref="B21:H21"/>
  </mergeCells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8" width="34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71.86328125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ht="28.5" x14ac:dyDescent="0.45">
      <c r="A2" s="2" t="s">
        <v>47</v>
      </c>
      <c r="B2" s="2" t="s">
        <v>48</v>
      </c>
      <c r="C2" s="2" t="s">
        <v>49</v>
      </c>
      <c r="D2" s="2" t="s">
        <v>50</v>
      </c>
      <c r="E2" s="11">
        <v>44113</v>
      </c>
      <c r="F2" s="12" t="s">
        <v>51</v>
      </c>
      <c r="G2" s="13">
        <v>156750</v>
      </c>
      <c r="H2" s="12" t="s">
        <v>52</v>
      </c>
      <c r="I2" s="11">
        <v>44650</v>
      </c>
      <c r="J2" s="12" t="s">
        <v>53</v>
      </c>
      <c r="K2" s="11"/>
      <c r="L2" s="12" t="s">
        <v>53</v>
      </c>
      <c r="M2" s="12" t="s">
        <v>53</v>
      </c>
      <c r="N2" s="11"/>
      <c r="O2" s="12"/>
      <c r="P2" s="12" t="s">
        <v>51</v>
      </c>
      <c r="Q2" s="14" t="s">
        <v>54</v>
      </c>
      <c r="R2" s="14"/>
      <c r="S2" s="12" t="s">
        <v>53</v>
      </c>
      <c r="T2" s="11"/>
      <c r="U2" s="12" t="str">
        <f t="shared" ref="U2:U65" si="0">IF(ISNUMBER(SEARCH("SURGERY",Q2&amp;" "&amp;R2)),"Y","N")</f>
        <v>N</v>
      </c>
      <c r="V2" s="12" t="str">
        <f t="shared" ref="V2:V65" si="1">IF(ISNUMBER(SEARCH("MMI",Q2&amp;" "&amp;R2)),"Y","N")</f>
        <v>Y</v>
      </c>
      <c r="W2" s="12" t="str">
        <f t="shared" ref="W2:W65" si="2">IF(ISNUMBER(SEARCH("DENIED TREATMENT",Q2&amp;" "&amp;R2)),"Y","N")</f>
        <v>N</v>
      </c>
      <c r="X2" s="12" t="str">
        <f t="shared" ref="X2:X65" si="3">IF(ISNUMBER(SEARCH("SPECIALIST CONSULTATION",Q2&amp;" "&amp;R2)),"Y","N")</f>
        <v>N</v>
      </c>
      <c r="Y2" s="12" t="str">
        <f t="shared" ref="Y2:Y65" si="4">IF(ISNUMBER(SEARCH("NON-RENEWED ACCOUNT",Q2&amp;" "&amp;R2)),"Y","N")</f>
        <v>Y</v>
      </c>
      <c r="Z2" s="12" t="str">
        <f t="shared" ref="Z2:Z65" si="5">IF(ISNUMBER(SEARCH("MSA ELIGIBLE",Q2&amp;" "&amp;R2)),"Y","N")</f>
        <v>Y</v>
      </c>
      <c r="AA2" s="12">
        <f t="shared" ref="AA2:AA65" si="6">COUNTIF(F2,"Y")+COUNTIF(J2,"Y")+COUNTIF(M2,"Y")+COUNTIF(P2,"Y")+COUNTIF(S2,"Y")</f>
        <v>2</v>
      </c>
      <c r="AB2" s="12" t="str">
        <f t="shared" ref="AB2:AB65" si="7">IF(AA2=5,"MAXIMUM MULTI-SIGNAL",IF(AA2=4,"HIGH MULTI-SIGNAL",IF(AA2=3,"ELEVATED MULTI-SIGNAL",IF(AA2=2,"MULTI-SIGNAL","SINGLE-SIGNAL"))))</f>
        <v>MULTI-SIGNAL</v>
      </c>
      <c r="AC2" s="14" t="str">
        <f t="shared" ref="AC2:AC65" si="8">IF(F2="Y","Settlement Authorization","")&amp;IF(J2="Y",IF(F2="Y"," | ","")&amp;"Open Stipulation","")&amp;IF(M2="Y",IF(OR(F2="Y",J2="Y")," | ","")&amp;"Pending QME","")&amp;IF(P2="Y",IF(OR(F2="Y",J2="Y",M2="Y")," | ","")&amp;"Automated Claim Alert","")&amp;IF(S2="Y",IF(OR(F2="Y",J2="Y",M2="Y",P2="Y")," | ","")&amp;"Inactive Customer","")</f>
        <v>Settlement Authorization | Automated Claim Alert</v>
      </c>
    </row>
    <row r="3" spans="1:29" ht="28.5" x14ac:dyDescent="0.45">
      <c r="A3" s="2" t="s">
        <v>55</v>
      </c>
      <c r="B3" s="2" t="s">
        <v>56</v>
      </c>
      <c r="C3" s="2" t="s">
        <v>57</v>
      </c>
      <c r="D3" s="2" t="s">
        <v>58</v>
      </c>
      <c r="E3" s="11">
        <v>43714</v>
      </c>
      <c r="F3" s="12" t="s">
        <v>51</v>
      </c>
      <c r="G3" s="13">
        <v>21750</v>
      </c>
      <c r="H3" s="12" t="s">
        <v>59</v>
      </c>
      <c r="I3" s="11">
        <v>44940</v>
      </c>
      <c r="J3" s="12" t="s">
        <v>53</v>
      </c>
      <c r="K3" s="11"/>
      <c r="L3" s="12" t="s">
        <v>53</v>
      </c>
      <c r="M3" s="12" t="s">
        <v>53</v>
      </c>
      <c r="N3" s="11"/>
      <c r="O3" s="12"/>
      <c r="P3" s="12" t="s">
        <v>51</v>
      </c>
      <c r="Q3" s="14" t="s">
        <v>60</v>
      </c>
      <c r="R3" s="14" t="s">
        <v>61</v>
      </c>
      <c r="S3" s="12" t="s">
        <v>51</v>
      </c>
      <c r="T3" s="11">
        <v>44492</v>
      </c>
      <c r="U3" s="12" t="str">
        <f t="shared" si="0"/>
        <v>Y</v>
      </c>
      <c r="V3" s="12" t="str">
        <f t="shared" si="1"/>
        <v>N</v>
      </c>
      <c r="W3" s="12" t="str">
        <f t="shared" si="2"/>
        <v>Y</v>
      </c>
      <c r="X3" s="12" t="str">
        <f t="shared" si="3"/>
        <v>Y</v>
      </c>
      <c r="Y3" s="12" t="str">
        <f t="shared" si="4"/>
        <v>Y</v>
      </c>
      <c r="Z3" s="12" t="str">
        <f t="shared" si="5"/>
        <v>Y</v>
      </c>
      <c r="AA3" s="12">
        <f t="shared" si="6"/>
        <v>3</v>
      </c>
      <c r="AB3" s="12" t="str">
        <f t="shared" si="7"/>
        <v>ELEVATED MULTI-SIGNAL</v>
      </c>
      <c r="AC3" s="14" t="str">
        <f t="shared" si="8"/>
        <v>Settlement Authorization | Automated Claim Alert | Inactive Customer</v>
      </c>
    </row>
    <row r="4" spans="1:29" x14ac:dyDescent="0.45">
      <c r="A4" s="2" t="s">
        <v>62</v>
      </c>
      <c r="B4" s="2" t="s">
        <v>63</v>
      </c>
      <c r="C4" s="2" t="s">
        <v>64</v>
      </c>
      <c r="D4" s="2" t="s">
        <v>65</v>
      </c>
      <c r="E4" s="11">
        <v>45745</v>
      </c>
      <c r="F4" s="12" t="s">
        <v>51</v>
      </c>
      <c r="G4" s="13">
        <v>138750</v>
      </c>
      <c r="H4" s="12" t="s">
        <v>66</v>
      </c>
      <c r="I4" s="11">
        <v>46948</v>
      </c>
      <c r="J4" s="12" t="s">
        <v>53</v>
      </c>
      <c r="K4" s="11"/>
      <c r="L4" s="12" t="s">
        <v>53</v>
      </c>
      <c r="M4" s="12" t="s">
        <v>53</v>
      </c>
      <c r="N4" s="11"/>
      <c r="O4" s="12"/>
      <c r="P4" s="12" t="s">
        <v>53</v>
      </c>
      <c r="Q4" s="14"/>
      <c r="R4" s="14"/>
      <c r="S4" s="12" t="s">
        <v>53</v>
      </c>
      <c r="T4" s="11"/>
      <c r="U4" s="12" t="str">
        <f t="shared" si="0"/>
        <v>N</v>
      </c>
      <c r="V4" s="12" t="str">
        <f t="shared" si="1"/>
        <v>N</v>
      </c>
      <c r="W4" s="12" t="str">
        <f t="shared" si="2"/>
        <v>N</v>
      </c>
      <c r="X4" s="12" t="str">
        <f t="shared" si="3"/>
        <v>N</v>
      </c>
      <c r="Y4" s="12" t="str">
        <f t="shared" si="4"/>
        <v>N</v>
      </c>
      <c r="Z4" s="12" t="str">
        <f t="shared" si="5"/>
        <v>N</v>
      </c>
      <c r="AA4" s="12">
        <f t="shared" si="6"/>
        <v>1</v>
      </c>
      <c r="AB4" s="12" t="str">
        <f t="shared" si="7"/>
        <v>SINGLE-SIGNAL</v>
      </c>
      <c r="AC4" s="14" t="str">
        <f t="shared" si="8"/>
        <v>Settlement Authorization</v>
      </c>
    </row>
    <row r="5" spans="1:29" x14ac:dyDescent="0.45">
      <c r="A5" s="2" t="s">
        <v>67</v>
      </c>
      <c r="B5" s="2" t="s">
        <v>68</v>
      </c>
      <c r="C5" s="2" t="s">
        <v>69</v>
      </c>
      <c r="D5" s="2" t="s">
        <v>70</v>
      </c>
      <c r="E5" s="11">
        <v>45285</v>
      </c>
      <c r="F5" s="12" t="s">
        <v>51</v>
      </c>
      <c r="G5" s="13">
        <v>109000</v>
      </c>
      <c r="H5" s="12" t="s">
        <v>71</v>
      </c>
      <c r="I5" s="11">
        <v>45783</v>
      </c>
      <c r="J5" s="12" t="s">
        <v>53</v>
      </c>
      <c r="K5" s="11"/>
      <c r="L5" s="12" t="s">
        <v>51</v>
      </c>
      <c r="M5" s="12" t="s">
        <v>53</v>
      </c>
      <c r="N5" s="11"/>
      <c r="O5" s="12"/>
      <c r="P5" s="12" t="s">
        <v>53</v>
      </c>
      <c r="Q5" s="14"/>
      <c r="R5" s="14"/>
      <c r="S5" s="12" t="s">
        <v>53</v>
      </c>
      <c r="T5" s="11"/>
      <c r="U5" s="12" t="str">
        <f t="shared" si="0"/>
        <v>N</v>
      </c>
      <c r="V5" s="12" t="str">
        <f t="shared" si="1"/>
        <v>N</v>
      </c>
      <c r="W5" s="12" t="str">
        <f t="shared" si="2"/>
        <v>N</v>
      </c>
      <c r="X5" s="12" t="str">
        <f t="shared" si="3"/>
        <v>N</v>
      </c>
      <c r="Y5" s="12" t="str">
        <f t="shared" si="4"/>
        <v>N</v>
      </c>
      <c r="Z5" s="12" t="str">
        <f t="shared" si="5"/>
        <v>N</v>
      </c>
      <c r="AA5" s="12">
        <f t="shared" si="6"/>
        <v>1</v>
      </c>
      <c r="AB5" s="12" t="str">
        <f t="shared" si="7"/>
        <v>SINGLE-SIGNAL</v>
      </c>
      <c r="AC5" s="14" t="str">
        <f t="shared" si="8"/>
        <v>Settlement Authorization</v>
      </c>
    </row>
    <row r="6" spans="1:29" x14ac:dyDescent="0.45">
      <c r="A6" s="2" t="s">
        <v>72</v>
      </c>
      <c r="B6" s="2" t="s">
        <v>73</v>
      </c>
      <c r="C6" s="2" t="s">
        <v>49</v>
      </c>
      <c r="D6" s="2" t="s">
        <v>74</v>
      </c>
      <c r="E6" s="11">
        <v>45421</v>
      </c>
      <c r="F6" s="12" t="s">
        <v>51</v>
      </c>
      <c r="G6" s="13">
        <v>108000</v>
      </c>
      <c r="H6" s="12" t="s">
        <v>71</v>
      </c>
      <c r="I6" s="11">
        <v>47152</v>
      </c>
      <c r="J6" s="12" t="s">
        <v>53</v>
      </c>
      <c r="K6" s="11"/>
      <c r="L6" s="12" t="s">
        <v>51</v>
      </c>
      <c r="M6" s="12" t="s">
        <v>53</v>
      </c>
      <c r="N6" s="11"/>
      <c r="O6" s="12"/>
      <c r="P6" s="12" t="s">
        <v>53</v>
      </c>
      <c r="Q6" s="14"/>
      <c r="R6" s="14"/>
      <c r="S6" s="12" t="s">
        <v>53</v>
      </c>
      <c r="T6" s="11"/>
      <c r="U6" s="12" t="str">
        <f t="shared" si="0"/>
        <v>N</v>
      </c>
      <c r="V6" s="12" t="str">
        <f t="shared" si="1"/>
        <v>N</v>
      </c>
      <c r="W6" s="12" t="str">
        <f t="shared" si="2"/>
        <v>N</v>
      </c>
      <c r="X6" s="12" t="str">
        <f t="shared" si="3"/>
        <v>N</v>
      </c>
      <c r="Y6" s="12" t="str">
        <f t="shared" si="4"/>
        <v>N</v>
      </c>
      <c r="Z6" s="12" t="str">
        <f t="shared" si="5"/>
        <v>N</v>
      </c>
      <c r="AA6" s="12">
        <f t="shared" si="6"/>
        <v>1</v>
      </c>
      <c r="AB6" s="12" t="str">
        <f t="shared" si="7"/>
        <v>SINGLE-SIGNAL</v>
      </c>
      <c r="AC6" s="14" t="str">
        <f t="shared" si="8"/>
        <v>Settlement Authorization</v>
      </c>
    </row>
    <row r="7" spans="1:29" x14ac:dyDescent="0.45">
      <c r="A7" s="2" t="s">
        <v>75</v>
      </c>
      <c r="B7" s="2" t="s">
        <v>76</v>
      </c>
      <c r="C7" s="2" t="s">
        <v>49</v>
      </c>
      <c r="D7" s="2" t="s">
        <v>77</v>
      </c>
      <c r="E7" s="11">
        <v>44212</v>
      </c>
      <c r="F7" s="12" t="s">
        <v>51</v>
      </c>
      <c r="G7" s="13">
        <v>25250</v>
      </c>
      <c r="H7" s="12" t="s">
        <v>78</v>
      </c>
      <c r="I7" s="11">
        <v>45671</v>
      </c>
      <c r="J7" s="12" t="s">
        <v>53</v>
      </c>
      <c r="K7" s="11"/>
      <c r="L7" s="12" t="s">
        <v>53</v>
      </c>
      <c r="M7" s="12" t="s">
        <v>53</v>
      </c>
      <c r="N7" s="11"/>
      <c r="O7" s="12"/>
      <c r="P7" s="12" t="s">
        <v>53</v>
      </c>
      <c r="Q7" s="14"/>
      <c r="R7" s="14"/>
      <c r="S7" s="12" t="s">
        <v>53</v>
      </c>
      <c r="T7" s="11"/>
      <c r="U7" s="12" t="str">
        <f t="shared" si="0"/>
        <v>N</v>
      </c>
      <c r="V7" s="12" t="str">
        <f t="shared" si="1"/>
        <v>N</v>
      </c>
      <c r="W7" s="12" t="str">
        <f t="shared" si="2"/>
        <v>N</v>
      </c>
      <c r="X7" s="12" t="str">
        <f t="shared" si="3"/>
        <v>N</v>
      </c>
      <c r="Y7" s="12" t="str">
        <f t="shared" si="4"/>
        <v>N</v>
      </c>
      <c r="Z7" s="12" t="str">
        <f t="shared" si="5"/>
        <v>N</v>
      </c>
      <c r="AA7" s="12">
        <f t="shared" si="6"/>
        <v>1</v>
      </c>
      <c r="AB7" s="12" t="str">
        <f t="shared" si="7"/>
        <v>SINGLE-SIGNAL</v>
      </c>
      <c r="AC7" s="14" t="str">
        <f t="shared" si="8"/>
        <v>Settlement Authorization</v>
      </c>
    </row>
    <row r="8" spans="1:29" x14ac:dyDescent="0.45">
      <c r="A8" s="2" t="s">
        <v>79</v>
      </c>
      <c r="B8" s="2" t="s">
        <v>80</v>
      </c>
      <c r="C8" s="2" t="s">
        <v>49</v>
      </c>
      <c r="D8" s="2" t="s">
        <v>81</v>
      </c>
      <c r="E8" s="11">
        <v>44367</v>
      </c>
      <c r="F8" s="12" t="s">
        <v>51</v>
      </c>
      <c r="G8" s="13">
        <v>55500</v>
      </c>
      <c r="H8" s="12" t="s">
        <v>71</v>
      </c>
      <c r="I8" s="11">
        <v>45792</v>
      </c>
      <c r="J8" s="12" t="s">
        <v>53</v>
      </c>
      <c r="K8" s="11"/>
      <c r="L8" s="12" t="s">
        <v>53</v>
      </c>
      <c r="M8" s="12" t="s">
        <v>53</v>
      </c>
      <c r="N8" s="11"/>
      <c r="O8" s="12"/>
      <c r="P8" s="12" t="s">
        <v>53</v>
      </c>
      <c r="Q8" s="14"/>
      <c r="R8" s="14"/>
      <c r="S8" s="12" t="s">
        <v>53</v>
      </c>
      <c r="T8" s="11"/>
      <c r="U8" s="12" t="str">
        <f t="shared" si="0"/>
        <v>N</v>
      </c>
      <c r="V8" s="12" t="str">
        <f t="shared" si="1"/>
        <v>N</v>
      </c>
      <c r="W8" s="12" t="str">
        <f t="shared" si="2"/>
        <v>N</v>
      </c>
      <c r="X8" s="12" t="str">
        <f t="shared" si="3"/>
        <v>N</v>
      </c>
      <c r="Y8" s="12" t="str">
        <f t="shared" si="4"/>
        <v>N</v>
      </c>
      <c r="Z8" s="12" t="str">
        <f t="shared" si="5"/>
        <v>N</v>
      </c>
      <c r="AA8" s="12">
        <f t="shared" si="6"/>
        <v>1</v>
      </c>
      <c r="AB8" s="12" t="str">
        <f t="shared" si="7"/>
        <v>SINGLE-SIGNAL</v>
      </c>
      <c r="AC8" s="14" t="str">
        <f t="shared" si="8"/>
        <v>Settlement Authorization</v>
      </c>
    </row>
    <row r="9" spans="1:29" x14ac:dyDescent="0.45">
      <c r="A9" s="2" t="s">
        <v>82</v>
      </c>
      <c r="B9" s="2" t="s">
        <v>83</v>
      </c>
      <c r="C9" s="2" t="s">
        <v>49</v>
      </c>
      <c r="D9" s="2" t="s">
        <v>84</v>
      </c>
      <c r="E9" s="11">
        <v>45296</v>
      </c>
      <c r="F9" s="12" t="s">
        <v>51</v>
      </c>
      <c r="G9" s="13">
        <v>99250</v>
      </c>
      <c r="H9" s="12" t="s">
        <v>85</v>
      </c>
      <c r="I9" s="11">
        <v>47034</v>
      </c>
      <c r="J9" s="12" t="s">
        <v>53</v>
      </c>
      <c r="K9" s="11"/>
      <c r="L9" s="12" t="s">
        <v>51</v>
      </c>
      <c r="M9" s="12" t="s">
        <v>53</v>
      </c>
      <c r="N9" s="11"/>
      <c r="O9" s="12"/>
      <c r="P9" s="12" t="s">
        <v>53</v>
      </c>
      <c r="Q9" s="14"/>
      <c r="R9" s="14"/>
      <c r="S9" s="12" t="s">
        <v>53</v>
      </c>
      <c r="T9" s="11"/>
      <c r="U9" s="12" t="str">
        <f t="shared" si="0"/>
        <v>N</v>
      </c>
      <c r="V9" s="12" t="str">
        <f t="shared" si="1"/>
        <v>N</v>
      </c>
      <c r="W9" s="12" t="str">
        <f t="shared" si="2"/>
        <v>N</v>
      </c>
      <c r="X9" s="12" t="str">
        <f t="shared" si="3"/>
        <v>N</v>
      </c>
      <c r="Y9" s="12" t="str">
        <f t="shared" si="4"/>
        <v>N</v>
      </c>
      <c r="Z9" s="12" t="str">
        <f t="shared" si="5"/>
        <v>N</v>
      </c>
      <c r="AA9" s="12">
        <f t="shared" si="6"/>
        <v>1</v>
      </c>
      <c r="AB9" s="12" t="str">
        <f t="shared" si="7"/>
        <v>SINGLE-SIGNAL</v>
      </c>
      <c r="AC9" s="14" t="str">
        <f t="shared" si="8"/>
        <v>Settlement Authorization</v>
      </c>
    </row>
    <row r="10" spans="1:29" x14ac:dyDescent="0.45">
      <c r="A10" s="2" t="s">
        <v>86</v>
      </c>
      <c r="B10" s="2" t="s">
        <v>87</v>
      </c>
      <c r="C10" s="2" t="s">
        <v>49</v>
      </c>
      <c r="D10" s="2" t="s">
        <v>88</v>
      </c>
      <c r="E10" s="11">
        <v>45045</v>
      </c>
      <c r="F10" s="12" t="s">
        <v>51</v>
      </c>
      <c r="G10" s="13">
        <v>36250</v>
      </c>
      <c r="H10" s="12" t="s">
        <v>89</v>
      </c>
      <c r="I10" s="11">
        <v>46628</v>
      </c>
      <c r="J10" s="12" t="s">
        <v>51</v>
      </c>
      <c r="K10" s="11">
        <v>45616</v>
      </c>
      <c r="L10" s="12" t="s">
        <v>51</v>
      </c>
      <c r="M10" s="12" t="s">
        <v>53</v>
      </c>
      <c r="N10" s="11"/>
      <c r="O10" s="12"/>
      <c r="P10" s="12" t="s">
        <v>53</v>
      </c>
      <c r="Q10" s="14"/>
      <c r="R10" s="14"/>
      <c r="S10" s="12" t="s">
        <v>53</v>
      </c>
      <c r="T10" s="11"/>
      <c r="U10" s="12" t="str">
        <f t="shared" si="0"/>
        <v>N</v>
      </c>
      <c r="V10" s="12" t="str">
        <f t="shared" si="1"/>
        <v>N</v>
      </c>
      <c r="W10" s="12" t="str">
        <f t="shared" si="2"/>
        <v>N</v>
      </c>
      <c r="X10" s="12" t="str">
        <f t="shared" si="3"/>
        <v>N</v>
      </c>
      <c r="Y10" s="12" t="str">
        <f t="shared" si="4"/>
        <v>N</v>
      </c>
      <c r="Z10" s="12" t="str">
        <f t="shared" si="5"/>
        <v>N</v>
      </c>
      <c r="AA10" s="12">
        <f t="shared" si="6"/>
        <v>2</v>
      </c>
      <c r="AB10" s="12" t="str">
        <f t="shared" si="7"/>
        <v>MULTI-SIGNAL</v>
      </c>
      <c r="AC10" s="14" t="str">
        <f t="shared" si="8"/>
        <v>Settlement Authorization | Open Stipulation</v>
      </c>
    </row>
    <row r="11" spans="1:29" x14ac:dyDescent="0.45">
      <c r="A11" s="2" t="s">
        <v>90</v>
      </c>
      <c r="B11" s="2" t="s">
        <v>91</v>
      </c>
      <c r="C11" s="2" t="s">
        <v>49</v>
      </c>
      <c r="D11" s="2" t="s">
        <v>92</v>
      </c>
      <c r="E11" s="11">
        <v>45075</v>
      </c>
      <c r="F11" s="12" t="s">
        <v>51</v>
      </c>
      <c r="G11" s="13">
        <v>99500</v>
      </c>
      <c r="H11" s="12" t="s">
        <v>93</v>
      </c>
      <c r="I11" s="11">
        <v>45452</v>
      </c>
      <c r="J11" s="12" t="s">
        <v>53</v>
      </c>
      <c r="K11" s="11"/>
      <c r="L11" s="12" t="s">
        <v>53</v>
      </c>
      <c r="M11" s="12" t="s">
        <v>53</v>
      </c>
      <c r="N11" s="11"/>
      <c r="O11" s="12"/>
      <c r="P11" s="12" t="s">
        <v>53</v>
      </c>
      <c r="Q11" s="14"/>
      <c r="R11" s="14"/>
      <c r="S11" s="12" t="s">
        <v>53</v>
      </c>
      <c r="T11" s="11"/>
      <c r="U11" s="12" t="str">
        <f t="shared" si="0"/>
        <v>N</v>
      </c>
      <c r="V11" s="12" t="str">
        <f t="shared" si="1"/>
        <v>N</v>
      </c>
      <c r="W11" s="12" t="str">
        <f t="shared" si="2"/>
        <v>N</v>
      </c>
      <c r="X11" s="12" t="str">
        <f t="shared" si="3"/>
        <v>N</v>
      </c>
      <c r="Y11" s="12" t="str">
        <f t="shared" si="4"/>
        <v>N</v>
      </c>
      <c r="Z11" s="12" t="str">
        <f t="shared" si="5"/>
        <v>N</v>
      </c>
      <c r="AA11" s="12">
        <f t="shared" si="6"/>
        <v>1</v>
      </c>
      <c r="AB11" s="12" t="str">
        <f t="shared" si="7"/>
        <v>SINGLE-SIGNAL</v>
      </c>
      <c r="AC11" s="14" t="str">
        <f t="shared" si="8"/>
        <v>Settlement Authorization</v>
      </c>
    </row>
    <row r="12" spans="1:29" x14ac:dyDescent="0.45">
      <c r="A12" s="2" t="s">
        <v>94</v>
      </c>
      <c r="B12" s="2" t="s">
        <v>95</v>
      </c>
      <c r="C12" s="2" t="s">
        <v>49</v>
      </c>
      <c r="D12" s="2" t="s">
        <v>96</v>
      </c>
      <c r="E12" s="11">
        <v>46061</v>
      </c>
      <c r="F12" s="12" t="s">
        <v>51</v>
      </c>
      <c r="G12" s="13">
        <v>151750</v>
      </c>
      <c r="H12" s="12" t="s">
        <v>52</v>
      </c>
      <c r="I12" s="11">
        <v>47491</v>
      </c>
      <c r="J12" s="12" t="s">
        <v>53</v>
      </c>
      <c r="K12" s="11"/>
      <c r="L12" s="12" t="s">
        <v>51</v>
      </c>
      <c r="M12" s="12" t="s">
        <v>53</v>
      </c>
      <c r="N12" s="11"/>
      <c r="O12" s="12"/>
      <c r="P12" s="12" t="s">
        <v>53</v>
      </c>
      <c r="Q12" s="14"/>
      <c r="R12" s="14"/>
      <c r="S12" s="12" t="s">
        <v>53</v>
      </c>
      <c r="T12" s="11"/>
      <c r="U12" s="12" t="str">
        <f t="shared" si="0"/>
        <v>N</v>
      </c>
      <c r="V12" s="12" t="str">
        <f t="shared" si="1"/>
        <v>N</v>
      </c>
      <c r="W12" s="12" t="str">
        <f t="shared" si="2"/>
        <v>N</v>
      </c>
      <c r="X12" s="12" t="str">
        <f t="shared" si="3"/>
        <v>N</v>
      </c>
      <c r="Y12" s="12" t="str">
        <f t="shared" si="4"/>
        <v>N</v>
      </c>
      <c r="Z12" s="12" t="str">
        <f t="shared" si="5"/>
        <v>N</v>
      </c>
      <c r="AA12" s="12">
        <f t="shared" si="6"/>
        <v>1</v>
      </c>
      <c r="AB12" s="12" t="str">
        <f t="shared" si="7"/>
        <v>SINGLE-SIGNAL</v>
      </c>
      <c r="AC12" s="14" t="str">
        <f t="shared" si="8"/>
        <v>Settlement Authorization</v>
      </c>
    </row>
    <row r="13" spans="1:29" x14ac:dyDescent="0.45">
      <c r="A13" s="2" t="s">
        <v>97</v>
      </c>
      <c r="B13" s="2" t="s">
        <v>98</v>
      </c>
      <c r="C13" s="2" t="s">
        <v>49</v>
      </c>
      <c r="D13" s="2" t="s">
        <v>99</v>
      </c>
      <c r="E13" s="11">
        <v>43150</v>
      </c>
      <c r="F13" s="12" t="s">
        <v>53</v>
      </c>
      <c r="G13" s="13"/>
      <c r="H13" s="12"/>
      <c r="I13" s="11"/>
      <c r="J13" s="12" t="s">
        <v>51</v>
      </c>
      <c r="K13" s="11">
        <v>44474</v>
      </c>
      <c r="L13" s="12" t="s">
        <v>51</v>
      </c>
      <c r="M13" s="12" t="s">
        <v>53</v>
      </c>
      <c r="N13" s="11"/>
      <c r="O13" s="12"/>
      <c r="P13" s="12" t="s">
        <v>53</v>
      </c>
      <c r="Q13" s="14"/>
      <c r="R13" s="14"/>
      <c r="S13" s="12" t="s">
        <v>53</v>
      </c>
      <c r="T13" s="11"/>
      <c r="U13" s="12" t="str">
        <f t="shared" si="0"/>
        <v>N</v>
      </c>
      <c r="V13" s="12" t="str">
        <f t="shared" si="1"/>
        <v>N</v>
      </c>
      <c r="W13" s="12" t="str">
        <f t="shared" si="2"/>
        <v>N</v>
      </c>
      <c r="X13" s="12" t="str">
        <f t="shared" si="3"/>
        <v>N</v>
      </c>
      <c r="Y13" s="12" t="str">
        <f t="shared" si="4"/>
        <v>N</v>
      </c>
      <c r="Z13" s="12" t="str">
        <f t="shared" si="5"/>
        <v>N</v>
      </c>
      <c r="AA13" s="12">
        <f t="shared" si="6"/>
        <v>1</v>
      </c>
      <c r="AB13" s="12" t="str">
        <f t="shared" si="7"/>
        <v>SINGLE-SIGNAL</v>
      </c>
      <c r="AC13" s="14" t="str">
        <f t="shared" si="8"/>
        <v>Open Stipulation</v>
      </c>
    </row>
    <row r="14" spans="1:29" x14ac:dyDescent="0.45">
      <c r="A14" s="2" t="s">
        <v>100</v>
      </c>
      <c r="B14" s="2" t="s">
        <v>101</v>
      </c>
      <c r="C14" s="2" t="s">
        <v>49</v>
      </c>
      <c r="D14" s="2" t="s">
        <v>102</v>
      </c>
      <c r="E14" s="11">
        <v>43189</v>
      </c>
      <c r="F14" s="12" t="s">
        <v>53</v>
      </c>
      <c r="G14" s="13"/>
      <c r="H14" s="12"/>
      <c r="I14" s="11"/>
      <c r="J14" s="12" t="s">
        <v>53</v>
      </c>
      <c r="K14" s="11"/>
      <c r="L14" s="12"/>
      <c r="M14" s="12" t="s">
        <v>53</v>
      </c>
      <c r="N14" s="11"/>
      <c r="O14" s="12"/>
      <c r="P14" s="12" t="s">
        <v>53</v>
      </c>
      <c r="Q14" s="14"/>
      <c r="R14" s="14"/>
      <c r="S14" s="12" t="s">
        <v>51</v>
      </c>
      <c r="T14" s="11">
        <v>45140</v>
      </c>
      <c r="U14" s="12" t="str">
        <f t="shared" si="0"/>
        <v>N</v>
      </c>
      <c r="V14" s="12" t="str">
        <f t="shared" si="1"/>
        <v>N</v>
      </c>
      <c r="W14" s="12" t="str">
        <f t="shared" si="2"/>
        <v>N</v>
      </c>
      <c r="X14" s="12" t="str">
        <f t="shared" si="3"/>
        <v>N</v>
      </c>
      <c r="Y14" s="12" t="str">
        <f t="shared" si="4"/>
        <v>N</v>
      </c>
      <c r="Z14" s="12" t="str">
        <f t="shared" si="5"/>
        <v>N</v>
      </c>
      <c r="AA14" s="12">
        <f t="shared" si="6"/>
        <v>1</v>
      </c>
      <c r="AB14" s="12" t="str">
        <f t="shared" si="7"/>
        <v>SINGLE-SIGNAL</v>
      </c>
      <c r="AC14" s="14" t="str">
        <f t="shared" si="8"/>
        <v>Inactive Customer</v>
      </c>
    </row>
    <row r="15" spans="1:29" x14ac:dyDescent="0.45">
      <c r="A15" s="2" t="s">
        <v>103</v>
      </c>
      <c r="B15" s="2" t="s">
        <v>104</v>
      </c>
      <c r="C15" s="2" t="s">
        <v>49</v>
      </c>
      <c r="D15" s="2" t="s">
        <v>105</v>
      </c>
      <c r="E15" s="11">
        <v>43724</v>
      </c>
      <c r="F15" s="12" t="s">
        <v>53</v>
      </c>
      <c r="G15" s="13"/>
      <c r="H15" s="12"/>
      <c r="I15" s="11"/>
      <c r="J15" s="12" t="s">
        <v>53</v>
      </c>
      <c r="K15" s="11"/>
      <c r="L15" s="12"/>
      <c r="M15" s="12" t="s">
        <v>53</v>
      </c>
      <c r="N15" s="11"/>
      <c r="O15" s="12"/>
      <c r="P15" s="12" t="s">
        <v>53</v>
      </c>
      <c r="Q15" s="14"/>
      <c r="R15" s="14"/>
      <c r="S15" s="12" t="s">
        <v>51</v>
      </c>
      <c r="T15" s="11">
        <v>44294</v>
      </c>
      <c r="U15" s="12" t="str">
        <f t="shared" si="0"/>
        <v>N</v>
      </c>
      <c r="V15" s="12" t="str">
        <f t="shared" si="1"/>
        <v>N</v>
      </c>
      <c r="W15" s="12" t="str">
        <f t="shared" si="2"/>
        <v>N</v>
      </c>
      <c r="X15" s="12" t="str">
        <f t="shared" si="3"/>
        <v>N</v>
      </c>
      <c r="Y15" s="12" t="str">
        <f t="shared" si="4"/>
        <v>N</v>
      </c>
      <c r="Z15" s="12" t="str">
        <f t="shared" si="5"/>
        <v>N</v>
      </c>
      <c r="AA15" s="12">
        <f t="shared" si="6"/>
        <v>1</v>
      </c>
      <c r="AB15" s="12" t="str">
        <f t="shared" si="7"/>
        <v>SINGLE-SIGNAL</v>
      </c>
      <c r="AC15" s="14" t="str">
        <f t="shared" si="8"/>
        <v>Inactive Customer</v>
      </c>
    </row>
    <row r="16" spans="1:29" x14ac:dyDescent="0.45">
      <c r="A16" s="2" t="s">
        <v>106</v>
      </c>
      <c r="B16" s="2" t="s">
        <v>107</v>
      </c>
      <c r="C16" s="2" t="s">
        <v>49</v>
      </c>
      <c r="D16" s="2" t="s">
        <v>108</v>
      </c>
      <c r="E16" s="11">
        <v>44130</v>
      </c>
      <c r="F16" s="12" t="s">
        <v>51</v>
      </c>
      <c r="G16" s="13">
        <v>107500</v>
      </c>
      <c r="H16" s="12" t="s">
        <v>109</v>
      </c>
      <c r="I16" s="11">
        <v>45894</v>
      </c>
      <c r="J16" s="12" t="s">
        <v>53</v>
      </c>
      <c r="K16" s="11"/>
      <c r="L16" s="12" t="s">
        <v>53</v>
      </c>
      <c r="M16" s="12" t="s">
        <v>53</v>
      </c>
      <c r="N16" s="11"/>
      <c r="O16" s="12"/>
      <c r="P16" s="12" t="s">
        <v>53</v>
      </c>
      <c r="Q16" s="14"/>
      <c r="R16" s="14"/>
      <c r="S16" s="12" t="s">
        <v>53</v>
      </c>
      <c r="T16" s="11"/>
      <c r="U16" s="12" t="str">
        <f t="shared" si="0"/>
        <v>N</v>
      </c>
      <c r="V16" s="12" t="str">
        <f t="shared" si="1"/>
        <v>N</v>
      </c>
      <c r="W16" s="12" t="str">
        <f t="shared" si="2"/>
        <v>N</v>
      </c>
      <c r="X16" s="12" t="str">
        <f t="shared" si="3"/>
        <v>N</v>
      </c>
      <c r="Y16" s="12" t="str">
        <f t="shared" si="4"/>
        <v>N</v>
      </c>
      <c r="Z16" s="12" t="str">
        <f t="shared" si="5"/>
        <v>N</v>
      </c>
      <c r="AA16" s="12">
        <f t="shared" si="6"/>
        <v>1</v>
      </c>
      <c r="AB16" s="12" t="str">
        <f t="shared" si="7"/>
        <v>SINGLE-SIGNAL</v>
      </c>
      <c r="AC16" s="14" t="str">
        <f t="shared" si="8"/>
        <v>Settlement Authorization</v>
      </c>
    </row>
    <row r="17" spans="1:29" x14ac:dyDescent="0.45">
      <c r="A17" s="2" t="s">
        <v>110</v>
      </c>
      <c r="B17" s="2" t="s">
        <v>111</v>
      </c>
      <c r="C17" s="2" t="s">
        <v>49</v>
      </c>
      <c r="D17" s="2" t="s">
        <v>112</v>
      </c>
      <c r="E17" s="11">
        <v>44236</v>
      </c>
      <c r="F17" s="12" t="s">
        <v>51</v>
      </c>
      <c r="G17" s="13">
        <v>108750</v>
      </c>
      <c r="H17" s="12" t="s">
        <v>59</v>
      </c>
      <c r="I17" s="11">
        <v>45432</v>
      </c>
      <c r="J17" s="12" t="s">
        <v>53</v>
      </c>
      <c r="K17" s="11"/>
      <c r="L17" s="12" t="s">
        <v>53</v>
      </c>
      <c r="M17" s="12" t="s">
        <v>53</v>
      </c>
      <c r="N17" s="11"/>
      <c r="O17" s="12"/>
      <c r="P17" s="12" t="s">
        <v>53</v>
      </c>
      <c r="Q17" s="14"/>
      <c r="R17" s="14"/>
      <c r="S17" s="12" t="s">
        <v>51</v>
      </c>
      <c r="T17" s="11">
        <v>45642</v>
      </c>
      <c r="U17" s="12" t="str">
        <f t="shared" si="0"/>
        <v>N</v>
      </c>
      <c r="V17" s="12" t="str">
        <f t="shared" si="1"/>
        <v>N</v>
      </c>
      <c r="W17" s="12" t="str">
        <f t="shared" si="2"/>
        <v>N</v>
      </c>
      <c r="X17" s="12" t="str">
        <f t="shared" si="3"/>
        <v>N</v>
      </c>
      <c r="Y17" s="12" t="str">
        <f t="shared" si="4"/>
        <v>N</v>
      </c>
      <c r="Z17" s="12" t="str">
        <f t="shared" si="5"/>
        <v>N</v>
      </c>
      <c r="AA17" s="12">
        <f t="shared" si="6"/>
        <v>2</v>
      </c>
      <c r="AB17" s="12" t="str">
        <f t="shared" si="7"/>
        <v>MULTI-SIGNAL</v>
      </c>
      <c r="AC17" s="14" t="str">
        <f t="shared" si="8"/>
        <v>Settlement Authorization | Inactive Customer</v>
      </c>
    </row>
    <row r="18" spans="1:29" x14ac:dyDescent="0.45">
      <c r="A18" s="2" t="s">
        <v>113</v>
      </c>
      <c r="B18" s="2" t="s">
        <v>114</v>
      </c>
      <c r="C18" s="2" t="s">
        <v>49</v>
      </c>
      <c r="D18" s="2" t="s">
        <v>115</v>
      </c>
      <c r="E18" s="11">
        <v>43129</v>
      </c>
      <c r="F18" s="12" t="s">
        <v>51</v>
      </c>
      <c r="G18" s="13">
        <v>27250</v>
      </c>
      <c r="H18" s="12" t="s">
        <v>116</v>
      </c>
      <c r="I18" s="11">
        <v>43305</v>
      </c>
      <c r="J18" s="12" t="s">
        <v>53</v>
      </c>
      <c r="K18" s="11"/>
      <c r="L18" s="12" t="s">
        <v>53</v>
      </c>
      <c r="M18" s="12" t="s">
        <v>53</v>
      </c>
      <c r="N18" s="11"/>
      <c r="O18" s="12"/>
      <c r="P18" s="12" t="s">
        <v>53</v>
      </c>
      <c r="Q18" s="14"/>
      <c r="R18" s="14"/>
      <c r="S18" s="12" t="s">
        <v>53</v>
      </c>
      <c r="T18" s="11"/>
      <c r="U18" s="12" t="str">
        <f t="shared" si="0"/>
        <v>N</v>
      </c>
      <c r="V18" s="12" t="str">
        <f t="shared" si="1"/>
        <v>N</v>
      </c>
      <c r="W18" s="12" t="str">
        <f t="shared" si="2"/>
        <v>N</v>
      </c>
      <c r="X18" s="12" t="str">
        <f t="shared" si="3"/>
        <v>N</v>
      </c>
      <c r="Y18" s="12" t="str">
        <f t="shared" si="4"/>
        <v>N</v>
      </c>
      <c r="Z18" s="12" t="str">
        <f t="shared" si="5"/>
        <v>N</v>
      </c>
      <c r="AA18" s="12">
        <f t="shared" si="6"/>
        <v>1</v>
      </c>
      <c r="AB18" s="12" t="str">
        <f t="shared" si="7"/>
        <v>SINGLE-SIGNAL</v>
      </c>
      <c r="AC18" s="14" t="str">
        <f t="shared" si="8"/>
        <v>Settlement Authorization</v>
      </c>
    </row>
    <row r="19" spans="1:29" ht="28.5" x14ac:dyDescent="0.45">
      <c r="A19" s="2" t="s">
        <v>117</v>
      </c>
      <c r="B19" s="2" t="s">
        <v>118</v>
      </c>
      <c r="C19" s="2" t="s">
        <v>119</v>
      </c>
      <c r="D19" s="2" t="s">
        <v>120</v>
      </c>
      <c r="E19" s="11">
        <v>45454</v>
      </c>
      <c r="F19" s="12" t="s">
        <v>53</v>
      </c>
      <c r="G19" s="13"/>
      <c r="H19" s="12"/>
      <c r="I19" s="11"/>
      <c r="J19" s="12" t="s">
        <v>51</v>
      </c>
      <c r="K19" s="11">
        <v>46206</v>
      </c>
      <c r="L19" s="12" t="s">
        <v>51</v>
      </c>
      <c r="M19" s="12" t="s">
        <v>53</v>
      </c>
      <c r="N19" s="11"/>
      <c r="O19" s="12"/>
      <c r="P19" s="12" t="s">
        <v>51</v>
      </c>
      <c r="Q19" s="14" t="s">
        <v>121</v>
      </c>
      <c r="R19" s="14" t="s">
        <v>122</v>
      </c>
      <c r="S19" s="12" t="s">
        <v>53</v>
      </c>
      <c r="T19" s="11"/>
      <c r="U19" s="12" t="str">
        <f t="shared" si="0"/>
        <v>Y</v>
      </c>
      <c r="V19" s="12" t="str">
        <f t="shared" si="1"/>
        <v>Y</v>
      </c>
      <c r="W19" s="12" t="str">
        <f t="shared" si="2"/>
        <v>N</v>
      </c>
      <c r="X19" s="12" t="str">
        <f t="shared" si="3"/>
        <v>Y</v>
      </c>
      <c r="Y19" s="12" t="str">
        <f t="shared" si="4"/>
        <v>N</v>
      </c>
      <c r="Z19" s="12" t="str">
        <f t="shared" si="5"/>
        <v>Y</v>
      </c>
      <c r="AA19" s="12">
        <f t="shared" si="6"/>
        <v>2</v>
      </c>
      <c r="AB19" s="12" t="str">
        <f t="shared" si="7"/>
        <v>MULTI-SIGNAL</v>
      </c>
      <c r="AC19" s="14" t="str">
        <f t="shared" si="8"/>
        <v>Open Stipulation | Automated Claim Alert</v>
      </c>
    </row>
    <row r="20" spans="1:29" x14ac:dyDescent="0.45">
      <c r="A20" s="2" t="s">
        <v>123</v>
      </c>
      <c r="B20" s="2" t="s">
        <v>124</v>
      </c>
      <c r="C20" s="2" t="s">
        <v>119</v>
      </c>
      <c r="D20" s="2" t="s">
        <v>125</v>
      </c>
      <c r="E20" s="11">
        <v>44294</v>
      </c>
      <c r="F20" s="12" t="s">
        <v>53</v>
      </c>
      <c r="G20" s="13"/>
      <c r="H20" s="12"/>
      <c r="I20" s="11"/>
      <c r="J20" s="12" t="s">
        <v>51</v>
      </c>
      <c r="K20" s="11">
        <v>44425</v>
      </c>
      <c r="L20" s="12" t="s">
        <v>53</v>
      </c>
      <c r="M20" s="12" t="s">
        <v>53</v>
      </c>
      <c r="N20" s="11"/>
      <c r="O20" s="12"/>
      <c r="P20" s="12" t="s">
        <v>53</v>
      </c>
      <c r="Q20" s="14"/>
      <c r="R20" s="14"/>
      <c r="S20" s="12" t="s">
        <v>51</v>
      </c>
      <c r="T20" s="11">
        <v>44951</v>
      </c>
      <c r="U20" s="12" t="str">
        <f t="shared" si="0"/>
        <v>N</v>
      </c>
      <c r="V20" s="12" t="str">
        <f t="shared" si="1"/>
        <v>N</v>
      </c>
      <c r="W20" s="12" t="str">
        <f t="shared" si="2"/>
        <v>N</v>
      </c>
      <c r="X20" s="12" t="str">
        <f t="shared" si="3"/>
        <v>N</v>
      </c>
      <c r="Y20" s="12" t="str">
        <f t="shared" si="4"/>
        <v>N</v>
      </c>
      <c r="Z20" s="12" t="str">
        <f t="shared" si="5"/>
        <v>N</v>
      </c>
      <c r="AA20" s="12">
        <f t="shared" si="6"/>
        <v>2</v>
      </c>
      <c r="AB20" s="12" t="str">
        <f t="shared" si="7"/>
        <v>MULTI-SIGNAL</v>
      </c>
      <c r="AC20" s="14" t="str">
        <f t="shared" si="8"/>
        <v>Open Stipulation | Inactive Customer</v>
      </c>
    </row>
    <row r="21" spans="1:29" ht="28.5" x14ac:dyDescent="0.45">
      <c r="A21" s="2" t="s">
        <v>126</v>
      </c>
      <c r="B21" s="2" t="s">
        <v>127</v>
      </c>
      <c r="C21" s="2" t="s">
        <v>119</v>
      </c>
      <c r="D21" s="2" t="s">
        <v>128</v>
      </c>
      <c r="E21" s="11">
        <v>43797</v>
      </c>
      <c r="F21" s="12" t="s">
        <v>53</v>
      </c>
      <c r="G21" s="13"/>
      <c r="H21" s="12"/>
      <c r="I21" s="11"/>
      <c r="J21" s="12" t="s">
        <v>51</v>
      </c>
      <c r="K21" s="11">
        <v>44459</v>
      </c>
      <c r="L21" s="12" t="s">
        <v>53</v>
      </c>
      <c r="M21" s="12" t="s">
        <v>51</v>
      </c>
      <c r="N21" s="11">
        <v>44906</v>
      </c>
      <c r="O21" s="12" t="s">
        <v>129</v>
      </c>
      <c r="P21" s="12" t="s">
        <v>53</v>
      </c>
      <c r="Q21" s="14"/>
      <c r="R21" s="14"/>
      <c r="S21" s="12" t="s">
        <v>51</v>
      </c>
      <c r="T21" s="11">
        <v>44464</v>
      </c>
      <c r="U21" s="12" t="str">
        <f t="shared" si="0"/>
        <v>N</v>
      </c>
      <c r="V21" s="12" t="str">
        <f t="shared" si="1"/>
        <v>N</v>
      </c>
      <c r="W21" s="12" t="str">
        <f t="shared" si="2"/>
        <v>N</v>
      </c>
      <c r="X21" s="12" t="str">
        <f t="shared" si="3"/>
        <v>N</v>
      </c>
      <c r="Y21" s="12" t="str">
        <f t="shared" si="4"/>
        <v>N</v>
      </c>
      <c r="Z21" s="12" t="str">
        <f t="shared" si="5"/>
        <v>N</v>
      </c>
      <c r="AA21" s="12">
        <f t="shared" si="6"/>
        <v>3</v>
      </c>
      <c r="AB21" s="12" t="str">
        <f t="shared" si="7"/>
        <v>ELEVATED MULTI-SIGNAL</v>
      </c>
      <c r="AC21" s="14" t="str">
        <f t="shared" si="8"/>
        <v>Open Stipulation | Pending QME | Inactive Customer</v>
      </c>
    </row>
    <row r="22" spans="1:29" x14ac:dyDescent="0.45">
      <c r="A22" s="2" t="s">
        <v>130</v>
      </c>
      <c r="B22" s="2" t="s">
        <v>131</v>
      </c>
      <c r="C22" s="2" t="s">
        <v>119</v>
      </c>
      <c r="D22" s="2" t="s">
        <v>132</v>
      </c>
      <c r="E22" s="11">
        <v>43386</v>
      </c>
      <c r="F22" s="12" t="s">
        <v>51</v>
      </c>
      <c r="G22" s="13">
        <v>133500</v>
      </c>
      <c r="H22" s="12" t="s">
        <v>109</v>
      </c>
      <c r="I22" s="11">
        <v>43683</v>
      </c>
      <c r="J22" s="12" t="s">
        <v>53</v>
      </c>
      <c r="K22" s="11"/>
      <c r="L22" s="12" t="s">
        <v>51</v>
      </c>
      <c r="M22" s="12" t="s">
        <v>53</v>
      </c>
      <c r="N22" s="11"/>
      <c r="O22" s="12"/>
      <c r="P22" s="12" t="s">
        <v>53</v>
      </c>
      <c r="Q22" s="14"/>
      <c r="R22" s="14"/>
      <c r="S22" s="12" t="s">
        <v>53</v>
      </c>
      <c r="T22" s="11"/>
      <c r="U22" s="12" t="str">
        <f t="shared" si="0"/>
        <v>N</v>
      </c>
      <c r="V22" s="12" t="str">
        <f t="shared" si="1"/>
        <v>N</v>
      </c>
      <c r="W22" s="12" t="str">
        <f t="shared" si="2"/>
        <v>N</v>
      </c>
      <c r="X22" s="12" t="str">
        <f t="shared" si="3"/>
        <v>N</v>
      </c>
      <c r="Y22" s="12" t="str">
        <f t="shared" si="4"/>
        <v>N</v>
      </c>
      <c r="Z22" s="12" t="str">
        <f t="shared" si="5"/>
        <v>N</v>
      </c>
      <c r="AA22" s="12">
        <f t="shared" si="6"/>
        <v>1</v>
      </c>
      <c r="AB22" s="12" t="str">
        <f t="shared" si="7"/>
        <v>SINGLE-SIGNAL</v>
      </c>
      <c r="AC22" s="14" t="str">
        <f t="shared" si="8"/>
        <v>Settlement Authorization</v>
      </c>
    </row>
    <row r="23" spans="1:29" x14ac:dyDescent="0.45">
      <c r="A23" s="2" t="s">
        <v>133</v>
      </c>
      <c r="B23" s="2" t="s">
        <v>134</v>
      </c>
      <c r="C23" s="2" t="s">
        <v>119</v>
      </c>
      <c r="D23" s="2" t="s">
        <v>135</v>
      </c>
      <c r="E23" s="11">
        <v>43350</v>
      </c>
      <c r="F23" s="12" t="s">
        <v>53</v>
      </c>
      <c r="G23" s="13"/>
      <c r="H23" s="12"/>
      <c r="I23" s="11"/>
      <c r="J23" s="12" t="s">
        <v>51</v>
      </c>
      <c r="K23" s="11">
        <v>44321</v>
      </c>
      <c r="L23" s="12" t="s">
        <v>53</v>
      </c>
      <c r="M23" s="12" t="s">
        <v>53</v>
      </c>
      <c r="N23" s="11"/>
      <c r="O23" s="12"/>
      <c r="P23" s="12" t="s">
        <v>53</v>
      </c>
      <c r="Q23" s="14"/>
      <c r="R23" s="14"/>
      <c r="S23" s="12" t="s">
        <v>53</v>
      </c>
      <c r="T23" s="11"/>
      <c r="U23" s="12" t="str">
        <f t="shared" si="0"/>
        <v>N</v>
      </c>
      <c r="V23" s="12" t="str">
        <f t="shared" si="1"/>
        <v>N</v>
      </c>
      <c r="W23" s="12" t="str">
        <f t="shared" si="2"/>
        <v>N</v>
      </c>
      <c r="X23" s="12" t="str">
        <f t="shared" si="3"/>
        <v>N</v>
      </c>
      <c r="Y23" s="12" t="str">
        <f t="shared" si="4"/>
        <v>N</v>
      </c>
      <c r="Z23" s="12" t="str">
        <f t="shared" si="5"/>
        <v>N</v>
      </c>
      <c r="AA23" s="12">
        <f t="shared" si="6"/>
        <v>1</v>
      </c>
      <c r="AB23" s="12" t="str">
        <f t="shared" si="7"/>
        <v>SINGLE-SIGNAL</v>
      </c>
      <c r="AC23" s="14" t="str">
        <f t="shared" si="8"/>
        <v>Open Stipulation</v>
      </c>
    </row>
    <row r="24" spans="1:29" x14ac:dyDescent="0.45">
      <c r="A24" s="2" t="s">
        <v>136</v>
      </c>
      <c r="B24" s="2" t="s">
        <v>137</v>
      </c>
      <c r="C24" s="2" t="s">
        <v>119</v>
      </c>
      <c r="D24" s="2" t="s">
        <v>138</v>
      </c>
      <c r="E24" s="11">
        <v>43869</v>
      </c>
      <c r="F24" s="12" t="s">
        <v>53</v>
      </c>
      <c r="G24" s="13"/>
      <c r="H24" s="12"/>
      <c r="I24" s="11"/>
      <c r="J24" s="12" t="s">
        <v>53</v>
      </c>
      <c r="K24" s="11"/>
      <c r="L24" s="12"/>
      <c r="M24" s="12" t="s">
        <v>51</v>
      </c>
      <c r="N24" s="11">
        <v>45391</v>
      </c>
      <c r="O24" s="12" t="s">
        <v>139</v>
      </c>
      <c r="P24" s="12" t="s">
        <v>53</v>
      </c>
      <c r="Q24" s="14"/>
      <c r="R24" s="14"/>
      <c r="S24" s="12" t="s">
        <v>53</v>
      </c>
      <c r="T24" s="11"/>
      <c r="U24" s="12" t="str">
        <f t="shared" si="0"/>
        <v>N</v>
      </c>
      <c r="V24" s="12" t="str">
        <f t="shared" si="1"/>
        <v>N</v>
      </c>
      <c r="W24" s="12" t="str">
        <f t="shared" si="2"/>
        <v>N</v>
      </c>
      <c r="X24" s="12" t="str">
        <f t="shared" si="3"/>
        <v>N</v>
      </c>
      <c r="Y24" s="12" t="str">
        <f t="shared" si="4"/>
        <v>N</v>
      </c>
      <c r="Z24" s="12" t="str">
        <f t="shared" si="5"/>
        <v>N</v>
      </c>
      <c r="AA24" s="12">
        <f t="shared" si="6"/>
        <v>1</v>
      </c>
      <c r="AB24" s="12" t="str">
        <f t="shared" si="7"/>
        <v>SINGLE-SIGNAL</v>
      </c>
      <c r="AC24" s="14" t="str">
        <f t="shared" si="8"/>
        <v>Pending QME</v>
      </c>
    </row>
    <row r="25" spans="1:29" ht="28.5" x14ac:dyDescent="0.45">
      <c r="A25" s="2" t="s">
        <v>140</v>
      </c>
      <c r="B25" s="2" t="s">
        <v>141</v>
      </c>
      <c r="C25" s="2" t="s">
        <v>119</v>
      </c>
      <c r="D25" s="2" t="s">
        <v>142</v>
      </c>
      <c r="E25" s="11">
        <v>43616</v>
      </c>
      <c r="F25" s="12" t="s">
        <v>53</v>
      </c>
      <c r="G25" s="13"/>
      <c r="H25" s="12"/>
      <c r="I25" s="11"/>
      <c r="J25" s="12" t="s">
        <v>53</v>
      </c>
      <c r="K25" s="11"/>
      <c r="L25" s="12"/>
      <c r="M25" s="12" t="s">
        <v>53</v>
      </c>
      <c r="N25" s="11"/>
      <c r="O25" s="12"/>
      <c r="P25" s="12" t="s">
        <v>51</v>
      </c>
      <c r="Q25" s="14" t="s">
        <v>143</v>
      </c>
      <c r="R25" s="14"/>
      <c r="S25" s="12" t="s">
        <v>53</v>
      </c>
      <c r="T25" s="11"/>
      <c r="U25" s="12" t="str">
        <f t="shared" si="0"/>
        <v>N</v>
      </c>
      <c r="V25" s="12" t="str">
        <f t="shared" si="1"/>
        <v>N</v>
      </c>
      <c r="W25" s="12" t="str">
        <f t="shared" si="2"/>
        <v>Y</v>
      </c>
      <c r="X25" s="12" t="str">
        <f t="shared" si="3"/>
        <v>N</v>
      </c>
      <c r="Y25" s="12" t="str">
        <f t="shared" si="4"/>
        <v>Y</v>
      </c>
      <c r="Z25" s="12" t="str">
        <f t="shared" si="5"/>
        <v>Y</v>
      </c>
      <c r="AA25" s="12">
        <f t="shared" si="6"/>
        <v>1</v>
      </c>
      <c r="AB25" s="12" t="str">
        <f t="shared" si="7"/>
        <v>SINGLE-SIGNAL</v>
      </c>
      <c r="AC25" s="14" t="str">
        <f t="shared" si="8"/>
        <v>Automated Claim Alert</v>
      </c>
    </row>
    <row r="26" spans="1:29" x14ac:dyDescent="0.45">
      <c r="A26" s="2" t="s">
        <v>144</v>
      </c>
      <c r="B26" s="2" t="s">
        <v>145</v>
      </c>
      <c r="C26" s="2" t="s">
        <v>119</v>
      </c>
      <c r="D26" s="2" t="s">
        <v>132</v>
      </c>
      <c r="E26" s="11">
        <v>45098</v>
      </c>
      <c r="F26" s="12" t="s">
        <v>51</v>
      </c>
      <c r="G26" s="13">
        <v>141000</v>
      </c>
      <c r="H26" s="12" t="s">
        <v>109</v>
      </c>
      <c r="I26" s="11">
        <v>45846</v>
      </c>
      <c r="J26" s="12" t="s">
        <v>53</v>
      </c>
      <c r="K26" s="11"/>
      <c r="L26" s="12" t="s">
        <v>53</v>
      </c>
      <c r="M26" s="12" t="s">
        <v>53</v>
      </c>
      <c r="N26" s="11"/>
      <c r="O26" s="12"/>
      <c r="P26" s="12" t="s">
        <v>53</v>
      </c>
      <c r="Q26" s="14"/>
      <c r="R26" s="14"/>
      <c r="S26" s="12" t="s">
        <v>53</v>
      </c>
      <c r="T26" s="11"/>
      <c r="U26" s="12" t="str">
        <f t="shared" si="0"/>
        <v>N</v>
      </c>
      <c r="V26" s="12" t="str">
        <f t="shared" si="1"/>
        <v>N</v>
      </c>
      <c r="W26" s="12" t="str">
        <f t="shared" si="2"/>
        <v>N</v>
      </c>
      <c r="X26" s="12" t="str">
        <f t="shared" si="3"/>
        <v>N</v>
      </c>
      <c r="Y26" s="12" t="str">
        <f t="shared" si="4"/>
        <v>N</v>
      </c>
      <c r="Z26" s="12" t="str">
        <f t="shared" si="5"/>
        <v>N</v>
      </c>
      <c r="AA26" s="12">
        <f t="shared" si="6"/>
        <v>1</v>
      </c>
      <c r="AB26" s="12" t="str">
        <f t="shared" si="7"/>
        <v>SINGLE-SIGNAL</v>
      </c>
      <c r="AC26" s="14" t="str">
        <f t="shared" si="8"/>
        <v>Settlement Authorization</v>
      </c>
    </row>
    <row r="27" spans="1:29" ht="28.5" x14ac:dyDescent="0.45">
      <c r="A27" s="2" t="s">
        <v>146</v>
      </c>
      <c r="B27" s="2" t="s">
        <v>147</v>
      </c>
      <c r="C27" s="2" t="s">
        <v>119</v>
      </c>
      <c r="D27" s="2" t="s">
        <v>148</v>
      </c>
      <c r="E27" s="11">
        <v>43998</v>
      </c>
      <c r="F27" s="12" t="s">
        <v>51</v>
      </c>
      <c r="G27" s="13">
        <v>31750</v>
      </c>
      <c r="H27" s="12" t="s">
        <v>109</v>
      </c>
      <c r="I27" s="11">
        <v>44620</v>
      </c>
      <c r="J27" s="12" t="s">
        <v>53</v>
      </c>
      <c r="K27" s="11"/>
      <c r="L27" s="12" t="s">
        <v>53</v>
      </c>
      <c r="M27" s="12" t="s">
        <v>53</v>
      </c>
      <c r="N27" s="11"/>
      <c r="O27" s="12"/>
      <c r="P27" s="12" t="s">
        <v>51</v>
      </c>
      <c r="Q27" s="14" t="s">
        <v>149</v>
      </c>
      <c r="R27" s="14"/>
      <c r="S27" s="12" t="s">
        <v>53</v>
      </c>
      <c r="T27" s="11"/>
      <c r="U27" s="12" t="str">
        <f t="shared" si="0"/>
        <v>N</v>
      </c>
      <c r="V27" s="12" t="str">
        <f t="shared" si="1"/>
        <v>N</v>
      </c>
      <c r="W27" s="12" t="str">
        <f t="shared" si="2"/>
        <v>N</v>
      </c>
      <c r="X27" s="12" t="str">
        <f t="shared" si="3"/>
        <v>N</v>
      </c>
      <c r="Y27" s="12" t="str">
        <f t="shared" si="4"/>
        <v>N</v>
      </c>
      <c r="Z27" s="12" t="str">
        <f t="shared" si="5"/>
        <v>Y</v>
      </c>
      <c r="AA27" s="12">
        <f t="shared" si="6"/>
        <v>2</v>
      </c>
      <c r="AB27" s="12" t="str">
        <f t="shared" si="7"/>
        <v>MULTI-SIGNAL</v>
      </c>
      <c r="AC27" s="14" t="str">
        <f t="shared" si="8"/>
        <v>Settlement Authorization | Automated Claim Alert</v>
      </c>
    </row>
    <row r="28" spans="1:29" x14ac:dyDescent="0.45">
      <c r="A28" s="2" t="s">
        <v>150</v>
      </c>
      <c r="B28" s="2" t="s">
        <v>151</v>
      </c>
      <c r="C28" s="2" t="s">
        <v>119</v>
      </c>
      <c r="D28" s="2" t="s">
        <v>152</v>
      </c>
      <c r="E28" s="11">
        <v>44367</v>
      </c>
      <c r="F28" s="12" t="s">
        <v>53</v>
      </c>
      <c r="G28" s="13"/>
      <c r="H28" s="12"/>
      <c r="I28" s="11"/>
      <c r="J28" s="12" t="s">
        <v>53</v>
      </c>
      <c r="K28" s="11"/>
      <c r="L28" s="12"/>
      <c r="M28" s="12" t="s">
        <v>53</v>
      </c>
      <c r="N28" s="11"/>
      <c r="O28" s="12"/>
      <c r="P28" s="12" t="s">
        <v>53</v>
      </c>
      <c r="Q28" s="14"/>
      <c r="R28" s="14"/>
      <c r="S28" s="12" t="s">
        <v>51</v>
      </c>
      <c r="T28" s="11">
        <v>46317</v>
      </c>
      <c r="U28" s="12" t="str">
        <f t="shared" si="0"/>
        <v>N</v>
      </c>
      <c r="V28" s="12" t="str">
        <f t="shared" si="1"/>
        <v>N</v>
      </c>
      <c r="W28" s="12" t="str">
        <f t="shared" si="2"/>
        <v>N</v>
      </c>
      <c r="X28" s="12" t="str">
        <f t="shared" si="3"/>
        <v>N</v>
      </c>
      <c r="Y28" s="12" t="str">
        <f t="shared" si="4"/>
        <v>N</v>
      </c>
      <c r="Z28" s="12" t="str">
        <f t="shared" si="5"/>
        <v>N</v>
      </c>
      <c r="AA28" s="12">
        <f t="shared" si="6"/>
        <v>1</v>
      </c>
      <c r="AB28" s="12" t="str">
        <f t="shared" si="7"/>
        <v>SINGLE-SIGNAL</v>
      </c>
      <c r="AC28" s="14" t="str">
        <f t="shared" si="8"/>
        <v>Inactive Customer</v>
      </c>
    </row>
    <row r="29" spans="1:29" x14ac:dyDescent="0.45">
      <c r="A29" s="2" t="s">
        <v>153</v>
      </c>
      <c r="B29" s="2" t="s">
        <v>154</v>
      </c>
      <c r="C29" s="2" t="s">
        <v>119</v>
      </c>
      <c r="D29" s="2" t="s">
        <v>155</v>
      </c>
      <c r="E29" s="11">
        <v>44646</v>
      </c>
      <c r="F29" s="12" t="s">
        <v>53</v>
      </c>
      <c r="G29" s="13"/>
      <c r="H29" s="12"/>
      <c r="I29" s="11"/>
      <c r="J29" s="12" t="s">
        <v>51</v>
      </c>
      <c r="K29" s="11">
        <v>45828</v>
      </c>
      <c r="L29" s="12" t="s">
        <v>53</v>
      </c>
      <c r="M29" s="12" t="s">
        <v>53</v>
      </c>
      <c r="N29" s="11"/>
      <c r="O29" s="12"/>
      <c r="P29" s="12" t="s">
        <v>53</v>
      </c>
      <c r="Q29" s="14"/>
      <c r="R29" s="14"/>
      <c r="S29" s="12" t="s">
        <v>53</v>
      </c>
      <c r="T29" s="11"/>
      <c r="U29" s="12" t="str">
        <f t="shared" si="0"/>
        <v>N</v>
      </c>
      <c r="V29" s="12" t="str">
        <f t="shared" si="1"/>
        <v>N</v>
      </c>
      <c r="W29" s="12" t="str">
        <f t="shared" si="2"/>
        <v>N</v>
      </c>
      <c r="X29" s="12" t="str">
        <f t="shared" si="3"/>
        <v>N</v>
      </c>
      <c r="Y29" s="12" t="str">
        <f t="shared" si="4"/>
        <v>N</v>
      </c>
      <c r="Z29" s="12" t="str">
        <f t="shared" si="5"/>
        <v>N</v>
      </c>
      <c r="AA29" s="12">
        <f t="shared" si="6"/>
        <v>1</v>
      </c>
      <c r="AB29" s="12" t="str">
        <f t="shared" si="7"/>
        <v>SINGLE-SIGNAL</v>
      </c>
      <c r="AC29" s="14" t="str">
        <f t="shared" si="8"/>
        <v>Open Stipulation</v>
      </c>
    </row>
    <row r="30" spans="1:29" ht="28.5" x14ac:dyDescent="0.45">
      <c r="A30" s="2" t="s">
        <v>156</v>
      </c>
      <c r="B30" s="2" t="s">
        <v>157</v>
      </c>
      <c r="C30" s="2" t="s">
        <v>119</v>
      </c>
      <c r="D30" s="2" t="s">
        <v>158</v>
      </c>
      <c r="E30" s="11">
        <v>43270</v>
      </c>
      <c r="F30" s="12" t="s">
        <v>51</v>
      </c>
      <c r="G30" s="13">
        <v>115750</v>
      </c>
      <c r="H30" s="12" t="s">
        <v>109</v>
      </c>
      <c r="I30" s="11">
        <v>43606</v>
      </c>
      <c r="J30" s="12" t="s">
        <v>53</v>
      </c>
      <c r="K30" s="11"/>
      <c r="L30" s="12" t="s">
        <v>51</v>
      </c>
      <c r="M30" s="12" t="s">
        <v>53</v>
      </c>
      <c r="N30" s="11"/>
      <c r="O30" s="12"/>
      <c r="P30" s="12" t="s">
        <v>51</v>
      </c>
      <c r="Q30" s="14" t="s">
        <v>149</v>
      </c>
      <c r="R30" s="14"/>
      <c r="S30" s="12" t="s">
        <v>51</v>
      </c>
      <c r="T30" s="11">
        <v>45018</v>
      </c>
      <c r="U30" s="12" t="str">
        <f t="shared" si="0"/>
        <v>N</v>
      </c>
      <c r="V30" s="12" t="str">
        <f t="shared" si="1"/>
        <v>N</v>
      </c>
      <c r="W30" s="12" t="str">
        <f t="shared" si="2"/>
        <v>N</v>
      </c>
      <c r="X30" s="12" t="str">
        <f t="shared" si="3"/>
        <v>N</v>
      </c>
      <c r="Y30" s="12" t="str">
        <f t="shared" si="4"/>
        <v>N</v>
      </c>
      <c r="Z30" s="12" t="str">
        <f t="shared" si="5"/>
        <v>Y</v>
      </c>
      <c r="AA30" s="12">
        <f t="shared" si="6"/>
        <v>3</v>
      </c>
      <c r="AB30" s="12" t="str">
        <f t="shared" si="7"/>
        <v>ELEVATED MULTI-SIGNAL</v>
      </c>
      <c r="AC30" s="14" t="str">
        <f t="shared" si="8"/>
        <v>Settlement Authorization | Automated Claim Alert | Inactive Customer</v>
      </c>
    </row>
    <row r="31" spans="1:29" x14ac:dyDescent="0.45">
      <c r="A31" s="2" t="s">
        <v>159</v>
      </c>
      <c r="B31" s="2" t="s">
        <v>160</v>
      </c>
      <c r="C31" s="2" t="s">
        <v>119</v>
      </c>
      <c r="D31" s="2" t="s">
        <v>161</v>
      </c>
      <c r="E31" s="11">
        <v>43230</v>
      </c>
      <c r="F31" s="12" t="s">
        <v>51</v>
      </c>
      <c r="G31" s="13">
        <v>155750</v>
      </c>
      <c r="H31" s="12" t="s">
        <v>89</v>
      </c>
      <c r="I31" s="11">
        <v>43559</v>
      </c>
      <c r="J31" s="12" t="s">
        <v>53</v>
      </c>
      <c r="K31" s="11"/>
      <c r="L31" s="12" t="s">
        <v>53</v>
      </c>
      <c r="M31" s="12" t="s">
        <v>53</v>
      </c>
      <c r="N31" s="11"/>
      <c r="O31" s="12"/>
      <c r="P31" s="12" t="s">
        <v>53</v>
      </c>
      <c r="Q31" s="14"/>
      <c r="R31" s="14"/>
      <c r="S31" s="12" t="s">
        <v>51</v>
      </c>
      <c r="T31" s="11">
        <v>44589</v>
      </c>
      <c r="U31" s="12" t="str">
        <f t="shared" si="0"/>
        <v>N</v>
      </c>
      <c r="V31" s="12" t="str">
        <f t="shared" si="1"/>
        <v>N</v>
      </c>
      <c r="W31" s="12" t="str">
        <f t="shared" si="2"/>
        <v>N</v>
      </c>
      <c r="X31" s="12" t="str">
        <f t="shared" si="3"/>
        <v>N</v>
      </c>
      <c r="Y31" s="12" t="str">
        <f t="shared" si="4"/>
        <v>N</v>
      </c>
      <c r="Z31" s="12" t="str">
        <f t="shared" si="5"/>
        <v>N</v>
      </c>
      <c r="AA31" s="12">
        <f t="shared" si="6"/>
        <v>2</v>
      </c>
      <c r="AB31" s="12" t="str">
        <f t="shared" si="7"/>
        <v>MULTI-SIGNAL</v>
      </c>
      <c r="AC31" s="14" t="str">
        <f t="shared" si="8"/>
        <v>Settlement Authorization | Inactive Customer</v>
      </c>
    </row>
    <row r="32" spans="1:29" x14ac:dyDescent="0.45">
      <c r="A32" s="2" t="s">
        <v>162</v>
      </c>
      <c r="B32" s="2" t="s">
        <v>163</v>
      </c>
      <c r="C32" s="2" t="s">
        <v>119</v>
      </c>
      <c r="D32" s="2" t="s">
        <v>164</v>
      </c>
      <c r="E32" s="11">
        <v>43595</v>
      </c>
      <c r="F32" s="12" t="s">
        <v>51</v>
      </c>
      <c r="G32" s="13">
        <v>170500</v>
      </c>
      <c r="H32" s="12" t="s">
        <v>85</v>
      </c>
      <c r="I32" s="11">
        <v>44131</v>
      </c>
      <c r="J32" s="12" t="s">
        <v>53</v>
      </c>
      <c r="K32" s="11"/>
      <c r="L32" s="12" t="s">
        <v>53</v>
      </c>
      <c r="M32" s="12" t="s">
        <v>53</v>
      </c>
      <c r="N32" s="11"/>
      <c r="O32" s="12"/>
      <c r="P32" s="12" t="s">
        <v>53</v>
      </c>
      <c r="Q32" s="14"/>
      <c r="R32" s="14"/>
      <c r="S32" s="12" t="s">
        <v>51</v>
      </c>
      <c r="T32" s="11">
        <v>45135</v>
      </c>
      <c r="U32" s="12" t="str">
        <f t="shared" si="0"/>
        <v>N</v>
      </c>
      <c r="V32" s="12" t="str">
        <f t="shared" si="1"/>
        <v>N</v>
      </c>
      <c r="W32" s="12" t="str">
        <f t="shared" si="2"/>
        <v>N</v>
      </c>
      <c r="X32" s="12" t="str">
        <f t="shared" si="3"/>
        <v>N</v>
      </c>
      <c r="Y32" s="12" t="str">
        <f t="shared" si="4"/>
        <v>N</v>
      </c>
      <c r="Z32" s="12" t="str">
        <f t="shared" si="5"/>
        <v>N</v>
      </c>
      <c r="AA32" s="12">
        <f t="shared" si="6"/>
        <v>2</v>
      </c>
      <c r="AB32" s="12" t="str">
        <f t="shared" si="7"/>
        <v>MULTI-SIGNAL</v>
      </c>
      <c r="AC32" s="14" t="str">
        <f t="shared" si="8"/>
        <v>Settlement Authorization | Inactive Customer</v>
      </c>
    </row>
    <row r="33" spans="1:29" x14ac:dyDescent="0.45">
      <c r="A33" s="2" t="s">
        <v>165</v>
      </c>
      <c r="B33" s="2" t="s">
        <v>166</v>
      </c>
      <c r="C33" s="2" t="s">
        <v>167</v>
      </c>
      <c r="D33" s="2" t="s">
        <v>125</v>
      </c>
      <c r="E33" s="11">
        <v>45156</v>
      </c>
      <c r="F33" s="12" t="s">
        <v>51</v>
      </c>
      <c r="G33" s="13">
        <v>122250</v>
      </c>
      <c r="H33" s="12" t="s">
        <v>89</v>
      </c>
      <c r="I33" s="11">
        <v>45229</v>
      </c>
      <c r="J33" s="12" t="s">
        <v>53</v>
      </c>
      <c r="K33" s="11"/>
      <c r="L33" s="12" t="s">
        <v>53</v>
      </c>
      <c r="M33" s="12" t="s">
        <v>53</v>
      </c>
      <c r="N33" s="11"/>
      <c r="O33" s="12"/>
      <c r="P33" s="12" t="s">
        <v>53</v>
      </c>
      <c r="Q33" s="14"/>
      <c r="R33" s="14"/>
      <c r="S33" s="12" t="s">
        <v>53</v>
      </c>
      <c r="T33" s="11"/>
      <c r="U33" s="12" t="str">
        <f t="shared" si="0"/>
        <v>N</v>
      </c>
      <c r="V33" s="12" t="str">
        <f t="shared" si="1"/>
        <v>N</v>
      </c>
      <c r="W33" s="12" t="str">
        <f t="shared" si="2"/>
        <v>N</v>
      </c>
      <c r="X33" s="12" t="str">
        <f t="shared" si="3"/>
        <v>N</v>
      </c>
      <c r="Y33" s="12" t="str">
        <f t="shared" si="4"/>
        <v>N</v>
      </c>
      <c r="Z33" s="12" t="str">
        <f t="shared" si="5"/>
        <v>N</v>
      </c>
      <c r="AA33" s="12">
        <f t="shared" si="6"/>
        <v>1</v>
      </c>
      <c r="AB33" s="12" t="str">
        <f t="shared" si="7"/>
        <v>SINGLE-SIGNAL</v>
      </c>
      <c r="AC33" s="14" t="str">
        <f t="shared" si="8"/>
        <v>Settlement Authorization</v>
      </c>
    </row>
    <row r="34" spans="1:29" x14ac:dyDescent="0.45">
      <c r="A34" s="2" t="s">
        <v>168</v>
      </c>
      <c r="B34" s="2" t="s">
        <v>169</v>
      </c>
      <c r="C34" s="2" t="s">
        <v>170</v>
      </c>
      <c r="D34" s="2" t="s">
        <v>99</v>
      </c>
      <c r="E34" s="11">
        <v>45236</v>
      </c>
      <c r="F34" s="12" t="s">
        <v>53</v>
      </c>
      <c r="G34" s="13"/>
      <c r="H34" s="12"/>
      <c r="I34" s="11"/>
      <c r="J34" s="12" t="s">
        <v>53</v>
      </c>
      <c r="K34" s="11"/>
      <c r="L34" s="12"/>
      <c r="M34" s="12" t="s">
        <v>53</v>
      </c>
      <c r="N34" s="11"/>
      <c r="O34" s="12"/>
      <c r="P34" s="12" t="s">
        <v>53</v>
      </c>
      <c r="Q34" s="14"/>
      <c r="R34" s="14"/>
      <c r="S34" s="12" t="s">
        <v>51</v>
      </c>
      <c r="T34" s="11">
        <v>46923</v>
      </c>
      <c r="U34" s="12" t="str">
        <f t="shared" si="0"/>
        <v>N</v>
      </c>
      <c r="V34" s="12" t="str">
        <f t="shared" si="1"/>
        <v>N</v>
      </c>
      <c r="W34" s="12" t="str">
        <f t="shared" si="2"/>
        <v>N</v>
      </c>
      <c r="X34" s="12" t="str">
        <f t="shared" si="3"/>
        <v>N</v>
      </c>
      <c r="Y34" s="12" t="str">
        <f t="shared" si="4"/>
        <v>N</v>
      </c>
      <c r="Z34" s="12" t="str">
        <f t="shared" si="5"/>
        <v>N</v>
      </c>
      <c r="AA34" s="12">
        <f t="shared" si="6"/>
        <v>1</v>
      </c>
      <c r="AB34" s="12" t="str">
        <f t="shared" si="7"/>
        <v>SINGLE-SIGNAL</v>
      </c>
      <c r="AC34" s="14" t="str">
        <f t="shared" si="8"/>
        <v>Inactive Customer</v>
      </c>
    </row>
    <row r="35" spans="1:29" x14ac:dyDescent="0.45">
      <c r="A35" s="2" t="s">
        <v>171</v>
      </c>
      <c r="B35" s="2" t="s">
        <v>172</v>
      </c>
      <c r="C35" s="2" t="s">
        <v>170</v>
      </c>
      <c r="D35" s="2" t="s">
        <v>173</v>
      </c>
      <c r="E35" s="11">
        <v>43929</v>
      </c>
      <c r="F35" s="12" t="s">
        <v>51</v>
      </c>
      <c r="G35" s="13">
        <v>71250</v>
      </c>
      <c r="H35" s="12" t="s">
        <v>71</v>
      </c>
      <c r="I35" s="11">
        <v>44890</v>
      </c>
      <c r="J35" s="12" t="s">
        <v>53</v>
      </c>
      <c r="K35" s="11"/>
      <c r="L35" s="12" t="s">
        <v>51</v>
      </c>
      <c r="M35" s="12" t="s">
        <v>53</v>
      </c>
      <c r="N35" s="11"/>
      <c r="O35" s="12"/>
      <c r="P35" s="12" t="s">
        <v>53</v>
      </c>
      <c r="Q35" s="14"/>
      <c r="R35" s="14"/>
      <c r="S35" s="12" t="s">
        <v>53</v>
      </c>
      <c r="T35" s="11"/>
      <c r="U35" s="12" t="str">
        <f t="shared" si="0"/>
        <v>N</v>
      </c>
      <c r="V35" s="12" t="str">
        <f t="shared" si="1"/>
        <v>N</v>
      </c>
      <c r="W35" s="12" t="str">
        <f t="shared" si="2"/>
        <v>N</v>
      </c>
      <c r="X35" s="12" t="str">
        <f t="shared" si="3"/>
        <v>N</v>
      </c>
      <c r="Y35" s="12" t="str">
        <f t="shared" si="4"/>
        <v>N</v>
      </c>
      <c r="Z35" s="12" t="str">
        <f t="shared" si="5"/>
        <v>N</v>
      </c>
      <c r="AA35" s="12">
        <f t="shared" si="6"/>
        <v>1</v>
      </c>
      <c r="AB35" s="12" t="str">
        <f t="shared" si="7"/>
        <v>SINGLE-SIGNAL</v>
      </c>
      <c r="AC35" s="14" t="str">
        <f t="shared" si="8"/>
        <v>Settlement Authorization</v>
      </c>
    </row>
    <row r="36" spans="1:29" x14ac:dyDescent="0.45">
      <c r="A36" s="2" t="s">
        <v>174</v>
      </c>
      <c r="B36" s="2" t="s">
        <v>175</v>
      </c>
      <c r="C36" s="2" t="s">
        <v>170</v>
      </c>
      <c r="D36" s="2" t="s">
        <v>176</v>
      </c>
      <c r="E36" s="11">
        <v>45664</v>
      </c>
      <c r="F36" s="12" t="s">
        <v>53</v>
      </c>
      <c r="G36" s="13"/>
      <c r="H36" s="12"/>
      <c r="I36" s="11"/>
      <c r="J36" s="12" t="s">
        <v>51</v>
      </c>
      <c r="K36" s="11">
        <v>46697</v>
      </c>
      <c r="L36" s="12" t="s">
        <v>51</v>
      </c>
      <c r="M36" s="12" t="s">
        <v>53</v>
      </c>
      <c r="N36" s="11"/>
      <c r="O36" s="12"/>
      <c r="P36" s="12" t="s">
        <v>53</v>
      </c>
      <c r="Q36" s="14"/>
      <c r="R36" s="14"/>
      <c r="S36" s="12" t="s">
        <v>53</v>
      </c>
      <c r="T36" s="11"/>
      <c r="U36" s="12" t="str">
        <f t="shared" si="0"/>
        <v>N</v>
      </c>
      <c r="V36" s="12" t="str">
        <f t="shared" si="1"/>
        <v>N</v>
      </c>
      <c r="W36" s="12" t="str">
        <f t="shared" si="2"/>
        <v>N</v>
      </c>
      <c r="X36" s="12" t="str">
        <f t="shared" si="3"/>
        <v>N</v>
      </c>
      <c r="Y36" s="12" t="str">
        <f t="shared" si="4"/>
        <v>N</v>
      </c>
      <c r="Z36" s="12" t="str">
        <f t="shared" si="5"/>
        <v>N</v>
      </c>
      <c r="AA36" s="12">
        <f t="shared" si="6"/>
        <v>1</v>
      </c>
      <c r="AB36" s="12" t="str">
        <f t="shared" si="7"/>
        <v>SINGLE-SIGNAL</v>
      </c>
      <c r="AC36" s="14" t="str">
        <f t="shared" si="8"/>
        <v>Open Stipulation</v>
      </c>
    </row>
    <row r="37" spans="1:29" x14ac:dyDescent="0.45">
      <c r="A37" s="2" t="s">
        <v>177</v>
      </c>
      <c r="B37" s="2" t="s">
        <v>178</v>
      </c>
      <c r="C37" s="2" t="s">
        <v>170</v>
      </c>
      <c r="D37" s="2" t="s">
        <v>58</v>
      </c>
      <c r="E37" s="11">
        <v>43425</v>
      </c>
      <c r="F37" s="12" t="s">
        <v>51</v>
      </c>
      <c r="G37" s="13">
        <v>69000</v>
      </c>
      <c r="H37" s="12" t="s">
        <v>78</v>
      </c>
      <c r="I37" s="11">
        <v>44401</v>
      </c>
      <c r="J37" s="12" t="s">
        <v>51</v>
      </c>
      <c r="K37" s="11">
        <v>43983</v>
      </c>
      <c r="L37" s="12" t="s">
        <v>53</v>
      </c>
      <c r="M37" s="12" t="s">
        <v>53</v>
      </c>
      <c r="N37" s="11"/>
      <c r="O37" s="12"/>
      <c r="P37" s="12" t="s">
        <v>53</v>
      </c>
      <c r="Q37" s="14"/>
      <c r="R37" s="14"/>
      <c r="S37" s="12" t="s">
        <v>53</v>
      </c>
      <c r="T37" s="11"/>
      <c r="U37" s="12" t="str">
        <f t="shared" si="0"/>
        <v>N</v>
      </c>
      <c r="V37" s="12" t="str">
        <f t="shared" si="1"/>
        <v>N</v>
      </c>
      <c r="W37" s="12" t="str">
        <f t="shared" si="2"/>
        <v>N</v>
      </c>
      <c r="X37" s="12" t="str">
        <f t="shared" si="3"/>
        <v>N</v>
      </c>
      <c r="Y37" s="12" t="str">
        <f t="shared" si="4"/>
        <v>N</v>
      </c>
      <c r="Z37" s="12" t="str">
        <f t="shared" si="5"/>
        <v>N</v>
      </c>
      <c r="AA37" s="12">
        <f t="shared" si="6"/>
        <v>2</v>
      </c>
      <c r="AB37" s="12" t="str">
        <f t="shared" si="7"/>
        <v>MULTI-SIGNAL</v>
      </c>
      <c r="AC37" s="14" t="str">
        <f t="shared" si="8"/>
        <v>Settlement Authorization | Open Stipulation</v>
      </c>
    </row>
    <row r="38" spans="1:29" ht="28.5" x14ac:dyDescent="0.45">
      <c r="A38" s="2" t="s">
        <v>179</v>
      </c>
      <c r="B38" s="2" t="s">
        <v>180</v>
      </c>
      <c r="C38" s="2" t="s">
        <v>170</v>
      </c>
      <c r="D38" s="2" t="s">
        <v>181</v>
      </c>
      <c r="E38" s="11">
        <v>43707</v>
      </c>
      <c r="F38" s="12" t="s">
        <v>51</v>
      </c>
      <c r="G38" s="13">
        <v>111000</v>
      </c>
      <c r="H38" s="12" t="s">
        <v>59</v>
      </c>
      <c r="I38" s="11">
        <v>44762</v>
      </c>
      <c r="J38" s="12" t="s">
        <v>53</v>
      </c>
      <c r="K38" s="11"/>
      <c r="L38" s="12" t="s">
        <v>51</v>
      </c>
      <c r="M38" s="12" t="s">
        <v>53</v>
      </c>
      <c r="N38" s="11"/>
      <c r="O38" s="12"/>
      <c r="P38" s="12" t="s">
        <v>51</v>
      </c>
      <c r="Q38" s="14" t="s">
        <v>182</v>
      </c>
      <c r="R38" s="14" t="s">
        <v>183</v>
      </c>
      <c r="S38" s="12" t="s">
        <v>53</v>
      </c>
      <c r="T38" s="11"/>
      <c r="U38" s="12" t="str">
        <f t="shared" si="0"/>
        <v>Y</v>
      </c>
      <c r="V38" s="12" t="str">
        <f t="shared" si="1"/>
        <v>Y</v>
      </c>
      <c r="W38" s="12" t="str">
        <f t="shared" si="2"/>
        <v>Y</v>
      </c>
      <c r="X38" s="12" t="str">
        <f t="shared" si="3"/>
        <v>N</v>
      </c>
      <c r="Y38" s="12" t="str">
        <f t="shared" si="4"/>
        <v>N</v>
      </c>
      <c r="Z38" s="12" t="str">
        <f t="shared" si="5"/>
        <v>Y</v>
      </c>
      <c r="AA38" s="12">
        <f t="shared" si="6"/>
        <v>2</v>
      </c>
      <c r="AB38" s="12" t="str">
        <f t="shared" si="7"/>
        <v>MULTI-SIGNAL</v>
      </c>
      <c r="AC38" s="14" t="str">
        <f t="shared" si="8"/>
        <v>Settlement Authorization | Automated Claim Alert</v>
      </c>
    </row>
    <row r="39" spans="1:29" x14ac:dyDescent="0.45">
      <c r="A39" s="2" t="s">
        <v>184</v>
      </c>
      <c r="B39" s="2" t="s">
        <v>185</v>
      </c>
      <c r="C39" s="2" t="s">
        <v>170</v>
      </c>
      <c r="D39" s="2" t="s">
        <v>186</v>
      </c>
      <c r="E39" s="11">
        <v>44470</v>
      </c>
      <c r="F39" s="12" t="s">
        <v>51</v>
      </c>
      <c r="G39" s="13">
        <v>42750</v>
      </c>
      <c r="H39" s="12" t="s">
        <v>71</v>
      </c>
      <c r="I39" s="11">
        <v>45899</v>
      </c>
      <c r="J39" s="12" t="s">
        <v>53</v>
      </c>
      <c r="K39" s="11"/>
      <c r="L39" s="12" t="s">
        <v>53</v>
      </c>
      <c r="M39" s="12" t="s">
        <v>53</v>
      </c>
      <c r="N39" s="11"/>
      <c r="O39" s="12"/>
      <c r="P39" s="12" t="s">
        <v>53</v>
      </c>
      <c r="Q39" s="14"/>
      <c r="R39" s="14"/>
      <c r="S39" s="12" t="s">
        <v>53</v>
      </c>
      <c r="T39" s="11"/>
      <c r="U39" s="12" t="str">
        <f t="shared" si="0"/>
        <v>N</v>
      </c>
      <c r="V39" s="12" t="str">
        <f t="shared" si="1"/>
        <v>N</v>
      </c>
      <c r="W39" s="12" t="str">
        <f t="shared" si="2"/>
        <v>N</v>
      </c>
      <c r="X39" s="12" t="str">
        <f t="shared" si="3"/>
        <v>N</v>
      </c>
      <c r="Y39" s="12" t="str">
        <f t="shared" si="4"/>
        <v>N</v>
      </c>
      <c r="Z39" s="12" t="str">
        <f t="shared" si="5"/>
        <v>N</v>
      </c>
      <c r="AA39" s="12">
        <f t="shared" si="6"/>
        <v>1</v>
      </c>
      <c r="AB39" s="12" t="str">
        <f t="shared" si="7"/>
        <v>SINGLE-SIGNAL</v>
      </c>
      <c r="AC39" s="14" t="str">
        <f t="shared" si="8"/>
        <v>Settlement Authorization</v>
      </c>
    </row>
    <row r="40" spans="1:29" x14ac:dyDescent="0.45">
      <c r="A40" s="2" t="s">
        <v>187</v>
      </c>
      <c r="B40" s="2" t="s">
        <v>188</v>
      </c>
      <c r="C40" s="2" t="s">
        <v>170</v>
      </c>
      <c r="D40" s="2" t="s">
        <v>189</v>
      </c>
      <c r="E40" s="11">
        <v>44918</v>
      </c>
      <c r="F40" s="12" t="s">
        <v>51</v>
      </c>
      <c r="G40" s="13">
        <v>67250</v>
      </c>
      <c r="H40" s="12" t="s">
        <v>52</v>
      </c>
      <c r="I40" s="11">
        <v>45655</v>
      </c>
      <c r="J40" s="12" t="s">
        <v>51</v>
      </c>
      <c r="K40" s="11">
        <v>45131</v>
      </c>
      <c r="L40" s="12" t="s">
        <v>53</v>
      </c>
      <c r="M40" s="12" t="s">
        <v>53</v>
      </c>
      <c r="N40" s="11"/>
      <c r="O40" s="12"/>
      <c r="P40" s="12" t="s">
        <v>53</v>
      </c>
      <c r="Q40" s="14"/>
      <c r="R40" s="14"/>
      <c r="S40" s="12" t="s">
        <v>53</v>
      </c>
      <c r="T40" s="11"/>
      <c r="U40" s="12" t="str">
        <f t="shared" si="0"/>
        <v>N</v>
      </c>
      <c r="V40" s="12" t="str">
        <f t="shared" si="1"/>
        <v>N</v>
      </c>
      <c r="W40" s="12" t="str">
        <f t="shared" si="2"/>
        <v>N</v>
      </c>
      <c r="X40" s="12" t="str">
        <f t="shared" si="3"/>
        <v>N</v>
      </c>
      <c r="Y40" s="12" t="str">
        <f t="shared" si="4"/>
        <v>N</v>
      </c>
      <c r="Z40" s="12" t="str">
        <f t="shared" si="5"/>
        <v>N</v>
      </c>
      <c r="AA40" s="12">
        <f t="shared" si="6"/>
        <v>2</v>
      </c>
      <c r="AB40" s="12" t="str">
        <f t="shared" si="7"/>
        <v>MULTI-SIGNAL</v>
      </c>
      <c r="AC40" s="14" t="str">
        <f t="shared" si="8"/>
        <v>Settlement Authorization | Open Stipulation</v>
      </c>
    </row>
    <row r="41" spans="1:29" ht="28.5" x14ac:dyDescent="0.45">
      <c r="A41" s="2" t="s">
        <v>190</v>
      </c>
      <c r="B41" s="2" t="s">
        <v>191</v>
      </c>
      <c r="C41" s="2" t="s">
        <v>170</v>
      </c>
      <c r="D41" s="2" t="s">
        <v>192</v>
      </c>
      <c r="E41" s="11">
        <v>43740</v>
      </c>
      <c r="F41" s="12" t="s">
        <v>53</v>
      </c>
      <c r="G41" s="13"/>
      <c r="H41" s="12"/>
      <c r="I41" s="11"/>
      <c r="J41" s="12" t="s">
        <v>53</v>
      </c>
      <c r="K41" s="11"/>
      <c r="L41" s="12"/>
      <c r="M41" s="12" t="s">
        <v>53</v>
      </c>
      <c r="N41" s="11"/>
      <c r="O41" s="12"/>
      <c r="P41" s="12" t="s">
        <v>51</v>
      </c>
      <c r="Q41" s="14" t="s">
        <v>193</v>
      </c>
      <c r="R41" s="14"/>
      <c r="S41" s="12" t="s">
        <v>51</v>
      </c>
      <c r="T41" s="11">
        <v>45416</v>
      </c>
      <c r="U41" s="12" t="str">
        <f t="shared" si="0"/>
        <v>Y</v>
      </c>
      <c r="V41" s="12" t="str">
        <f t="shared" si="1"/>
        <v>N</v>
      </c>
      <c r="W41" s="12" t="str">
        <f t="shared" si="2"/>
        <v>N</v>
      </c>
      <c r="X41" s="12" t="str">
        <f t="shared" si="3"/>
        <v>N</v>
      </c>
      <c r="Y41" s="12" t="str">
        <f t="shared" si="4"/>
        <v>N</v>
      </c>
      <c r="Z41" s="12" t="str">
        <f t="shared" si="5"/>
        <v>Y</v>
      </c>
      <c r="AA41" s="12">
        <f t="shared" si="6"/>
        <v>2</v>
      </c>
      <c r="AB41" s="12" t="str">
        <f t="shared" si="7"/>
        <v>MULTI-SIGNAL</v>
      </c>
      <c r="AC41" s="14" t="str">
        <f t="shared" si="8"/>
        <v>Automated Claim Alert | Inactive Customer</v>
      </c>
    </row>
    <row r="42" spans="1:29" x14ac:dyDescent="0.45">
      <c r="A42" s="2" t="s">
        <v>194</v>
      </c>
      <c r="B42" s="2" t="s">
        <v>195</v>
      </c>
      <c r="C42" s="2" t="s">
        <v>170</v>
      </c>
      <c r="D42" s="2" t="s">
        <v>84</v>
      </c>
      <c r="E42" s="11">
        <v>45878</v>
      </c>
      <c r="F42" s="12" t="s">
        <v>53</v>
      </c>
      <c r="G42" s="13"/>
      <c r="H42" s="12"/>
      <c r="I42" s="11"/>
      <c r="J42" s="12" t="s">
        <v>53</v>
      </c>
      <c r="K42" s="11"/>
      <c r="L42" s="12"/>
      <c r="M42" s="12" t="s">
        <v>53</v>
      </c>
      <c r="N42" s="11"/>
      <c r="O42" s="12"/>
      <c r="P42" s="12" t="s">
        <v>53</v>
      </c>
      <c r="Q42" s="14"/>
      <c r="R42" s="14"/>
      <c r="S42" s="12" t="s">
        <v>51</v>
      </c>
      <c r="T42" s="11">
        <v>47930</v>
      </c>
      <c r="U42" s="12" t="str">
        <f t="shared" si="0"/>
        <v>N</v>
      </c>
      <c r="V42" s="12" t="str">
        <f t="shared" si="1"/>
        <v>N</v>
      </c>
      <c r="W42" s="12" t="str">
        <f t="shared" si="2"/>
        <v>N</v>
      </c>
      <c r="X42" s="12" t="str">
        <f t="shared" si="3"/>
        <v>N</v>
      </c>
      <c r="Y42" s="12" t="str">
        <f t="shared" si="4"/>
        <v>N</v>
      </c>
      <c r="Z42" s="12" t="str">
        <f t="shared" si="5"/>
        <v>N</v>
      </c>
      <c r="AA42" s="12">
        <f t="shared" si="6"/>
        <v>1</v>
      </c>
      <c r="AB42" s="12" t="str">
        <f t="shared" si="7"/>
        <v>SINGLE-SIGNAL</v>
      </c>
      <c r="AC42" s="14" t="str">
        <f t="shared" si="8"/>
        <v>Inactive Customer</v>
      </c>
    </row>
    <row r="43" spans="1:29" x14ac:dyDescent="0.45">
      <c r="A43" s="2" t="s">
        <v>196</v>
      </c>
      <c r="B43" s="2" t="s">
        <v>197</v>
      </c>
      <c r="C43" s="2" t="s">
        <v>170</v>
      </c>
      <c r="D43" s="2" t="s">
        <v>198</v>
      </c>
      <c r="E43" s="11">
        <v>45682</v>
      </c>
      <c r="F43" s="12" t="s">
        <v>51</v>
      </c>
      <c r="G43" s="13">
        <v>114250</v>
      </c>
      <c r="H43" s="12" t="s">
        <v>59</v>
      </c>
      <c r="I43" s="11">
        <v>46407</v>
      </c>
      <c r="J43" s="12" t="s">
        <v>53</v>
      </c>
      <c r="K43" s="11"/>
      <c r="L43" s="12" t="s">
        <v>53</v>
      </c>
      <c r="M43" s="12" t="s">
        <v>53</v>
      </c>
      <c r="N43" s="11"/>
      <c r="O43" s="12"/>
      <c r="P43" s="12" t="s">
        <v>53</v>
      </c>
      <c r="Q43" s="14"/>
      <c r="R43" s="14"/>
      <c r="S43" s="12" t="s">
        <v>53</v>
      </c>
      <c r="T43" s="11"/>
      <c r="U43" s="12" t="str">
        <f t="shared" si="0"/>
        <v>N</v>
      </c>
      <c r="V43" s="12" t="str">
        <f t="shared" si="1"/>
        <v>N</v>
      </c>
      <c r="W43" s="12" t="str">
        <f t="shared" si="2"/>
        <v>N</v>
      </c>
      <c r="X43" s="12" t="str">
        <f t="shared" si="3"/>
        <v>N</v>
      </c>
      <c r="Y43" s="12" t="str">
        <f t="shared" si="4"/>
        <v>N</v>
      </c>
      <c r="Z43" s="12" t="str">
        <f t="shared" si="5"/>
        <v>N</v>
      </c>
      <c r="AA43" s="12">
        <f t="shared" si="6"/>
        <v>1</v>
      </c>
      <c r="AB43" s="12" t="str">
        <f t="shared" si="7"/>
        <v>SINGLE-SIGNAL</v>
      </c>
      <c r="AC43" s="14" t="str">
        <f t="shared" si="8"/>
        <v>Settlement Authorization</v>
      </c>
    </row>
    <row r="44" spans="1:29" x14ac:dyDescent="0.45">
      <c r="A44" s="2" t="s">
        <v>199</v>
      </c>
      <c r="B44" s="2" t="s">
        <v>200</v>
      </c>
      <c r="C44" s="2" t="s">
        <v>57</v>
      </c>
      <c r="D44" s="2" t="s">
        <v>201</v>
      </c>
      <c r="E44" s="11">
        <v>45858</v>
      </c>
      <c r="F44" s="12" t="s">
        <v>51</v>
      </c>
      <c r="G44" s="13">
        <v>56250</v>
      </c>
      <c r="H44" s="12" t="s">
        <v>71</v>
      </c>
      <c r="I44" s="11">
        <v>46857</v>
      </c>
      <c r="J44" s="12" t="s">
        <v>53</v>
      </c>
      <c r="K44" s="11"/>
      <c r="L44" s="12" t="s">
        <v>51</v>
      </c>
      <c r="M44" s="12" t="s">
        <v>53</v>
      </c>
      <c r="N44" s="11"/>
      <c r="O44" s="12"/>
      <c r="P44" s="12" t="s">
        <v>53</v>
      </c>
      <c r="Q44" s="14"/>
      <c r="R44" s="14"/>
      <c r="S44" s="12" t="s">
        <v>53</v>
      </c>
      <c r="T44" s="11"/>
      <c r="U44" s="12" t="str">
        <f t="shared" si="0"/>
        <v>N</v>
      </c>
      <c r="V44" s="12" t="str">
        <f t="shared" si="1"/>
        <v>N</v>
      </c>
      <c r="W44" s="12" t="str">
        <f t="shared" si="2"/>
        <v>N</v>
      </c>
      <c r="X44" s="12" t="str">
        <f t="shared" si="3"/>
        <v>N</v>
      </c>
      <c r="Y44" s="12" t="str">
        <f t="shared" si="4"/>
        <v>N</v>
      </c>
      <c r="Z44" s="12" t="str">
        <f t="shared" si="5"/>
        <v>N</v>
      </c>
      <c r="AA44" s="12">
        <f t="shared" si="6"/>
        <v>1</v>
      </c>
      <c r="AB44" s="12" t="str">
        <f t="shared" si="7"/>
        <v>SINGLE-SIGNAL</v>
      </c>
      <c r="AC44" s="14" t="str">
        <f t="shared" si="8"/>
        <v>Settlement Authorization</v>
      </c>
    </row>
    <row r="45" spans="1:29" x14ac:dyDescent="0.45">
      <c r="A45" s="2" t="s">
        <v>202</v>
      </c>
      <c r="B45" s="2" t="s">
        <v>203</v>
      </c>
      <c r="C45" s="2" t="s">
        <v>57</v>
      </c>
      <c r="D45" s="2" t="s">
        <v>204</v>
      </c>
      <c r="E45" s="11">
        <v>46026</v>
      </c>
      <c r="F45" s="12" t="s">
        <v>51</v>
      </c>
      <c r="G45" s="13">
        <v>48250</v>
      </c>
      <c r="H45" s="12" t="s">
        <v>109</v>
      </c>
      <c r="I45" s="11">
        <v>47405</v>
      </c>
      <c r="J45" s="12" t="s">
        <v>53</v>
      </c>
      <c r="K45" s="11"/>
      <c r="L45" s="12" t="s">
        <v>51</v>
      </c>
      <c r="M45" s="12" t="s">
        <v>53</v>
      </c>
      <c r="N45" s="11"/>
      <c r="O45" s="12"/>
      <c r="P45" s="12" t="s">
        <v>53</v>
      </c>
      <c r="Q45" s="14"/>
      <c r="R45" s="14"/>
      <c r="S45" s="12" t="s">
        <v>53</v>
      </c>
      <c r="T45" s="11"/>
      <c r="U45" s="12" t="str">
        <f t="shared" si="0"/>
        <v>N</v>
      </c>
      <c r="V45" s="12" t="str">
        <f t="shared" si="1"/>
        <v>N</v>
      </c>
      <c r="W45" s="12" t="str">
        <f t="shared" si="2"/>
        <v>N</v>
      </c>
      <c r="X45" s="12" t="str">
        <f t="shared" si="3"/>
        <v>N</v>
      </c>
      <c r="Y45" s="12" t="str">
        <f t="shared" si="4"/>
        <v>N</v>
      </c>
      <c r="Z45" s="12" t="str">
        <f t="shared" si="5"/>
        <v>N</v>
      </c>
      <c r="AA45" s="12">
        <f t="shared" si="6"/>
        <v>1</v>
      </c>
      <c r="AB45" s="12" t="str">
        <f t="shared" si="7"/>
        <v>SINGLE-SIGNAL</v>
      </c>
      <c r="AC45" s="14" t="str">
        <f t="shared" si="8"/>
        <v>Settlement Authorization</v>
      </c>
    </row>
    <row r="46" spans="1:29" ht="28.5" x14ac:dyDescent="0.45">
      <c r="A46" s="2" t="s">
        <v>205</v>
      </c>
      <c r="B46" s="2" t="s">
        <v>206</v>
      </c>
      <c r="C46" s="2" t="s">
        <v>57</v>
      </c>
      <c r="D46" s="2" t="s">
        <v>207</v>
      </c>
      <c r="E46" s="11">
        <v>45422</v>
      </c>
      <c r="F46" s="12" t="s">
        <v>53</v>
      </c>
      <c r="G46" s="13"/>
      <c r="H46" s="12"/>
      <c r="I46" s="11"/>
      <c r="J46" s="12" t="s">
        <v>53</v>
      </c>
      <c r="K46" s="11"/>
      <c r="L46" s="12"/>
      <c r="M46" s="12" t="s">
        <v>53</v>
      </c>
      <c r="N46" s="11"/>
      <c r="O46" s="12"/>
      <c r="P46" s="12" t="s">
        <v>51</v>
      </c>
      <c r="Q46" s="14" t="s">
        <v>208</v>
      </c>
      <c r="R46" s="14" t="s">
        <v>209</v>
      </c>
      <c r="S46" s="12" t="s">
        <v>53</v>
      </c>
      <c r="T46" s="11"/>
      <c r="U46" s="12" t="str">
        <f t="shared" si="0"/>
        <v>Y</v>
      </c>
      <c r="V46" s="12" t="str">
        <f t="shared" si="1"/>
        <v>Y</v>
      </c>
      <c r="W46" s="12" t="str">
        <f t="shared" si="2"/>
        <v>N</v>
      </c>
      <c r="X46" s="12" t="str">
        <f t="shared" si="3"/>
        <v>N</v>
      </c>
      <c r="Y46" s="12" t="str">
        <f t="shared" si="4"/>
        <v>Y</v>
      </c>
      <c r="Z46" s="12" t="str">
        <f t="shared" si="5"/>
        <v>Y</v>
      </c>
      <c r="AA46" s="12">
        <f t="shared" si="6"/>
        <v>1</v>
      </c>
      <c r="AB46" s="12" t="str">
        <f t="shared" si="7"/>
        <v>SINGLE-SIGNAL</v>
      </c>
      <c r="AC46" s="14" t="str">
        <f t="shared" si="8"/>
        <v>Automated Claim Alert</v>
      </c>
    </row>
    <row r="47" spans="1:29" x14ac:dyDescent="0.45">
      <c r="A47" s="2" t="s">
        <v>210</v>
      </c>
      <c r="B47" s="2" t="s">
        <v>211</v>
      </c>
      <c r="C47" s="2" t="s">
        <v>57</v>
      </c>
      <c r="D47" s="2" t="s">
        <v>212</v>
      </c>
      <c r="E47" s="11">
        <v>44284</v>
      </c>
      <c r="F47" s="12" t="s">
        <v>51</v>
      </c>
      <c r="G47" s="13">
        <v>158250</v>
      </c>
      <c r="H47" s="12" t="s">
        <v>71</v>
      </c>
      <c r="I47" s="11">
        <v>44395</v>
      </c>
      <c r="J47" s="12" t="s">
        <v>53</v>
      </c>
      <c r="K47" s="11"/>
      <c r="L47" s="12" t="s">
        <v>51</v>
      </c>
      <c r="M47" s="12" t="s">
        <v>53</v>
      </c>
      <c r="N47" s="11"/>
      <c r="O47" s="12"/>
      <c r="P47" s="12" t="s">
        <v>53</v>
      </c>
      <c r="Q47" s="14"/>
      <c r="R47" s="14"/>
      <c r="S47" s="12" t="s">
        <v>53</v>
      </c>
      <c r="T47" s="11"/>
      <c r="U47" s="12" t="str">
        <f t="shared" si="0"/>
        <v>N</v>
      </c>
      <c r="V47" s="12" t="str">
        <f t="shared" si="1"/>
        <v>N</v>
      </c>
      <c r="W47" s="12" t="str">
        <f t="shared" si="2"/>
        <v>N</v>
      </c>
      <c r="X47" s="12" t="str">
        <f t="shared" si="3"/>
        <v>N</v>
      </c>
      <c r="Y47" s="12" t="str">
        <f t="shared" si="4"/>
        <v>N</v>
      </c>
      <c r="Z47" s="12" t="str">
        <f t="shared" si="5"/>
        <v>N</v>
      </c>
      <c r="AA47" s="12">
        <f t="shared" si="6"/>
        <v>1</v>
      </c>
      <c r="AB47" s="12" t="str">
        <f t="shared" si="7"/>
        <v>SINGLE-SIGNAL</v>
      </c>
      <c r="AC47" s="14" t="str">
        <f t="shared" si="8"/>
        <v>Settlement Authorization</v>
      </c>
    </row>
    <row r="48" spans="1:29" ht="42.75" x14ac:dyDescent="0.45">
      <c r="A48" s="2" t="s">
        <v>213</v>
      </c>
      <c r="B48" s="2" t="s">
        <v>214</v>
      </c>
      <c r="C48" s="2" t="s">
        <v>57</v>
      </c>
      <c r="D48" s="2" t="s">
        <v>215</v>
      </c>
      <c r="E48" s="11">
        <v>43515</v>
      </c>
      <c r="F48" s="12" t="s">
        <v>53</v>
      </c>
      <c r="G48" s="13"/>
      <c r="H48" s="12"/>
      <c r="I48" s="11"/>
      <c r="J48" s="12" t="s">
        <v>53</v>
      </c>
      <c r="K48" s="11"/>
      <c r="L48" s="12"/>
      <c r="M48" s="12" t="s">
        <v>53</v>
      </c>
      <c r="N48" s="11"/>
      <c r="O48" s="12"/>
      <c r="P48" s="12" t="s">
        <v>51</v>
      </c>
      <c r="Q48" s="14" t="s">
        <v>216</v>
      </c>
      <c r="R48" s="14"/>
      <c r="S48" s="12" t="s">
        <v>53</v>
      </c>
      <c r="T48" s="11"/>
      <c r="U48" s="12" t="str">
        <f t="shared" si="0"/>
        <v>N</v>
      </c>
      <c r="V48" s="12" t="str">
        <f t="shared" si="1"/>
        <v>N</v>
      </c>
      <c r="W48" s="12" t="str">
        <f t="shared" si="2"/>
        <v>N</v>
      </c>
      <c r="X48" s="12" t="str">
        <f t="shared" si="3"/>
        <v>Y</v>
      </c>
      <c r="Y48" s="12" t="str">
        <f t="shared" si="4"/>
        <v>Y</v>
      </c>
      <c r="Z48" s="12" t="str">
        <f t="shared" si="5"/>
        <v>Y</v>
      </c>
      <c r="AA48" s="12">
        <f t="shared" si="6"/>
        <v>1</v>
      </c>
      <c r="AB48" s="12" t="str">
        <f t="shared" si="7"/>
        <v>SINGLE-SIGNAL</v>
      </c>
      <c r="AC48" s="14" t="str">
        <f t="shared" si="8"/>
        <v>Automated Claim Alert</v>
      </c>
    </row>
    <row r="49" spans="1:29" x14ac:dyDescent="0.45">
      <c r="A49" s="2" t="s">
        <v>217</v>
      </c>
      <c r="B49" s="2" t="s">
        <v>218</v>
      </c>
      <c r="C49" s="2" t="s">
        <v>57</v>
      </c>
      <c r="D49" s="2" t="s">
        <v>105</v>
      </c>
      <c r="E49" s="11">
        <v>45242</v>
      </c>
      <c r="F49" s="12" t="s">
        <v>51</v>
      </c>
      <c r="G49" s="13">
        <v>84750</v>
      </c>
      <c r="H49" s="12" t="s">
        <v>78</v>
      </c>
      <c r="I49" s="11">
        <v>45565</v>
      </c>
      <c r="J49" s="12" t="s">
        <v>53</v>
      </c>
      <c r="K49" s="11"/>
      <c r="L49" s="12" t="s">
        <v>53</v>
      </c>
      <c r="M49" s="12" t="s">
        <v>53</v>
      </c>
      <c r="N49" s="11"/>
      <c r="O49" s="12"/>
      <c r="P49" s="12" t="s">
        <v>53</v>
      </c>
      <c r="Q49" s="14"/>
      <c r="R49" s="14"/>
      <c r="S49" s="12" t="s">
        <v>53</v>
      </c>
      <c r="T49" s="11"/>
      <c r="U49" s="12" t="str">
        <f t="shared" si="0"/>
        <v>N</v>
      </c>
      <c r="V49" s="12" t="str">
        <f t="shared" si="1"/>
        <v>N</v>
      </c>
      <c r="W49" s="12" t="str">
        <f t="shared" si="2"/>
        <v>N</v>
      </c>
      <c r="X49" s="12" t="str">
        <f t="shared" si="3"/>
        <v>N</v>
      </c>
      <c r="Y49" s="12" t="str">
        <f t="shared" si="4"/>
        <v>N</v>
      </c>
      <c r="Z49" s="12" t="str">
        <f t="shared" si="5"/>
        <v>N</v>
      </c>
      <c r="AA49" s="12">
        <f t="shared" si="6"/>
        <v>1</v>
      </c>
      <c r="AB49" s="12" t="str">
        <f t="shared" si="7"/>
        <v>SINGLE-SIGNAL</v>
      </c>
      <c r="AC49" s="14" t="str">
        <f t="shared" si="8"/>
        <v>Settlement Authorization</v>
      </c>
    </row>
    <row r="50" spans="1:29" ht="28.5" x14ac:dyDescent="0.45">
      <c r="A50" s="2" t="s">
        <v>219</v>
      </c>
      <c r="B50" s="2" t="s">
        <v>220</v>
      </c>
      <c r="C50" s="2" t="s">
        <v>57</v>
      </c>
      <c r="D50" s="2" t="s">
        <v>221</v>
      </c>
      <c r="E50" s="11">
        <v>43642</v>
      </c>
      <c r="F50" s="12" t="s">
        <v>53</v>
      </c>
      <c r="G50" s="13"/>
      <c r="H50" s="12"/>
      <c r="I50" s="11"/>
      <c r="J50" s="12" t="s">
        <v>53</v>
      </c>
      <c r="K50" s="11"/>
      <c r="L50" s="12"/>
      <c r="M50" s="12" t="s">
        <v>53</v>
      </c>
      <c r="N50" s="11"/>
      <c r="O50" s="12"/>
      <c r="P50" s="12" t="s">
        <v>51</v>
      </c>
      <c r="Q50" s="14" t="s">
        <v>222</v>
      </c>
      <c r="R50" s="14" t="s">
        <v>223</v>
      </c>
      <c r="S50" s="12" t="s">
        <v>53</v>
      </c>
      <c r="T50" s="11"/>
      <c r="U50" s="12" t="str">
        <f t="shared" si="0"/>
        <v>Y</v>
      </c>
      <c r="V50" s="12" t="str">
        <f t="shared" si="1"/>
        <v>N</v>
      </c>
      <c r="W50" s="12" t="str">
        <f t="shared" si="2"/>
        <v>N</v>
      </c>
      <c r="X50" s="12" t="str">
        <f t="shared" si="3"/>
        <v>Y</v>
      </c>
      <c r="Y50" s="12" t="str">
        <f t="shared" si="4"/>
        <v>Y</v>
      </c>
      <c r="Z50" s="12" t="str">
        <f t="shared" si="5"/>
        <v>N</v>
      </c>
      <c r="AA50" s="12">
        <f t="shared" si="6"/>
        <v>1</v>
      </c>
      <c r="AB50" s="12" t="str">
        <f t="shared" si="7"/>
        <v>SINGLE-SIGNAL</v>
      </c>
      <c r="AC50" s="14" t="str">
        <f t="shared" si="8"/>
        <v>Automated Claim Alert</v>
      </c>
    </row>
    <row r="51" spans="1:29" ht="28.5" x14ac:dyDescent="0.45">
      <c r="A51" s="2" t="s">
        <v>224</v>
      </c>
      <c r="B51" s="2" t="s">
        <v>225</v>
      </c>
      <c r="C51" s="2" t="s">
        <v>57</v>
      </c>
      <c r="D51" s="2" t="s">
        <v>226</v>
      </c>
      <c r="E51" s="11">
        <v>45099</v>
      </c>
      <c r="F51" s="12" t="s">
        <v>51</v>
      </c>
      <c r="G51" s="13">
        <v>67500</v>
      </c>
      <c r="H51" s="12" t="s">
        <v>71</v>
      </c>
      <c r="I51" s="11">
        <v>46193</v>
      </c>
      <c r="J51" s="12" t="s">
        <v>51</v>
      </c>
      <c r="K51" s="11">
        <v>45300</v>
      </c>
      <c r="L51" s="12" t="s">
        <v>51</v>
      </c>
      <c r="M51" s="12" t="s">
        <v>53</v>
      </c>
      <c r="N51" s="11"/>
      <c r="O51" s="12"/>
      <c r="P51" s="12" t="s">
        <v>51</v>
      </c>
      <c r="Q51" s="14" t="s">
        <v>227</v>
      </c>
      <c r="R51" s="14" t="s">
        <v>122</v>
      </c>
      <c r="S51" s="12" t="s">
        <v>51</v>
      </c>
      <c r="T51" s="11">
        <v>45570</v>
      </c>
      <c r="U51" s="12" t="str">
        <f t="shared" si="0"/>
        <v>N</v>
      </c>
      <c r="V51" s="12" t="str">
        <f t="shared" si="1"/>
        <v>Y</v>
      </c>
      <c r="W51" s="12" t="str">
        <f t="shared" si="2"/>
        <v>N</v>
      </c>
      <c r="X51" s="12" t="str">
        <f t="shared" si="3"/>
        <v>Y</v>
      </c>
      <c r="Y51" s="12" t="str">
        <f t="shared" si="4"/>
        <v>N</v>
      </c>
      <c r="Z51" s="12" t="str">
        <f t="shared" si="5"/>
        <v>N</v>
      </c>
      <c r="AA51" s="12">
        <f t="shared" si="6"/>
        <v>4</v>
      </c>
      <c r="AB51" s="12" t="str">
        <f t="shared" si="7"/>
        <v>HIGH MULTI-SIGNAL</v>
      </c>
      <c r="AC51" s="14" t="str">
        <f t="shared" si="8"/>
        <v>Settlement Authorization | Open Stipulation | Automated Claim Alert | Inactive Customer</v>
      </c>
    </row>
    <row r="52" spans="1:29" x14ac:dyDescent="0.45">
      <c r="A52" s="2" t="s">
        <v>228</v>
      </c>
      <c r="B52" s="2" t="s">
        <v>229</v>
      </c>
      <c r="C52" s="2" t="s">
        <v>57</v>
      </c>
      <c r="D52" s="2" t="s">
        <v>230</v>
      </c>
      <c r="E52" s="11">
        <v>44325</v>
      </c>
      <c r="F52" s="12" t="s">
        <v>51</v>
      </c>
      <c r="G52" s="13">
        <v>25250</v>
      </c>
      <c r="H52" s="12" t="s">
        <v>52</v>
      </c>
      <c r="I52" s="11">
        <v>45026</v>
      </c>
      <c r="J52" s="12" t="s">
        <v>53</v>
      </c>
      <c r="K52" s="11"/>
      <c r="L52" s="12" t="s">
        <v>53</v>
      </c>
      <c r="M52" s="12" t="s">
        <v>53</v>
      </c>
      <c r="N52" s="11"/>
      <c r="O52" s="12"/>
      <c r="P52" s="12" t="s">
        <v>53</v>
      </c>
      <c r="Q52" s="14"/>
      <c r="R52" s="14"/>
      <c r="S52" s="12" t="s">
        <v>53</v>
      </c>
      <c r="T52" s="11"/>
      <c r="U52" s="12" t="str">
        <f t="shared" si="0"/>
        <v>N</v>
      </c>
      <c r="V52" s="12" t="str">
        <f t="shared" si="1"/>
        <v>N</v>
      </c>
      <c r="W52" s="12" t="str">
        <f t="shared" si="2"/>
        <v>N</v>
      </c>
      <c r="X52" s="12" t="str">
        <f t="shared" si="3"/>
        <v>N</v>
      </c>
      <c r="Y52" s="12" t="str">
        <f t="shared" si="4"/>
        <v>N</v>
      </c>
      <c r="Z52" s="12" t="str">
        <f t="shared" si="5"/>
        <v>N</v>
      </c>
      <c r="AA52" s="12">
        <f t="shared" si="6"/>
        <v>1</v>
      </c>
      <c r="AB52" s="12" t="str">
        <f t="shared" si="7"/>
        <v>SINGLE-SIGNAL</v>
      </c>
      <c r="AC52" s="14" t="str">
        <f t="shared" si="8"/>
        <v>Settlement Authorization</v>
      </c>
    </row>
    <row r="53" spans="1:29" x14ac:dyDescent="0.45">
      <c r="A53" s="2" t="s">
        <v>231</v>
      </c>
      <c r="B53" s="2" t="s">
        <v>232</v>
      </c>
      <c r="C53" s="2" t="s">
        <v>57</v>
      </c>
      <c r="D53" s="2" t="s">
        <v>233</v>
      </c>
      <c r="E53" s="11">
        <v>44340</v>
      </c>
      <c r="F53" s="12" t="s">
        <v>51</v>
      </c>
      <c r="G53" s="13">
        <v>49750</v>
      </c>
      <c r="H53" s="12" t="s">
        <v>78</v>
      </c>
      <c r="I53" s="11">
        <v>45474</v>
      </c>
      <c r="J53" s="12" t="s">
        <v>53</v>
      </c>
      <c r="K53" s="11"/>
      <c r="L53" s="12" t="s">
        <v>51</v>
      </c>
      <c r="M53" s="12" t="s">
        <v>53</v>
      </c>
      <c r="N53" s="11"/>
      <c r="O53" s="12"/>
      <c r="P53" s="12" t="s">
        <v>53</v>
      </c>
      <c r="Q53" s="14"/>
      <c r="R53" s="14"/>
      <c r="S53" s="12" t="s">
        <v>53</v>
      </c>
      <c r="T53" s="11"/>
      <c r="U53" s="12" t="str">
        <f t="shared" si="0"/>
        <v>N</v>
      </c>
      <c r="V53" s="12" t="str">
        <f t="shared" si="1"/>
        <v>N</v>
      </c>
      <c r="W53" s="12" t="str">
        <f t="shared" si="2"/>
        <v>N</v>
      </c>
      <c r="X53" s="12" t="str">
        <f t="shared" si="3"/>
        <v>N</v>
      </c>
      <c r="Y53" s="12" t="str">
        <f t="shared" si="4"/>
        <v>N</v>
      </c>
      <c r="Z53" s="12" t="str">
        <f t="shared" si="5"/>
        <v>N</v>
      </c>
      <c r="AA53" s="12">
        <f t="shared" si="6"/>
        <v>1</v>
      </c>
      <c r="AB53" s="12" t="str">
        <f t="shared" si="7"/>
        <v>SINGLE-SIGNAL</v>
      </c>
      <c r="AC53" s="14" t="str">
        <f t="shared" si="8"/>
        <v>Settlement Authorization</v>
      </c>
    </row>
    <row r="54" spans="1:29" x14ac:dyDescent="0.45">
      <c r="A54" s="2" t="s">
        <v>234</v>
      </c>
      <c r="B54" s="2" t="s">
        <v>235</v>
      </c>
      <c r="C54" s="2" t="s">
        <v>57</v>
      </c>
      <c r="D54" s="2" t="s">
        <v>233</v>
      </c>
      <c r="E54" s="11">
        <v>44724</v>
      </c>
      <c r="F54" s="12" t="s">
        <v>53</v>
      </c>
      <c r="G54" s="13"/>
      <c r="H54" s="12"/>
      <c r="I54" s="11"/>
      <c r="J54" s="12" t="s">
        <v>53</v>
      </c>
      <c r="K54" s="11"/>
      <c r="L54" s="12"/>
      <c r="M54" s="12" t="s">
        <v>53</v>
      </c>
      <c r="N54" s="11"/>
      <c r="O54" s="12"/>
      <c r="P54" s="12" t="s">
        <v>51</v>
      </c>
      <c r="Q54" s="14" t="s">
        <v>227</v>
      </c>
      <c r="R54" s="14" t="s">
        <v>149</v>
      </c>
      <c r="S54" s="12" t="s">
        <v>53</v>
      </c>
      <c r="T54" s="11"/>
      <c r="U54" s="12" t="str">
        <f t="shared" si="0"/>
        <v>N</v>
      </c>
      <c r="V54" s="12" t="str">
        <f t="shared" si="1"/>
        <v>Y</v>
      </c>
      <c r="W54" s="12" t="str">
        <f t="shared" si="2"/>
        <v>N</v>
      </c>
      <c r="X54" s="12" t="str">
        <f t="shared" si="3"/>
        <v>N</v>
      </c>
      <c r="Y54" s="12" t="str">
        <f t="shared" si="4"/>
        <v>N</v>
      </c>
      <c r="Z54" s="12" t="str">
        <f t="shared" si="5"/>
        <v>Y</v>
      </c>
      <c r="AA54" s="12">
        <f t="shared" si="6"/>
        <v>1</v>
      </c>
      <c r="AB54" s="12" t="str">
        <f t="shared" si="7"/>
        <v>SINGLE-SIGNAL</v>
      </c>
      <c r="AC54" s="14" t="str">
        <f t="shared" si="8"/>
        <v>Automated Claim Alert</v>
      </c>
    </row>
    <row r="55" spans="1:29" x14ac:dyDescent="0.45">
      <c r="A55" s="2" t="s">
        <v>236</v>
      </c>
      <c r="B55" s="2" t="s">
        <v>237</v>
      </c>
      <c r="C55" s="2" t="s">
        <v>57</v>
      </c>
      <c r="D55" s="2" t="s">
        <v>238</v>
      </c>
      <c r="E55" s="11">
        <v>43966</v>
      </c>
      <c r="F55" s="12" t="s">
        <v>53</v>
      </c>
      <c r="G55" s="13"/>
      <c r="H55" s="12"/>
      <c r="I55" s="11"/>
      <c r="J55" s="12" t="s">
        <v>53</v>
      </c>
      <c r="K55" s="11"/>
      <c r="L55" s="12"/>
      <c r="M55" s="12" t="s">
        <v>53</v>
      </c>
      <c r="N55" s="11"/>
      <c r="O55" s="12"/>
      <c r="P55" s="12" t="s">
        <v>53</v>
      </c>
      <c r="Q55" s="14"/>
      <c r="R55" s="14"/>
      <c r="S55" s="12" t="s">
        <v>51</v>
      </c>
      <c r="T55" s="11">
        <v>44971</v>
      </c>
      <c r="U55" s="12" t="str">
        <f t="shared" si="0"/>
        <v>N</v>
      </c>
      <c r="V55" s="12" t="str">
        <f t="shared" si="1"/>
        <v>N</v>
      </c>
      <c r="W55" s="12" t="str">
        <f t="shared" si="2"/>
        <v>N</v>
      </c>
      <c r="X55" s="12" t="str">
        <f t="shared" si="3"/>
        <v>N</v>
      </c>
      <c r="Y55" s="12" t="str">
        <f t="shared" si="4"/>
        <v>N</v>
      </c>
      <c r="Z55" s="12" t="str">
        <f t="shared" si="5"/>
        <v>N</v>
      </c>
      <c r="AA55" s="12">
        <f t="shared" si="6"/>
        <v>1</v>
      </c>
      <c r="AB55" s="12" t="str">
        <f t="shared" si="7"/>
        <v>SINGLE-SIGNAL</v>
      </c>
      <c r="AC55" s="14" t="str">
        <f t="shared" si="8"/>
        <v>Inactive Customer</v>
      </c>
    </row>
    <row r="56" spans="1:29" x14ac:dyDescent="0.45">
      <c r="A56" s="2" t="s">
        <v>239</v>
      </c>
      <c r="B56" s="2" t="s">
        <v>240</v>
      </c>
      <c r="C56" s="2" t="s">
        <v>57</v>
      </c>
      <c r="D56" s="2" t="s">
        <v>241</v>
      </c>
      <c r="E56" s="11">
        <v>43944</v>
      </c>
      <c r="F56" s="12" t="s">
        <v>51</v>
      </c>
      <c r="G56" s="13">
        <v>118750</v>
      </c>
      <c r="H56" s="12" t="s">
        <v>242</v>
      </c>
      <c r="I56" s="11">
        <v>44028</v>
      </c>
      <c r="J56" s="12" t="s">
        <v>53</v>
      </c>
      <c r="K56" s="11"/>
      <c r="L56" s="12" t="s">
        <v>51</v>
      </c>
      <c r="M56" s="12" t="s">
        <v>53</v>
      </c>
      <c r="N56" s="11"/>
      <c r="O56" s="12"/>
      <c r="P56" s="12" t="s">
        <v>53</v>
      </c>
      <c r="Q56" s="14"/>
      <c r="R56" s="14"/>
      <c r="S56" s="12" t="s">
        <v>53</v>
      </c>
      <c r="T56" s="11"/>
      <c r="U56" s="12" t="str">
        <f t="shared" si="0"/>
        <v>N</v>
      </c>
      <c r="V56" s="12" t="str">
        <f t="shared" si="1"/>
        <v>N</v>
      </c>
      <c r="W56" s="12" t="str">
        <f t="shared" si="2"/>
        <v>N</v>
      </c>
      <c r="X56" s="12" t="str">
        <f t="shared" si="3"/>
        <v>N</v>
      </c>
      <c r="Y56" s="12" t="str">
        <f t="shared" si="4"/>
        <v>N</v>
      </c>
      <c r="Z56" s="12" t="str">
        <f t="shared" si="5"/>
        <v>N</v>
      </c>
      <c r="AA56" s="12">
        <f t="shared" si="6"/>
        <v>1</v>
      </c>
      <c r="AB56" s="12" t="str">
        <f t="shared" si="7"/>
        <v>SINGLE-SIGNAL</v>
      </c>
      <c r="AC56" s="14" t="str">
        <f t="shared" si="8"/>
        <v>Settlement Authorization</v>
      </c>
    </row>
    <row r="57" spans="1:29" x14ac:dyDescent="0.45">
      <c r="A57" s="2" t="s">
        <v>243</v>
      </c>
      <c r="B57" s="2" t="s">
        <v>244</v>
      </c>
      <c r="C57" s="2" t="s">
        <v>57</v>
      </c>
      <c r="D57" s="2" t="s">
        <v>155</v>
      </c>
      <c r="E57" s="11">
        <v>45062</v>
      </c>
      <c r="F57" s="12" t="s">
        <v>51</v>
      </c>
      <c r="G57" s="13">
        <v>132250</v>
      </c>
      <c r="H57" s="12" t="s">
        <v>89</v>
      </c>
      <c r="I57" s="11">
        <v>45342</v>
      </c>
      <c r="J57" s="12" t="s">
        <v>53</v>
      </c>
      <c r="K57" s="11"/>
      <c r="L57" s="12" t="s">
        <v>51</v>
      </c>
      <c r="M57" s="12" t="s">
        <v>53</v>
      </c>
      <c r="N57" s="11"/>
      <c r="O57" s="12"/>
      <c r="P57" s="12" t="s">
        <v>53</v>
      </c>
      <c r="Q57" s="14"/>
      <c r="R57" s="14"/>
      <c r="S57" s="12" t="s">
        <v>53</v>
      </c>
      <c r="T57" s="11"/>
      <c r="U57" s="12" t="str">
        <f t="shared" si="0"/>
        <v>N</v>
      </c>
      <c r="V57" s="12" t="str">
        <f t="shared" si="1"/>
        <v>N</v>
      </c>
      <c r="W57" s="12" t="str">
        <f t="shared" si="2"/>
        <v>N</v>
      </c>
      <c r="X57" s="12" t="str">
        <f t="shared" si="3"/>
        <v>N</v>
      </c>
      <c r="Y57" s="12" t="str">
        <f t="shared" si="4"/>
        <v>N</v>
      </c>
      <c r="Z57" s="12" t="str">
        <f t="shared" si="5"/>
        <v>N</v>
      </c>
      <c r="AA57" s="12">
        <f t="shared" si="6"/>
        <v>1</v>
      </c>
      <c r="AB57" s="12" t="str">
        <f t="shared" si="7"/>
        <v>SINGLE-SIGNAL</v>
      </c>
      <c r="AC57" s="14" t="str">
        <f t="shared" si="8"/>
        <v>Settlement Authorization</v>
      </c>
    </row>
    <row r="58" spans="1:29" x14ac:dyDescent="0.45">
      <c r="A58" s="2" t="s">
        <v>245</v>
      </c>
      <c r="B58" s="2" t="s">
        <v>246</v>
      </c>
      <c r="C58" s="2" t="s">
        <v>57</v>
      </c>
      <c r="D58" s="2" t="s">
        <v>247</v>
      </c>
      <c r="E58" s="11">
        <v>44337</v>
      </c>
      <c r="F58" s="12" t="s">
        <v>51</v>
      </c>
      <c r="G58" s="13">
        <v>51750</v>
      </c>
      <c r="H58" s="12" t="s">
        <v>109</v>
      </c>
      <c r="I58" s="11">
        <v>45836</v>
      </c>
      <c r="J58" s="12" t="s">
        <v>53</v>
      </c>
      <c r="K58" s="11"/>
      <c r="L58" s="12" t="s">
        <v>51</v>
      </c>
      <c r="M58" s="12" t="s">
        <v>53</v>
      </c>
      <c r="N58" s="11"/>
      <c r="O58" s="12"/>
      <c r="P58" s="12" t="s">
        <v>53</v>
      </c>
      <c r="Q58" s="14"/>
      <c r="R58" s="14"/>
      <c r="S58" s="12" t="s">
        <v>53</v>
      </c>
      <c r="T58" s="11"/>
      <c r="U58" s="12" t="str">
        <f t="shared" si="0"/>
        <v>N</v>
      </c>
      <c r="V58" s="12" t="str">
        <f t="shared" si="1"/>
        <v>N</v>
      </c>
      <c r="W58" s="12" t="str">
        <f t="shared" si="2"/>
        <v>N</v>
      </c>
      <c r="X58" s="12" t="str">
        <f t="shared" si="3"/>
        <v>N</v>
      </c>
      <c r="Y58" s="12" t="str">
        <f t="shared" si="4"/>
        <v>N</v>
      </c>
      <c r="Z58" s="12" t="str">
        <f t="shared" si="5"/>
        <v>N</v>
      </c>
      <c r="AA58" s="12">
        <f t="shared" si="6"/>
        <v>1</v>
      </c>
      <c r="AB58" s="12" t="str">
        <f t="shared" si="7"/>
        <v>SINGLE-SIGNAL</v>
      </c>
      <c r="AC58" s="14" t="str">
        <f t="shared" si="8"/>
        <v>Settlement Authorization</v>
      </c>
    </row>
    <row r="59" spans="1:29" x14ac:dyDescent="0.45">
      <c r="A59" s="2" t="s">
        <v>248</v>
      </c>
      <c r="B59" s="2" t="s">
        <v>249</v>
      </c>
      <c r="C59" s="2" t="s">
        <v>57</v>
      </c>
      <c r="D59" s="2" t="s">
        <v>207</v>
      </c>
      <c r="E59" s="11">
        <v>44034</v>
      </c>
      <c r="F59" s="12" t="s">
        <v>51</v>
      </c>
      <c r="G59" s="13">
        <v>30000</v>
      </c>
      <c r="H59" s="12" t="s">
        <v>66</v>
      </c>
      <c r="I59" s="11">
        <v>44530</v>
      </c>
      <c r="J59" s="12" t="s">
        <v>53</v>
      </c>
      <c r="K59" s="11"/>
      <c r="L59" s="12" t="s">
        <v>53</v>
      </c>
      <c r="M59" s="12" t="s">
        <v>53</v>
      </c>
      <c r="N59" s="11"/>
      <c r="O59" s="12"/>
      <c r="P59" s="12" t="s">
        <v>53</v>
      </c>
      <c r="Q59" s="14"/>
      <c r="R59" s="14"/>
      <c r="S59" s="12" t="s">
        <v>51</v>
      </c>
      <c r="T59" s="11">
        <v>45573</v>
      </c>
      <c r="U59" s="12" t="str">
        <f t="shared" si="0"/>
        <v>N</v>
      </c>
      <c r="V59" s="12" t="str">
        <f t="shared" si="1"/>
        <v>N</v>
      </c>
      <c r="W59" s="12" t="str">
        <f t="shared" si="2"/>
        <v>N</v>
      </c>
      <c r="X59" s="12" t="str">
        <f t="shared" si="3"/>
        <v>N</v>
      </c>
      <c r="Y59" s="12" t="str">
        <f t="shared" si="4"/>
        <v>N</v>
      </c>
      <c r="Z59" s="12" t="str">
        <f t="shared" si="5"/>
        <v>N</v>
      </c>
      <c r="AA59" s="12">
        <f t="shared" si="6"/>
        <v>2</v>
      </c>
      <c r="AB59" s="12" t="str">
        <f t="shared" si="7"/>
        <v>MULTI-SIGNAL</v>
      </c>
      <c r="AC59" s="14" t="str">
        <f t="shared" si="8"/>
        <v>Settlement Authorization | Inactive Customer</v>
      </c>
    </row>
    <row r="60" spans="1:29" ht="42.75" x14ac:dyDescent="0.45">
      <c r="A60" s="2" t="s">
        <v>250</v>
      </c>
      <c r="B60" s="2" t="s">
        <v>251</v>
      </c>
      <c r="C60" s="2" t="s">
        <v>64</v>
      </c>
      <c r="D60" s="2" t="s">
        <v>252</v>
      </c>
      <c r="E60" s="11">
        <v>44994</v>
      </c>
      <c r="F60" s="12" t="s">
        <v>51</v>
      </c>
      <c r="G60" s="13">
        <v>98000</v>
      </c>
      <c r="H60" s="12" t="s">
        <v>59</v>
      </c>
      <c r="I60" s="11">
        <v>46079</v>
      </c>
      <c r="J60" s="12" t="s">
        <v>51</v>
      </c>
      <c r="K60" s="11">
        <v>46245</v>
      </c>
      <c r="L60" s="12" t="s">
        <v>53</v>
      </c>
      <c r="M60" s="12" t="s">
        <v>53</v>
      </c>
      <c r="N60" s="11"/>
      <c r="O60" s="12"/>
      <c r="P60" s="12" t="s">
        <v>51</v>
      </c>
      <c r="Q60" s="14" t="s">
        <v>253</v>
      </c>
      <c r="R60" s="14"/>
      <c r="S60" s="12" t="s">
        <v>53</v>
      </c>
      <c r="T60" s="11"/>
      <c r="U60" s="12" t="str">
        <f t="shared" si="0"/>
        <v>Y</v>
      </c>
      <c r="V60" s="12" t="str">
        <f t="shared" si="1"/>
        <v>N</v>
      </c>
      <c r="W60" s="12" t="str">
        <f t="shared" si="2"/>
        <v>Y</v>
      </c>
      <c r="X60" s="12" t="str">
        <f t="shared" si="3"/>
        <v>Y</v>
      </c>
      <c r="Y60" s="12" t="str">
        <f t="shared" si="4"/>
        <v>N</v>
      </c>
      <c r="Z60" s="12" t="str">
        <f t="shared" si="5"/>
        <v>N</v>
      </c>
      <c r="AA60" s="12">
        <f t="shared" si="6"/>
        <v>3</v>
      </c>
      <c r="AB60" s="12" t="str">
        <f t="shared" si="7"/>
        <v>ELEVATED MULTI-SIGNAL</v>
      </c>
      <c r="AC60" s="14" t="str">
        <f t="shared" si="8"/>
        <v>Settlement Authorization | Open Stipulation | Automated Claim Alert</v>
      </c>
    </row>
    <row r="61" spans="1:29" ht="28.5" x14ac:dyDescent="0.45">
      <c r="A61" s="2" t="s">
        <v>254</v>
      </c>
      <c r="B61" s="2" t="s">
        <v>255</v>
      </c>
      <c r="C61" s="2" t="s">
        <v>64</v>
      </c>
      <c r="D61" s="2" t="s">
        <v>256</v>
      </c>
      <c r="E61" s="11">
        <v>43272</v>
      </c>
      <c r="F61" s="12" t="s">
        <v>51</v>
      </c>
      <c r="G61" s="13">
        <v>156000</v>
      </c>
      <c r="H61" s="12" t="s">
        <v>66</v>
      </c>
      <c r="I61" s="11">
        <v>44695</v>
      </c>
      <c r="J61" s="12" t="s">
        <v>51</v>
      </c>
      <c r="K61" s="11">
        <v>44409</v>
      </c>
      <c r="L61" s="12" t="s">
        <v>53</v>
      </c>
      <c r="M61" s="12" t="s">
        <v>51</v>
      </c>
      <c r="N61" s="11">
        <v>44207</v>
      </c>
      <c r="O61" s="12" t="s">
        <v>257</v>
      </c>
      <c r="P61" s="12" t="s">
        <v>53</v>
      </c>
      <c r="Q61" s="14"/>
      <c r="R61" s="14"/>
      <c r="S61" s="12" t="s">
        <v>53</v>
      </c>
      <c r="T61" s="11"/>
      <c r="U61" s="12" t="str">
        <f t="shared" si="0"/>
        <v>N</v>
      </c>
      <c r="V61" s="12" t="str">
        <f t="shared" si="1"/>
        <v>N</v>
      </c>
      <c r="W61" s="12" t="str">
        <f t="shared" si="2"/>
        <v>N</v>
      </c>
      <c r="X61" s="12" t="str">
        <f t="shared" si="3"/>
        <v>N</v>
      </c>
      <c r="Y61" s="12" t="str">
        <f t="shared" si="4"/>
        <v>N</v>
      </c>
      <c r="Z61" s="12" t="str">
        <f t="shared" si="5"/>
        <v>N</v>
      </c>
      <c r="AA61" s="12">
        <f t="shared" si="6"/>
        <v>3</v>
      </c>
      <c r="AB61" s="12" t="str">
        <f t="shared" si="7"/>
        <v>ELEVATED MULTI-SIGNAL</v>
      </c>
      <c r="AC61" s="14" t="str">
        <f t="shared" si="8"/>
        <v>Settlement Authorization | Open Stipulation | Pending QME</v>
      </c>
    </row>
    <row r="62" spans="1:29" ht="28.5" x14ac:dyDescent="0.45">
      <c r="A62" s="2" t="s">
        <v>258</v>
      </c>
      <c r="B62" s="2" t="s">
        <v>259</v>
      </c>
      <c r="C62" s="2" t="s">
        <v>64</v>
      </c>
      <c r="D62" s="2" t="s">
        <v>125</v>
      </c>
      <c r="E62" s="11">
        <v>44113</v>
      </c>
      <c r="F62" s="12" t="s">
        <v>53</v>
      </c>
      <c r="G62" s="13"/>
      <c r="H62" s="12"/>
      <c r="I62" s="11"/>
      <c r="J62" s="12" t="s">
        <v>53</v>
      </c>
      <c r="K62" s="11"/>
      <c r="L62" s="12"/>
      <c r="M62" s="12" t="s">
        <v>53</v>
      </c>
      <c r="N62" s="11"/>
      <c r="O62" s="12"/>
      <c r="P62" s="12" t="s">
        <v>51</v>
      </c>
      <c r="Q62" s="14" t="s">
        <v>222</v>
      </c>
      <c r="R62" s="14" t="s">
        <v>260</v>
      </c>
      <c r="S62" s="12" t="s">
        <v>53</v>
      </c>
      <c r="T62" s="11"/>
      <c r="U62" s="12" t="str">
        <f t="shared" si="0"/>
        <v>N</v>
      </c>
      <c r="V62" s="12" t="str">
        <f t="shared" si="1"/>
        <v>N</v>
      </c>
      <c r="W62" s="12" t="str">
        <f t="shared" si="2"/>
        <v>Y</v>
      </c>
      <c r="X62" s="12" t="str">
        <f t="shared" si="3"/>
        <v>Y</v>
      </c>
      <c r="Y62" s="12" t="str">
        <f t="shared" si="4"/>
        <v>Y</v>
      </c>
      <c r="Z62" s="12" t="str">
        <f t="shared" si="5"/>
        <v>N</v>
      </c>
      <c r="AA62" s="12">
        <f t="shared" si="6"/>
        <v>1</v>
      </c>
      <c r="AB62" s="12" t="str">
        <f t="shared" si="7"/>
        <v>SINGLE-SIGNAL</v>
      </c>
      <c r="AC62" s="14" t="str">
        <f t="shared" si="8"/>
        <v>Automated Claim Alert</v>
      </c>
    </row>
    <row r="63" spans="1:29" x14ac:dyDescent="0.45">
      <c r="A63" s="2" t="s">
        <v>261</v>
      </c>
      <c r="B63" s="2" t="s">
        <v>262</v>
      </c>
      <c r="C63" s="2" t="s">
        <v>64</v>
      </c>
      <c r="D63" s="2" t="s">
        <v>263</v>
      </c>
      <c r="E63" s="11">
        <v>43136</v>
      </c>
      <c r="F63" s="12" t="s">
        <v>53</v>
      </c>
      <c r="G63" s="13"/>
      <c r="H63" s="12"/>
      <c r="I63" s="11"/>
      <c r="J63" s="12" t="s">
        <v>53</v>
      </c>
      <c r="K63" s="11"/>
      <c r="L63" s="12"/>
      <c r="M63" s="12" t="s">
        <v>51</v>
      </c>
      <c r="N63" s="11">
        <v>43789</v>
      </c>
      <c r="O63" s="12" t="s">
        <v>264</v>
      </c>
      <c r="P63" s="12" t="s">
        <v>53</v>
      </c>
      <c r="Q63" s="14"/>
      <c r="R63" s="14"/>
      <c r="S63" s="12" t="s">
        <v>53</v>
      </c>
      <c r="T63" s="11"/>
      <c r="U63" s="12" t="str">
        <f t="shared" si="0"/>
        <v>N</v>
      </c>
      <c r="V63" s="12" t="str">
        <f t="shared" si="1"/>
        <v>N</v>
      </c>
      <c r="W63" s="12" t="str">
        <f t="shared" si="2"/>
        <v>N</v>
      </c>
      <c r="X63" s="12" t="str">
        <f t="shared" si="3"/>
        <v>N</v>
      </c>
      <c r="Y63" s="12" t="str">
        <f t="shared" si="4"/>
        <v>N</v>
      </c>
      <c r="Z63" s="12" t="str">
        <f t="shared" si="5"/>
        <v>N</v>
      </c>
      <c r="AA63" s="12">
        <f t="shared" si="6"/>
        <v>1</v>
      </c>
      <c r="AB63" s="12" t="str">
        <f t="shared" si="7"/>
        <v>SINGLE-SIGNAL</v>
      </c>
      <c r="AC63" s="14" t="str">
        <f t="shared" si="8"/>
        <v>Pending QME</v>
      </c>
    </row>
    <row r="64" spans="1:29" x14ac:dyDescent="0.45">
      <c r="A64" s="2" t="s">
        <v>265</v>
      </c>
      <c r="B64" s="2" t="s">
        <v>266</v>
      </c>
      <c r="C64" s="2" t="s">
        <v>64</v>
      </c>
      <c r="D64" s="2" t="s">
        <v>267</v>
      </c>
      <c r="E64" s="11">
        <v>43318</v>
      </c>
      <c r="F64" s="12" t="s">
        <v>53</v>
      </c>
      <c r="G64" s="13"/>
      <c r="H64" s="12"/>
      <c r="I64" s="11"/>
      <c r="J64" s="12" t="s">
        <v>51</v>
      </c>
      <c r="K64" s="11">
        <v>43529</v>
      </c>
      <c r="L64" s="12" t="s">
        <v>53</v>
      </c>
      <c r="M64" s="12" t="s">
        <v>53</v>
      </c>
      <c r="N64" s="11"/>
      <c r="O64" s="12"/>
      <c r="P64" s="12" t="s">
        <v>53</v>
      </c>
      <c r="Q64" s="14"/>
      <c r="R64" s="14"/>
      <c r="S64" s="12" t="s">
        <v>53</v>
      </c>
      <c r="T64" s="11"/>
      <c r="U64" s="12" t="str">
        <f t="shared" si="0"/>
        <v>N</v>
      </c>
      <c r="V64" s="12" t="str">
        <f t="shared" si="1"/>
        <v>N</v>
      </c>
      <c r="W64" s="12" t="str">
        <f t="shared" si="2"/>
        <v>N</v>
      </c>
      <c r="X64" s="12" t="str">
        <f t="shared" si="3"/>
        <v>N</v>
      </c>
      <c r="Y64" s="12" t="str">
        <f t="shared" si="4"/>
        <v>N</v>
      </c>
      <c r="Z64" s="12" t="str">
        <f t="shared" si="5"/>
        <v>N</v>
      </c>
      <c r="AA64" s="12">
        <f t="shared" si="6"/>
        <v>1</v>
      </c>
      <c r="AB64" s="12" t="str">
        <f t="shared" si="7"/>
        <v>SINGLE-SIGNAL</v>
      </c>
      <c r="AC64" s="14" t="str">
        <f t="shared" si="8"/>
        <v>Open Stipulation</v>
      </c>
    </row>
    <row r="65" spans="1:29" x14ac:dyDescent="0.45">
      <c r="A65" s="2" t="s">
        <v>268</v>
      </c>
      <c r="B65" s="2" t="s">
        <v>269</v>
      </c>
      <c r="C65" s="2" t="s">
        <v>270</v>
      </c>
      <c r="D65" s="2" t="s">
        <v>201</v>
      </c>
      <c r="E65" s="11">
        <v>43511</v>
      </c>
      <c r="F65" s="12" t="s">
        <v>53</v>
      </c>
      <c r="G65" s="13"/>
      <c r="H65" s="12"/>
      <c r="I65" s="11"/>
      <c r="J65" s="12" t="s">
        <v>53</v>
      </c>
      <c r="K65" s="11"/>
      <c r="L65" s="12"/>
      <c r="M65" s="12" t="s">
        <v>51</v>
      </c>
      <c r="N65" s="11">
        <v>45306</v>
      </c>
      <c r="O65" s="12" t="s">
        <v>271</v>
      </c>
      <c r="P65" s="12" t="s">
        <v>53</v>
      </c>
      <c r="Q65" s="14"/>
      <c r="R65" s="14"/>
      <c r="S65" s="12" t="s">
        <v>53</v>
      </c>
      <c r="T65" s="11"/>
      <c r="U65" s="12" t="str">
        <f t="shared" si="0"/>
        <v>N</v>
      </c>
      <c r="V65" s="12" t="str">
        <f t="shared" si="1"/>
        <v>N</v>
      </c>
      <c r="W65" s="12" t="str">
        <f t="shared" si="2"/>
        <v>N</v>
      </c>
      <c r="X65" s="12" t="str">
        <f t="shared" si="3"/>
        <v>N</v>
      </c>
      <c r="Y65" s="12" t="str">
        <f t="shared" si="4"/>
        <v>N</v>
      </c>
      <c r="Z65" s="12" t="str">
        <f t="shared" si="5"/>
        <v>N</v>
      </c>
      <c r="AA65" s="12">
        <f t="shared" si="6"/>
        <v>1</v>
      </c>
      <c r="AB65" s="12" t="str">
        <f t="shared" si="7"/>
        <v>SINGLE-SIGNAL</v>
      </c>
      <c r="AC65" s="14" t="str">
        <f t="shared" si="8"/>
        <v>Pending QME</v>
      </c>
    </row>
    <row r="66" spans="1:29" x14ac:dyDescent="0.45">
      <c r="A66" s="2" t="s">
        <v>272</v>
      </c>
      <c r="B66" s="2" t="s">
        <v>273</v>
      </c>
      <c r="C66" s="2" t="s">
        <v>270</v>
      </c>
      <c r="D66" s="2" t="s">
        <v>274</v>
      </c>
      <c r="E66" s="11">
        <v>43863</v>
      </c>
      <c r="F66" s="12" t="s">
        <v>51</v>
      </c>
      <c r="G66" s="13">
        <v>157000</v>
      </c>
      <c r="H66" s="12" t="s">
        <v>71</v>
      </c>
      <c r="I66" s="11">
        <v>44639</v>
      </c>
      <c r="J66" s="12" t="s">
        <v>53</v>
      </c>
      <c r="K66" s="11"/>
      <c r="L66" s="12" t="s">
        <v>51</v>
      </c>
      <c r="M66" s="12" t="s">
        <v>53</v>
      </c>
      <c r="N66" s="11"/>
      <c r="O66" s="12"/>
      <c r="P66" s="12" t="s">
        <v>53</v>
      </c>
      <c r="Q66" s="14"/>
      <c r="R66" s="14"/>
      <c r="S66" s="12" t="s">
        <v>53</v>
      </c>
      <c r="T66" s="11"/>
      <c r="U66" s="12" t="str">
        <f t="shared" ref="U66:U129" si="9">IF(ISNUMBER(SEARCH("SURGERY",Q66&amp;" "&amp;R66)),"Y","N")</f>
        <v>N</v>
      </c>
      <c r="V66" s="12" t="str">
        <f t="shared" ref="V66:V129" si="10">IF(ISNUMBER(SEARCH("MMI",Q66&amp;" "&amp;R66)),"Y","N")</f>
        <v>N</v>
      </c>
      <c r="W66" s="12" t="str">
        <f t="shared" ref="W66:W129" si="11">IF(ISNUMBER(SEARCH("DENIED TREATMENT",Q66&amp;" "&amp;R66)),"Y","N")</f>
        <v>N</v>
      </c>
      <c r="X66" s="12" t="str">
        <f t="shared" ref="X66:X129" si="12">IF(ISNUMBER(SEARCH("SPECIALIST CONSULTATION",Q66&amp;" "&amp;R66)),"Y","N")</f>
        <v>N</v>
      </c>
      <c r="Y66" s="12" t="str">
        <f t="shared" ref="Y66:Y129" si="13">IF(ISNUMBER(SEARCH("NON-RENEWED ACCOUNT",Q66&amp;" "&amp;R66)),"Y","N")</f>
        <v>N</v>
      </c>
      <c r="Z66" s="12" t="str">
        <f t="shared" ref="Z66:Z129" si="14">IF(ISNUMBER(SEARCH("MSA ELIGIBLE",Q66&amp;" "&amp;R66)),"Y","N")</f>
        <v>N</v>
      </c>
      <c r="AA66" s="12">
        <f t="shared" ref="AA66:AA129" si="15">COUNTIF(F66,"Y")+COUNTIF(J66,"Y")+COUNTIF(M66,"Y")+COUNTIF(P66,"Y")+COUNTIF(S66,"Y")</f>
        <v>1</v>
      </c>
      <c r="AB66" s="12" t="str">
        <f t="shared" ref="AB66:AB129" si="16">IF(AA66=5,"MAXIMUM MULTI-SIGNAL",IF(AA66=4,"HIGH MULTI-SIGNAL",IF(AA66=3,"ELEVATED MULTI-SIGNAL",IF(AA66=2,"MULTI-SIGNAL","SINGLE-SIGNAL"))))</f>
        <v>SINGLE-SIGNAL</v>
      </c>
      <c r="AC66" s="14" t="str">
        <f t="shared" ref="AC66:AC129" si="17">IF(F66="Y","Settlement Authorization","")&amp;IF(J66="Y",IF(F66="Y"," | ","")&amp;"Open Stipulation","")&amp;IF(M66="Y",IF(OR(F66="Y",J66="Y")," | ","")&amp;"Pending QME","")&amp;IF(P66="Y",IF(OR(F66="Y",J66="Y",M66="Y")," | ","")&amp;"Automated Claim Alert","")&amp;IF(S66="Y",IF(OR(F66="Y",J66="Y",M66="Y",P66="Y")," | ","")&amp;"Inactive Customer","")</f>
        <v>Settlement Authorization</v>
      </c>
    </row>
    <row r="67" spans="1:29" ht="28.5" x14ac:dyDescent="0.45">
      <c r="A67" s="2" t="s">
        <v>275</v>
      </c>
      <c r="B67" s="2" t="s">
        <v>276</v>
      </c>
      <c r="C67" s="2" t="s">
        <v>270</v>
      </c>
      <c r="D67" s="2" t="s">
        <v>204</v>
      </c>
      <c r="E67" s="11">
        <v>44951</v>
      </c>
      <c r="F67" s="12" t="s">
        <v>51</v>
      </c>
      <c r="G67" s="13">
        <v>125500</v>
      </c>
      <c r="H67" s="12" t="s">
        <v>277</v>
      </c>
      <c r="I67" s="11">
        <v>46288</v>
      </c>
      <c r="J67" s="12" t="s">
        <v>53</v>
      </c>
      <c r="K67" s="11"/>
      <c r="L67" s="12" t="s">
        <v>53</v>
      </c>
      <c r="M67" s="12" t="s">
        <v>53</v>
      </c>
      <c r="N67" s="11"/>
      <c r="O67" s="12"/>
      <c r="P67" s="12" t="s">
        <v>51</v>
      </c>
      <c r="Q67" s="14" t="s">
        <v>278</v>
      </c>
      <c r="R67" s="14" t="s">
        <v>193</v>
      </c>
      <c r="S67" s="12" t="s">
        <v>51</v>
      </c>
      <c r="T67" s="11">
        <v>46316</v>
      </c>
      <c r="U67" s="12" t="str">
        <f t="shared" si="9"/>
        <v>Y</v>
      </c>
      <c r="V67" s="12" t="str">
        <f t="shared" si="10"/>
        <v>Y</v>
      </c>
      <c r="W67" s="12" t="str">
        <f t="shared" si="11"/>
        <v>Y</v>
      </c>
      <c r="X67" s="12" t="str">
        <f t="shared" si="12"/>
        <v>N</v>
      </c>
      <c r="Y67" s="12" t="str">
        <f t="shared" si="13"/>
        <v>Y</v>
      </c>
      <c r="Z67" s="12" t="str">
        <f t="shared" si="14"/>
        <v>Y</v>
      </c>
      <c r="AA67" s="12">
        <f t="shared" si="15"/>
        <v>3</v>
      </c>
      <c r="AB67" s="12" t="str">
        <f t="shared" si="16"/>
        <v>ELEVATED MULTI-SIGNAL</v>
      </c>
      <c r="AC67" s="14" t="str">
        <f t="shared" si="17"/>
        <v>Settlement Authorization | Automated Claim Alert | Inactive Customer</v>
      </c>
    </row>
    <row r="68" spans="1:29" x14ac:dyDescent="0.45">
      <c r="A68" s="2" t="s">
        <v>279</v>
      </c>
      <c r="B68" s="2" t="s">
        <v>280</v>
      </c>
      <c r="C68" s="2" t="s">
        <v>270</v>
      </c>
      <c r="D68" s="2" t="s">
        <v>152</v>
      </c>
      <c r="E68" s="11">
        <v>44185</v>
      </c>
      <c r="F68" s="12" t="s">
        <v>51</v>
      </c>
      <c r="G68" s="13">
        <v>49000</v>
      </c>
      <c r="H68" s="12" t="s">
        <v>71</v>
      </c>
      <c r="I68" s="11">
        <v>45185</v>
      </c>
      <c r="J68" s="12" t="s">
        <v>53</v>
      </c>
      <c r="K68" s="11"/>
      <c r="L68" s="12" t="s">
        <v>53</v>
      </c>
      <c r="M68" s="12" t="s">
        <v>53</v>
      </c>
      <c r="N68" s="11"/>
      <c r="O68" s="12"/>
      <c r="P68" s="12" t="s">
        <v>53</v>
      </c>
      <c r="Q68" s="14"/>
      <c r="R68" s="14"/>
      <c r="S68" s="12" t="s">
        <v>53</v>
      </c>
      <c r="T68" s="11"/>
      <c r="U68" s="12" t="str">
        <f t="shared" si="9"/>
        <v>N</v>
      </c>
      <c r="V68" s="12" t="str">
        <f t="shared" si="10"/>
        <v>N</v>
      </c>
      <c r="W68" s="12" t="str">
        <f t="shared" si="11"/>
        <v>N</v>
      </c>
      <c r="X68" s="12" t="str">
        <f t="shared" si="12"/>
        <v>N</v>
      </c>
      <c r="Y68" s="12" t="str">
        <f t="shared" si="13"/>
        <v>N</v>
      </c>
      <c r="Z68" s="12" t="str">
        <f t="shared" si="14"/>
        <v>N</v>
      </c>
      <c r="AA68" s="12">
        <f t="shared" si="15"/>
        <v>1</v>
      </c>
      <c r="AB68" s="12" t="str">
        <f t="shared" si="16"/>
        <v>SINGLE-SIGNAL</v>
      </c>
      <c r="AC68" s="14" t="str">
        <f t="shared" si="17"/>
        <v>Settlement Authorization</v>
      </c>
    </row>
    <row r="69" spans="1:29" x14ac:dyDescent="0.45">
      <c r="A69" s="2" t="s">
        <v>281</v>
      </c>
      <c r="B69" s="2" t="s">
        <v>282</v>
      </c>
      <c r="C69" s="2" t="s">
        <v>270</v>
      </c>
      <c r="D69" s="2" t="s">
        <v>283</v>
      </c>
      <c r="E69" s="11">
        <v>44248</v>
      </c>
      <c r="F69" s="12" t="s">
        <v>51</v>
      </c>
      <c r="G69" s="13">
        <v>114000</v>
      </c>
      <c r="H69" s="12" t="s">
        <v>66</v>
      </c>
      <c r="I69" s="11">
        <v>44468</v>
      </c>
      <c r="J69" s="12" t="s">
        <v>53</v>
      </c>
      <c r="K69" s="11"/>
      <c r="L69" s="12" t="s">
        <v>53</v>
      </c>
      <c r="M69" s="12" t="s">
        <v>53</v>
      </c>
      <c r="N69" s="11"/>
      <c r="O69" s="12"/>
      <c r="P69" s="12" t="s">
        <v>53</v>
      </c>
      <c r="Q69" s="14"/>
      <c r="R69" s="14"/>
      <c r="S69" s="12" t="s">
        <v>53</v>
      </c>
      <c r="T69" s="11"/>
      <c r="U69" s="12" t="str">
        <f t="shared" si="9"/>
        <v>N</v>
      </c>
      <c r="V69" s="12" t="str">
        <f t="shared" si="10"/>
        <v>N</v>
      </c>
      <c r="W69" s="12" t="str">
        <f t="shared" si="11"/>
        <v>N</v>
      </c>
      <c r="X69" s="12" t="str">
        <f t="shared" si="12"/>
        <v>N</v>
      </c>
      <c r="Y69" s="12" t="str">
        <f t="shared" si="13"/>
        <v>N</v>
      </c>
      <c r="Z69" s="12" t="str">
        <f t="shared" si="14"/>
        <v>N</v>
      </c>
      <c r="AA69" s="12">
        <f t="shared" si="15"/>
        <v>1</v>
      </c>
      <c r="AB69" s="12" t="str">
        <f t="shared" si="16"/>
        <v>SINGLE-SIGNAL</v>
      </c>
      <c r="AC69" s="14" t="str">
        <f t="shared" si="17"/>
        <v>Settlement Authorization</v>
      </c>
    </row>
    <row r="70" spans="1:29" ht="28.5" x14ac:dyDescent="0.45">
      <c r="A70" s="2" t="s">
        <v>284</v>
      </c>
      <c r="B70" s="2" t="s">
        <v>285</v>
      </c>
      <c r="C70" s="2" t="s">
        <v>270</v>
      </c>
      <c r="D70" s="2" t="s">
        <v>198</v>
      </c>
      <c r="E70" s="11">
        <v>43531</v>
      </c>
      <c r="F70" s="12" t="s">
        <v>51</v>
      </c>
      <c r="G70" s="13">
        <v>112250</v>
      </c>
      <c r="H70" s="12" t="s">
        <v>78</v>
      </c>
      <c r="I70" s="11">
        <v>45017</v>
      </c>
      <c r="J70" s="12" t="s">
        <v>51</v>
      </c>
      <c r="K70" s="11">
        <v>43884</v>
      </c>
      <c r="L70" s="12" t="s">
        <v>51</v>
      </c>
      <c r="M70" s="12" t="s">
        <v>51</v>
      </c>
      <c r="N70" s="11">
        <v>44155</v>
      </c>
      <c r="O70" s="12" t="s">
        <v>286</v>
      </c>
      <c r="P70" s="12" t="s">
        <v>53</v>
      </c>
      <c r="Q70" s="14"/>
      <c r="R70" s="14"/>
      <c r="S70" s="12" t="s">
        <v>51</v>
      </c>
      <c r="T70" s="11">
        <v>45232</v>
      </c>
      <c r="U70" s="12" t="str">
        <f t="shared" si="9"/>
        <v>N</v>
      </c>
      <c r="V70" s="12" t="str">
        <f t="shared" si="10"/>
        <v>N</v>
      </c>
      <c r="W70" s="12" t="str">
        <f t="shared" si="11"/>
        <v>N</v>
      </c>
      <c r="X70" s="12" t="str">
        <f t="shared" si="12"/>
        <v>N</v>
      </c>
      <c r="Y70" s="12" t="str">
        <f t="shared" si="13"/>
        <v>N</v>
      </c>
      <c r="Z70" s="12" t="str">
        <f t="shared" si="14"/>
        <v>N</v>
      </c>
      <c r="AA70" s="12">
        <f t="shared" si="15"/>
        <v>4</v>
      </c>
      <c r="AB70" s="12" t="str">
        <f t="shared" si="16"/>
        <v>HIGH MULTI-SIGNAL</v>
      </c>
      <c r="AC70" s="14" t="str">
        <f t="shared" si="17"/>
        <v>Settlement Authorization | Open Stipulation | Pending QME | Inactive Customer</v>
      </c>
    </row>
    <row r="71" spans="1:29" x14ac:dyDescent="0.45">
      <c r="A71" s="2" t="s">
        <v>287</v>
      </c>
      <c r="B71" s="2" t="s">
        <v>288</v>
      </c>
      <c r="C71" s="2" t="s">
        <v>270</v>
      </c>
      <c r="D71" s="2" t="s">
        <v>289</v>
      </c>
      <c r="E71" s="11">
        <v>43988</v>
      </c>
      <c r="F71" s="12" t="s">
        <v>53</v>
      </c>
      <c r="G71" s="13"/>
      <c r="H71" s="12"/>
      <c r="I71" s="11"/>
      <c r="J71" s="12" t="s">
        <v>53</v>
      </c>
      <c r="K71" s="11"/>
      <c r="L71" s="12"/>
      <c r="M71" s="12" t="s">
        <v>53</v>
      </c>
      <c r="N71" s="11"/>
      <c r="O71" s="12"/>
      <c r="P71" s="12" t="s">
        <v>53</v>
      </c>
      <c r="Q71" s="14"/>
      <c r="R71" s="14"/>
      <c r="S71" s="12" t="s">
        <v>51</v>
      </c>
      <c r="T71" s="11">
        <v>45079</v>
      </c>
      <c r="U71" s="12" t="str">
        <f t="shared" si="9"/>
        <v>N</v>
      </c>
      <c r="V71" s="12" t="str">
        <f t="shared" si="10"/>
        <v>N</v>
      </c>
      <c r="W71" s="12" t="str">
        <f t="shared" si="11"/>
        <v>N</v>
      </c>
      <c r="X71" s="12" t="str">
        <f t="shared" si="12"/>
        <v>N</v>
      </c>
      <c r="Y71" s="12" t="str">
        <f t="shared" si="13"/>
        <v>N</v>
      </c>
      <c r="Z71" s="12" t="str">
        <f t="shared" si="14"/>
        <v>N</v>
      </c>
      <c r="AA71" s="12">
        <f t="shared" si="15"/>
        <v>1</v>
      </c>
      <c r="AB71" s="12" t="str">
        <f t="shared" si="16"/>
        <v>SINGLE-SIGNAL</v>
      </c>
      <c r="AC71" s="14" t="str">
        <f t="shared" si="17"/>
        <v>Inactive Customer</v>
      </c>
    </row>
    <row r="72" spans="1:29" x14ac:dyDescent="0.45">
      <c r="A72" s="2" t="s">
        <v>290</v>
      </c>
      <c r="B72" s="2" t="s">
        <v>291</v>
      </c>
      <c r="C72" s="2" t="s">
        <v>270</v>
      </c>
      <c r="D72" s="2" t="s">
        <v>292</v>
      </c>
      <c r="E72" s="11">
        <v>43272</v>
      </c>
      <c r="F72" s="12" t="s">
        <v>51</v>
      </c>
      <c r="G72" s="13">
        <v>20500</v>
      </c>
      <c r="H72" s="12" t="s">
        <v>78</v>
      </c>
      <c r="I72" s="11">
        <v>43430</v>
      </c>
      <c r="J72" s="12" t="s">
        <v>53</v>
      </c>
      <c r="K72" s="11"/>
      <c r="L72" s="12" t="s">
        <v>53</v>
      </c>
      <c r="M72" s="12" t="s">
        <v>53</v>
      </c>
      <c r="N72" s="11"/>
      <c r="O72" s="12"/>
      <c r="P72" s="12" t="s">
        <v>53</v>
      </c>
      <c r="Q72" s="14"/>
      <c r="R72" s="14"/>
      <c r="S72" s="12" t="s">
        <v>51</v>
      </c>
      <c r="T72" s="11">
        <v>44930</v>
      </c>
      <c r="U72" s="12" t="str">
        <f t="shared" si="9"/>
        <v>N</v>
      </c>
      <c r="V72" s="12" t="str">
        <f t="shared" si="10"/>
        <v>N</v>
      </c>
      <c r="W72" s="12" t="str">
        <f t="shared" si="11"/>
        <v>N</v>
      </c>
      <c r="X72" s="12" t="str">
        <f t="shared" si="12"/>
        <v>N</v>
      </c>
      <c r="Y72" s="12" t="str">
        <f t="shared" si="13"/>
        <v>N</v>
      </c>
      <c r="Z72" s="12" t="str">
        <f t="shared" si="14"/>
        <v>N</v>
      </c>
      <c r="AA72" s="12">
        <f t="shared" si="15"/>
        <v>2</v>
      </c>
      <c r="AB72" s="12" t="str">
        <f t="shared" si="16"/>
        <v>MULTI-SIGNAL</v>
      </c>
      <c r="AC72" s="14" t="str">
        <f t="shared" si="17"/>
        <v>Settlement Authorization | Inactive Customer</v>
      </c>
    </row>
    <row r="73" spans="1:29" x14ac:dyDescent="0.45">
      <c r="A73" s="2" t="s">
        <v>293</v>
      </c>
      <c r="B73" s="2" t="s">
        <v>294</v>
      </c>
      <c r="C73" s="2" t="s">
        <v>69</v>
      </c>
      <c r="D73" s="2" t="s">
        <v>295</v>
      </c>
      <c r="E73" s="11">
        <v>45270</v>
      </c>
      <c r="F73" s="12" t="s">
        <v>51</v>
      </c>
      <c r="G73" s="13">
        <v>125250</v>
      </c>
      <c r="H73" s="12" t="s">
        <v>52</v>
      </c>
      <c r="I73" s="11">
        <v>45944</v>
      </c>
      <c r="J73" s="12" t="s">
        <v>53</v>
      </c>
      <c r="K73" s="11"/>
      <c r="L73" s="12" t="s">
        <v>51</v>
      </c>
      <c r="M73" s="12" t="s">
        <v>53</v>
      </c>
      <c r="N73" s="11"/>
      <c r="O73" s="12"/>
      <c r="P73" s="12" t="s">
        <v>53</v>
      </c>
      <c r="Q73" s="14"/>
      <c r="R73" s="14"/>
      <c r="S73" s="12" t="s">
        <v>53</v>
      </c>
      <c r="T73" s="11"/>
      <c r="U73" s="12" t="str">
        <f t="shared" si="9"/>
        <v>N</v>
      </c>
      <c r="V73" s="12" t="str">
        <f t="shared" si="10"/>
        <v>N</v>
      </c>
      <c r="W73" s="12" t="str">
        <f t="shared" si="11"/>
        <v>N</v>
      </c>
      <c r="X73" s="12" t="str">
        <f t="shared" si="12"/>
        <v>N</v>
      </c>
      <c r="Y73" s="12" t="str">
        <f t="shared" si="13"/>
        <v>N</v>
      </c>
      <c r="Z73" s="12" t="str">
        <f t="shared" si="14"/>
        <v>N</v>
      </c>
      <c r="AA73" s="12">
        <f t="shared" si="15"/>
        <v>1</v>
      </c>
      <c r="AB73" s="12" t="str">
        <f t="shared" si="16"/>
        <v>SINGLE-SIGNAL</v>
      </c>
      <c r="AC73" s="14" t="str">
        <f t="shared" si="17"/>
        <v>Settlement Authorization</v>
      </c>
    </row>
    <row r="74" spans="1:29" ht="28.5" x14ac:dyDescent="0.45">
      <c r="A74" s="2" t="s">
        <v>296</v>
      </c>
      <c r="B74" s="2" t="s">
        <v>297</v>
      </c>
      <c r="C74" s="2" t="s">
        <v>69</v>
      </c>
      <c r="D74" s="2" t="s">
        <v>298</v>
      </c>
      <c r="E74" s="11">
        <v>43364</v>
      </c>
      <c r="F74" s="12" t="s">
        <v>51</v>
      </c>
      <c r="G74" s="13">
        <v>10750</v>
      </c>
      <c r="H74" s="12" t="s">
        <v>109</v>
      </c>
      <c r="I74" s="11">
        <v>45144</v>
      </c>
      <c r="J74" s="12" t="s">
        <v>53</v>
      </c>
      <c r="K74" s="11"/>
      <c r="L74" s="12" t="s">
        <v>53</v>
      </c>
      <c r="M74" s="12" t="s">
        <v>53</v>
      </c>
      <c r="N74" s="11"/>
      <c r="O74" s="12"/>
      <c r="P74" s="12" t="s">
        <v>51</v>
      </c>
      <c r="Q74" s="14" t="s">
        <v>227</v>
      </c>
      <c r="R74" s="14" t="s">
        <v>299</v>
      </c>
      <c r="S74" s="12" t="s">
        <v>53</v>
      </c>
      <c r="T74" s="11"/>
      <c r="U74" s="12" t="str">
        <f t="shared" si="9"/>
        <v>N</v>
      </c>
      <c r="V74" s="12" t="str">
        <f t="shared" si="10"/>
        <v>Y</v>
      </c>
      <c r="W74" s="12" t="str">
        <f t="shared" si="11"/>
        <v>Y</v>
      </c>
      <c r="X74" s="12" t="str">
        <f t="shared" si="12"/>
        <v>N</v>
      </c>
      <c r="Y74" s="12" t="str">
        <f t="shared" si="13"/>
        <v>N</v>
      </c>
      <c r="Z74" s="12" t="str">
        <f t="shared" si="14"/>
        <v>Y</v>
      </c>
      <c r="AA74" s="12">
        <f t="shared" si="15"/>
        <v>2</v>
      </c>
      <c r="AB74" s="12" t="str">
        <f t="shared" si="16"/>
        <v>MULTI-SIGNAL</v>
      </c>
      <c r="AC74" s="14" t="str">
        <f t="shared" si="17"/>
        <v>Settlement Authorization | Automated Claim Alert</v>
      </c>
    </row>
    <row r="75" spans="1:29" ht="28.5" x14ac:dyDescent="0.45">
      <c r="A75" s="2" t="s">
        <v>300</v>
      </c>
      <c r="B75" s="2" t="s">
        <v>301</v>
      </c>
      <c r="C75" s="2" t="s">
        <v>69</v>
      </c>
      <c r="D75" s="2" t="s">
        <v>92</v>
      </c>
      <c r="E75" s="11">
        <v>45976</v>
      </c>
      <c r="F75" s="12" t="s">
        <v>51</v>
      </c>
      <c r="G75" s="13">
        <v>112750</v>
      </c>
      <c r="H75" s="12" t="s">
        <v>93</v>
      </c>
      <c r="I75" s="11">
        <v>47358</v>
      </c>
      <c r="J75" s="12" t="s">
        <v>51</v>
      </c>
      <c r="K75" s="11">
        <v>46730</v>
      </c>
      <c r="L75" s="12" t="s">
        <v>51</v>
      </c>
      <c r="M75" s="12" t="s">
        <v>53</v>
      </c>
      <c r="N75" s="11"/>
      <c r="O75" s="12"/>
      <c r="P75" s="12" t="s">
        <v>51</v>
      </c>
      <c r="Q75" s="14" t="s">
        <v>122</v>
      </c>
      <c r="R75" s="14" t="s">
        <v>149</v>
      </c>
      <c r="S75" s="12" t="s">
        <v>51</v>
      </c>
      <c r="T75" s="11">
        <v>46653</v>
      </c>
      <c r="U75" s="12" t="str">
        <f t="shared" si="9"/>
        <v>N</v>
      </c>
      <c r="V75" s="12" t="str">
        <f t="shared" si="10"/>
        <v>N</v>
      </c>
      <c r="W75" s="12" t="str">
        <f t="shared" si="11"/>
        <v>N</v>
      </c>
      <c r="X75" s="12" t="str">
        <f t="shared" si="12"/>
        <v>Y</v>
      </c>
      <c r="Y75" s="12" t="str">
        <f t="shared" si="13"/>
        <v>N</v>
      </c>
      <c r="Z75" s="12" t="str">
        <f t="shared" si="14"/>
        <v>Y</v>
      </c>
      <c r="AA75" s="12">
        <f t="shared" si="15"/>
        <v>4</v>
      </c>
      <c r="AB75" s="12" t="str">
        <f t="shared" si="16"/>
        <v>HIGH MULTI-SIGNAL</v>
      </c>
      <c r="AC75" s="14" t="str">
        <f t="shared" si="17"/>
        <v>Settlement Authorization | Open Stipulation | Automated Claim Alert | Inactive Customer</v>
      </c>
    </row>
    <row r="76" spans="1:29" ht="28.5" x14ac:dyDescent="0.45">
      <c r="A76" s="2" t="s">
        <v>302</v>
      </c>
      <c r="B76" s="2" t="s">
        <v>303</v>
      </c>
      <c r="C76" s="2" t="s">
        <v>69</v>
      </c>
      <c r="D76" s="2" t="s">
        <v>132</v>
      </c>
      <c r="E76" s="11">
        <v>44771</v>
      </c>
      <c r="F76" s="12" t="s">
        <v>51</v>
      </c>
      <c r="G76" s="13">
        <v>11500</v>
      </c>
      <c r="H76" s="12" t="s">
        <v>52</v>
      </c>
      <c r="I76" s="11">
        <v>45674</v>
      </c>
      <c r="J76" s="12" t="s">
        <v>53</v>
      </c>
      <c r="K76" s="11"/>
      <c r="L76" s="12" t="s">
        <v>53</v>
      </c>
      <c r="M76" s="12" t="s">
        <v>53</v>
      </c>
      <c r="N76" s="11"/>
      <c r="O76" s="12"/>
      <c r="P76" s="12" t="s">
        <v>51</v>
      </c>
      <c r="Q76" s="14" t="s">
        <v>183</v>
      </c>
      <c r="R76" s="14" t="s">
        <v>227</v>
      </c>
      <c r="S76" s="12" t="s">
        <v>53</v>
      </c>
      <c r="T76" s="11"/>
      <c r="U76" s="12" t="str">
        <f t="shared" si="9"/>
        <v>N</v>
      </c>
      <c r="V76" s="12" t="str">
        <f t="shared" si="10"/>
        <v>Y</v>
      </c>
      <c r="W76" s="12" t="str">
        <f t="shared" si="11"/>
        <v>Y</v>
      </c>
      <c r="X76" s="12" t="str">
        <f t="shared" si="12"/>
        <v>N</v>
      </c>
      <c r="Y76" s="12" t="str">
        <f t="shared" si="13"/>
        <v>N</v>
      </c>
      <c r="Z76" s="12" t="str">
        <f t="shared" si="14"/>
        <v>N</v>
      </c>
      <c r="AA76" s="12">
        <f t="shared" si="15"/>
        <v>2</v>
      </c>
      <c r="AB76" s="12" t="str">
        <f t="shared" si="16"/>
        <v>MULTI-SIGNAL</v>
      </c>
      <c r="AC76" s="14" t="str">
        <f t="shared" si="17"/>
        <v>Settlement Authorization | Automated Claim Alert</v>
      </c>
    </row>
    <row r="77" spans="1:29" x14ac:dyDescent="0.45">
      <c r="A77" s="2" t="s">
        <v>304</v>
      </c>
      <c r="B77" s="2" t="s">
        <v>305</v>
      </c>
      <c r="C77" s="2" t="s">
        <v>69</v>
      </c>
      <c r="D77" s="2" t="s">
        <v>306</v>
      </c>
      <c r="E77" s="11">
        <v>45225</v>
      </c>
      <c r="F77" s="12" t="s">
        <v>53</v>
      </c>
      <c r="G77" s="13"/>
      <c r="H77" s="12"/>
      <c r="I77" s="11"/>
      <c r="J77" s="12" t="s">
        <v>53</v>
      </c>
      <c r="K77" s="11"/>
      <c r="L77" s="12"/>
      <c r="M77" s="12" t="s">
        <v>53</v>
      </c>
      <c r="N77" s="11"/>
      <c r="O77" s="12"/>
      <c r="P77" s="12" t="s">
        <v>53</v>
      </c>
      <c r="Q77" s="14"/>
      <c r="R77" s="14"/>
      <c r="S77" s="12" t="s">
        <v>51</v>
      </c>
      <c r="T77" s="11">
        <v>47134</v>
      </c>
      <c r="U77" s="12" t="str">
        <f t="shared" si="9"/>
        <v>N</v>
      </c>
      <c r="V77" s="12" t="str">
        <f t="shared" si="10"/>
        <v>N</v>
      </c>
      <c r="W77" s="12" t="str">
        <f t="shared" si="11"/>
        <v>N</v>
      </c>
      <c r="X77" s="12" t="str">
        <f t="shared" si="12"/>
        <v>N</v>
      </c>
      <c r="Y77" s="12" t="str">
        <f t="shared" si="13"/>
        <v>N</v>
      </c>
      <c r="Z77" s="12" t="str">
        <f t="shared" si="14"/>
        <v>N</v>
      </c>
      <c r="AA77" s="12">
        <f t="shared" si="15"/>
        <v>1</v>
      </c>
      <c r="AB77" s="12" t="str">
        <f t="shared" si="16"/>
        <v>SINGLE-SIGNAL</v>
      </c>
      <c r="AC77" s="14" t="str">
        <f t="shared" si="17"/>
        <v>Inactive Customer</v>
      </c>
    </row>
    <row r="78" spans="1:29" x14ac:dyDescent="0.45">
      <c r="A78" s="2" t="s">
        <v>307</v>
      </c>
      <c r="B78" s="2" t="s">
        <v>308</v>
      </c>
      <c r="C78" s="2" t="s">
        <v>69</v>
      </c>
      <c r="D78" s="2" t="s">
        <v>309</v>
      </c>
      <c r="E78" s="11">
        <v>45090</v>
      </c>
      <c r="F78" s="12" t="s">
        <v>51</v>
      </c>
      <c r="G78" s="13">
        <v>95250</v>
      </c>
      <c r="H78" s="12" t="s">
        <v>78</v>
      </c>
      <c r="I78" s="11">
        <v>46835</v>
      </c>
      <c r="J78" s="12" t="s">
        <v>53</v>
      </c>
      <c r="K78" s="11"/>
      <c r="L78" s="12" t="s">
        <v>51</v>
      </c>
      <c r="M78" s="12" t="s">
        <v>51</v>
      </c>
      <c r="N78" s="11">
        <v>45972</v>
      </c>
      <c r="O78" s="12" t="s">
        <v>310</v>
      </c>
      <c r="P78" s="12" t="s">
        <v>53</v>
      </c>
      <c r="Q78" s="14"/>
      <c r="R78" s="14"/>
      <c r="S78" s="12" t="s">
        <v>53</v>
      </c>
      <c r="T78" s="11"/>
      <c r="U78" s="12" t="str">
        <f t="shared" si="9"/>
        <v>N</v>
      </c>
      <c r="V78" s="12" t="str">
        <f t="shared" si="10"/>
        <v>N</v>
      </c>
      <c r="W78" s="12" t="str">
        <f t="shared" si="11"/>
        <v>N</v>
      </c>
      <c r="X78" s="12" t="str">
        <f t="shared" si="12"/>
        <v>N</v>
      </c>
      <c r="Y78" s="12" t="str">
        <f t="shared" si="13"/>
        <v>N</v>
      </c>
      <c r="Z78" s="12" t="str">
        <f t="shared" si="14"/>
        <v>N</v>
      </c>
      <c r="AA78" s="12">
        <f t="shared" si="15"/>
        <v>2</v>
      </c>
      <c r="AB78" s="12" t="str">
        <f t="shared" si="16"/>
        <v>MULTI-SIGNAL</v>
      </c>
      <c r="AC78" s="14" t="str">
        <f t="shared" si="17"/>
        <v>Settlement Authorization | Pending QME</v>
      </c>
    </row>
    <row r="79" spans="1:29" x14ac:dyDescent="0.45">
      <c r="A79" s="2" t="s">
        <v>311</v>
      </c>
      <c r="B79" s="2" t="s">
        <v>312</v>
      </c>
      <c r="C79" s="2" t="s">
        <v>313</v>
      </c>
      <c r="D79" s="2" t="s">
        <v>267</v>
      </c>
      <c r="E79" s="11">
        <v>44607</v>
      </c>
      <c r="F79" s="12" t="s">
        <v>51</v>
      </c>
      <c r="G79" s="13">
        <v>82000</v>
      </c>
      <c r="H79" s="12" t="s">
        <v>93</v>
      </c>
      <c r="I79" s="11">
        <v>45179</v>
      </c>
      <c r="J79" s="12" t="s">
        <v>53</v>
      </c>
      <c r="K79" s="11"/>
      <c r="L79" s="12" t="s">
        <v>51</v>
      </c>
      <c r="M79" s="12" t="s">
        <v>53</v>
      </c>
      <c r="N79" s="11"/>
      <c r="O79" s="12"/>
      <c r="P79" s="12" t="s">
        <v>53</v>
      </c>
      <c r="Q79" s="14"/>
      <c r="R79" s="14"/>
      <c r="S79" s="12" t="s">
        <v>53</v>
      </c>
      <c r="T79" s="11"/>
      <c r="U79" s="12" t="str">
        <f t="shared" si="9"/>
        <v>N</v>
      </c>
      <c r="V79" s="12" t="str">
        <f t="shared" si="10"/>
        <v>N</v>
      </c>
      <c r="W79" s="12" t="str">
        <f t="shared" si="11"/>
        <v>N</v>
      </c>
      <c r="X79" s="12" t="str">
        <f t="shared" si="12"/>
        <v>N</v>
      </c>
      <c r="Y79" s="12" t="str">
        <f t="shared" si="13"/>
        <v>N</v>
      </c>
      <c r="Z79" s="12" t="str">
        <f t="shared" si="14"/>
        <v>N</v>
      </c>
      <c r="AA79" s="12">
        <f t="shared" si="15"/>
        <v>1</v>
      </c>
      <c r="AB79" s="12" t="str">
        <f t="shared" si="16"/>
        <v>SINGLE-SIGNAL</v>
      </c>
      <c r="AC79" s="14" t="str">
        <f t="shared" si="17"/>
        <v>Settlement Authorization</v>
      </c>
    </row>
    <row r="80" spans="1:29" ht="42.75" x14ac:dyDescent="0.45">
      <c r="A80" s="2" t="s">
        <v>314</v>
      </c>
      <c r="B80" s="2" t="s">
        <v>315</v>
      </c>
      <c r="C80" s="2" t="s">
        <v>313</v>
      </c>
      <c r="D80" s="2" t="s">
        <v>316</v>
      </c>
      <c r="E80" s="11">
        <v>43225</v>
      </c>
      <c r="F80" s="12" t="s">
        <v>51</v>
      </c>
      <c r="G80" s="13">
        <v>39500</v>
      </c>
      <c r="H80" s="12" t="s">
        <v>59</v>
      </c>
      <c r="I80" s="11">
        <v>44087</v>
      </c>
      <c r="J80" s="12" t="s">
        <v>53</v>
      </c>
      <c r="K80" s="11"/>
      <c r="L80" s="12" t="s">
        <v>53</v>
      </c>
      <c r="M80" s="12" t="s">
        <v>53</v>
      </c>
      <c r="N80" s="11"/>
      <c r="O80" s="12"/>
      <c r="P80" s="12" t="s">
        <v>51</v>
      </c>
      <c r="Q80" s="14" t="s">
        <v>317</v>
      </c>
      <c r="R80" s="14" t="s">
        <v>227</v>
      </c>
      <c r="S80" s="12" t="s">
        <v>51</v>
      </c>
      <c r="T80" s="11">
        <v>44832</v>
      </c>
      <c r="U80" s="12" t="str">
        <f t="shared" si="9"/>
        <v>Y</v>
      </c>
      <c r="V80" s="12" t="str">
        <f t="shared" si="10"/>
        <v>Y</v>
      </c>
      <c r="W80" s="12" t="str">
        <f t="shared" si="11"/>
        <v>N</v>
      </c>
      <c r="X80" s="12" t="str">
        <f t="shared" si="12"/>
        <v>Y</v>
      </c>
      <c r="Y80" s="12" t="str">
        <f t="shared" si="13"/>
        <v>Y</v>
      </c>
      <c r="Z80" s="12" t="str">
        <f t="shared" si="14"/>
        <v>N</v>
      </c>
      <c r="AA80" s="12">
        <f t="shared" si="15"/>
        <v>3</v>
      </c>
      <c r="AB80" s="12" t="str">
        <f t="shared" si="16"/>
        <v>ELEVATED MULTI-SIGNAL</v>
      </c>
      <c r="AC80" s="14" t="str">
        <f t="shared" si="17"/>
        <v>Settlement Authorization | Automated Claim Alert | Inactive Customer</v>
      </c>
    </row>
    <row r="81" spans="1:29" ht="28.5" x14ac:dyDescent="0.45">
      <c r="A81" s="2" t="s">
        <v>318</v>
      </c>
      <c r="B81" s="2" t="s">
        <v>319</v>
      </c>
      <c r="C81" s="2" t="s">
        <v>313</v>
      </c>
      <c r="D81" s="2" t="s">
        <v>320</v>
      </c>
      <c r="E81" s="11">
        <v>45188</v>
      </c>
      <c r="F81" s="12" t="s">
        <v>53</v>
      </c>
      <c r="G81" s="13"/>
      <c r="H81" s="12"/>
      <c r="I81" s="11"/>
      <c r="J81" s="12" t="s">
        <v>53</v>
      </c>
      <c r="K81" s="11"/>
      <c r="L81" s="12"/>
      <c r="M81" s="12" t="s">
        <v>53</v>
      </c>
      <c r="N81" s="11"/>
      <c r="O81" s="12"/>
      <c r="P81" s="12" t="s">
        <v>51</v>
      </c>
      <c r="Q81" s="14" t="s">
        <v>321</v>
      </c>
      <c r="R81" s="14"/>
      <c r="S81" s="12" t="s">
        <v>53</v>
      </c>
      <c r="T81" s="11"/>
      <c r="U81" s="12" t="str">
        <f t="shared" si="9"/>
        <v>N</v>
      </c>
      <c r="V81" s="12" t="str">
        <f t="shared" si="10"/>
        <v>N</v>
      </c>
      <c r="W81" s="12" t="str">
        <f t="shared" si="11"/>
        <v>N</v>
      </c>
      <c r="X81" s="12" t="str">
        <f t="shared" si="12"/>
        <v>N</v>
      </c>
      <c r="Y81" s="12" t="str">
        <f t="shared" si="13"/>
        <v>Y</v>
      </c>
      <c r="Z81" s="12" t="str">
        <f t="shared" si="14"/>
        <v>Y</v>
      </c>
      <c r="AA81" s="12">
        <f t="shared" si="15"/>
        <v>1</v>
      </c>
      <c r="AB81" s="12" t="str">
        <f t="shared" si="16"/>
        <v>SINGLE-SIGNAL</v>
      </c>
      <c r="AC81" s="14" t="str">
        <f t="shared" si="17"/>
        <v>Automated Claim Alert</v>
      </c>
    </row>
    <row r="82" spans="1:29" x14ac:dyDescent="0.45">
      <c r="A82" s="2" t="s">
        <v>322</v>
      </c>
      <c r="B82" s="2" t="s">
        <v>323</v>
      </c>
      <c r="C82" s="2" t="s">
        <v>313</v>
      </c>
      <c r="D82" s="2" t="s">
        <v>230</v>
      </c>
      <c r="E82" s="11">
        <v>44380</v>
      </c>
      <c r="F82" s="12" t="s">
        <v>53</v>
      </c>
      <c r="G82" s="13"/>
      <c r="H82" s="12"/>
      <c r="I82" s="11"/>
      <c r="J82" s="12" t="s">
        <v>51</v>
      </c>
      <c r="K82" s="11">
        <v>44571</v>
      </c>
      <c r="L82" s="12" t="s">
        <v>51</v>
      </c>
      <c r="M82" s="12" t="s">
        <v>53</v>
      </c>
      <c r="N82" s="11"/>
      <c r="O82" s="12"/>
      <c r="P82" s="12" t="s">
        <v>53</v>
      </c>
      <c r="Q82" s="14"/>
      <c r="R82" s="14"/>
      <c r="S82" s="12" t="s">
        <v>53</v>
      </c>
      <c r="T82" s="11"/>
      <c r="U82" s="12" t="str">
        <f t="shared" si="9"/>
        <v>N</v>
      </c>
      <c r="V82" s="12" t="str">
        <f t="shared" si="10"/>
        <v>N</v>
      </c>
      <c r="W82" s="12" t="str">
        <f t="shared" si="11"/>
        <v>N</v>
      </c>
      <c r="X82" s="12" t="str">
        <f t="shared" si="12"/>
        <v>N</v>
      </c>
      <c r="Y82" s="12" t="str">
        <f t="shared" si="13"/>
        <v>N</v>
      </c>
      <c r="Z82" s="12" t="str">
        <f t="shared" si="14"/>
        <v>N</v>
      </c>
      <c r="AA82" s="12">
        <f t="shared" si="15"/>
        <v>1</v>
      </c>
      <c r="AB82" s="12" t="str">
        <f t="shared" si="16"/>
        <v>SINGLE-SIGNAL</v>
      </c>
      <c r="AC82" s="14" t="str">
        <f t="shared" si="17"/>
        <v>Open Stipulation</v>
      </c>
    </row>
    <row r="83" spans="1:29" x14ac:dyDescent="0.45">
      <c r="A83" s="2" t="s">
        <v>324</v>
      </c>
      <c r="B83" s="2" t="s">
        <v>325</v>
      </c>
      <c r="C83" s="2" t="s">
        <v>313</v>
      </c>
      <c r="D83" s="2" t="s">
        <v>326</v>
      </c>
      <c r="E83" s="11">
        <v>43153</v>
      </c>
      <c r="F83" s="12" t="s">
        <v>51</v>
      </c>
      <c r="G83" s="13">
        <v>141000</v>
      </c>
      <c r="H83" s="12" t="s">
        <v>116</v>
      </c>
      <c r="I83" s="11">
        <v>43254</v>
      </c>
      <c r="J83" s="12" t="s">
        <v>53</v>
      </c>
      <c r="K83" s="11"/>
      <c r="L83" s="12" t="s">
        <v>53</v>
      </c>
      <c r="M83" s="12" t="s">
        <v>53</v>
      </c>
      <c r="N83" s="11"/>
      <c r="O83" s="12"/>
      <c r="P83" s="12" t="s">
        <v>53</v>
      </c>
      <c r="Q83" s="14"/>
      <c r="R83" s="14"/>
      <c r="S83" s="12" t="s">
        <v>53</v>
      </c>
      <c r="T83" s="11"/>
      <c r="U83" s="12" t="str">
        <f t="shared" si="9"/>
        <v>N</v>
      </c>
      <c r="V83" s="12" t="str">
        <f t="shared" si="10"/>
        <v>N</v>
      </c>
      <c r="W83" s="12" t="str">
        <f t="shared" si="11"/>
        <v>N</v>
      </c>
      <c r="X83" s="12" t="str">
        <f t="shared" si="12"/>
        <v>N</v>
      </c>
      <c r="Y83" s="12" t="str">
        <f t="shared" si="13"/>
        <v>N</v>
      </c>
      <c r="Z83" s="12" t="str">
        <f t="shared" si="14"/>
        <v>N</v>
      </c>
      <c r="AA83" s="12">
        <f t="shared" si="15"/>
        <v>1</v>
      </c>
      <c r="AB83" s="12" t="str">
        <f t="shared" si="16"/>
        <v>SINGLE-SIGNAL</v>
      </c>
      <c r="AC83" s="14" t="str">
        <f t="shared" si="17"/>
        <v>Settlement Authorization</v>
      </c>
    </row>
    <row r="84" spans="1:29" x14ac:dyDescent="0.45">
      <c r="A84" s="2" t="s">
        <v>327</v>
      </c>
      <c r="B84" s="2" t="s">
        <v>328</v>
      </c>
      <c r="C84" s="2" t="s">
        <v>313</v>
      </c>
      <c r="D84" s="2" t="s">
        <v>329</v>
      </c>
      <c r="E84" s="11">
        <v>45387</v>
      </c>
      <c r="F84" s="12" t="s">
        <v>53</v>
      </c>
      <c r="G84" s="13"/>
      <c r="H84" s="12"/>
      <c r="I84" s="11"/>
      <c r="J84" s="12" t="s">
        <v>53</v>
      </c>
      <c r="K84" s="11"/>
      <c r="L84" s="12"/>
      <c r="M84" s="12" t="s">
        <v>53</v>
      </c>
      <c r="N84" s="11"/>
      <c r="O84" s="12"/>
      <c r="P84" s="12" t="s">
        <v>53</v>
      </c>
      <c r="Q84" s="14"/>
      <c r="R84" s="14"/>
      <c r="S84" s="12" t="s">
        <v>51</v>
      </c>
      <c r="T84" s="11">
        <v>47334</v>
      </c>
      <c r="U84" s="12" t="str">
        <f t="shared" si="9"/>
        <v>N</v>
      </c>
      <c r="V84" s="12" t="str">
        <f t="shared" si="10"/>
        <v>N</v>
      </c>
      <c r="W84" s="12" t="str">
        <f t="shared" si="11"/>
        <v>N</v>
      </c>
      <c r="X84" s="12" t="str">
        <f t="shared" si="12"/>
        <v>N</v>
      </c>
      <c r="Y84" s="12" t="str">
        <f t="shared" si="13"/>
        <v>N</v>
      </c>
      <c r="Z84" s="12" t="str">
        <f t="shared" si="14"/>
        <v>N</v>
      </c>
      <c r="AA84" s="12">
        <f t="shared" si="15"/>
        <v>1</v>
      </c>
      <c r="AB84" s="12" t="str">
        <f t="shared" si="16"/>
        <v>SINGLE-SIGNAL</v>
      </c>
      <c r="AC84" s="14" t="str">
        <f t="shared" si="17"/>
        <v>Inactive Customer</v>
      </c>
    </row>
    <row r="85" spans="1:29" x14ac:dyDescent="0.45">
      <c r="A85" s="2" t="s">
        <v>330</v>
      </c>
      <c r="B85" s="2" t="s">
        <v>331</v>
      </c>
      <c r="C85" s="2" t="s">
        <v>313</v>
      </c>
      <c r="D85" s="2" t="s">
        <v>176</v>
      </c>
      <c r="E85" s="11">
        <v>43826</v>
      </c>
      <c r="F85" s="12" t="s">
        <v>53</v>
      </c>
      <c r="G85" s="13"/>
      <c r="H85" s="12"/>
      <c r="I85" s="11"/>
      <c r="J85" s="12" t="s">
        <v>51</v>
      </c>
      <c r="K85" s="11">
        <v>44859</v>
      </c>
      <c r="L85" s="12" t="s">
        <v>51</v>
      </c>
      <c r="M85" s="12" t="s">
        <v>53</v>
      </c>
      <c r="N85" s="11"/>
      <c r="O85" s="12"/>
      <c r="P85" s="12" t="s">
        <v>53</v>
      </c>
      <c r="Q85" s="14"/>
      <c r="R85" s="14"/>
      <c r="S85" s="12" t="s">
        <v>53</v>
      </c>
      <c r="T85" s="11"/>
      <c r="U85" s="12" t="str">
        <f t="shared" si="9"/>
        <v>N</v>
      </c>
      <c r="V85" s="12" t="str">
        <f t="shared" si="10"/>
        <v>N</v>
      </c>
      <c r="W85" s="12" t="str">
        <f t="shared" si="11"/>
        <v>N</v>
      </c>
      <c r="X85" s="12" t="str">
        <f t="shared" si="12"/>
        <v>N</v>
      </c>
      <c r="Y85" s="12" t="str">
        <f t="shared" si="13"/>
        <v>N</v>
      </c>
      <c r="Z85" s="12" t="str">
        <f t="shared" si="14"/>
        <v>N</v>
      </c>
      <c r="AA85" s="12">
        <f t="shared" si="15"/>
        <v>1</v>
      </c>
      <c r="AB85" s="12" t="str">
        <f t="shared" si="16"/>
        <v>SINGLE-SIGNAL</v>
      </c>
      <c r="AC85" s="14" t="str">
        <f t="shared" si="17"/>
        <v>Open Stipulation</v>
      </c>
    </row>
    <row r="86" spans="1:29" ht="28.5" x14ac:dyDescent="0.45">
      <c r="A86" s="2" t="s">
        <v>332</v>
      </c>
      <c r="B86" s="2" t="s">
        <v>333</v>
      </c>
      <c r="C86" s="2" t="s">
        <v>313</v>
      </c>
      <c r="D86" s="2" t="s">
        <v>334</v>
      </c>
      <c r="E86" s="11">
        <v>43599</v>
      </c>
      <c r="F86" s="12" t="s">
        <v>51</v>
      </c>
      <c r="G86" s="13">
        <v>53500</v>
      </c>
      <c r="H86" s="12" t="s">
        <v>59</v>
      </c>
      <c r="I86" s="11">
        <v>45186</v>
      </c>
      <c r="J86" s="12" t="s">
        <v>51</v>
      </c>
      <c r="K86" s="11">
        <v>44129</v>
      </c>
      <c r="L86" s="12" t="s">
        <v>51</v>
      </c>
      <c r="M86" s="12" t="s">
        <v>53</v>
      </c>
      <c r="N86" s="11"/>
      <c r="O86" s="12"/>
      <c r="P86" s="12" t="s">
        <v>53</v>
      </c>
      <c r="Q86" s="14"/>
      <c r="R86" s="14"/>
      <c r="S86" s="12" t="s">
        <v>51</v>
      </c>
      <c r="T86" s="11">
        <v>44204</v>
      </c>
      <c r="U86" s="12" t="str">
        <f t="shared" si="9"/>
        <v>N</v>
      </c>
      <c r="V86" s="12" t="str">
        <f t="shared" si="10"/>
        <v>N</v>
      </c>
      <c r="W86" s="12" t="str">
        <f t="shared" si="11"/>
        <v>N</v>
      </c>
      <c r="X86" s="12" t="str">
        <f t="shared" si="12"/>
        <v>N</v>
      </c>
      <c r="Y86" s="12" t="str">
        <f t="shared" si="13"/>
        <v>N</v>
      </c>
      <c r="Z86" s="12" t="str">
        <f t="shared" si="14"/>
        <v>N</v>
      </c>
      <c r="AA86" s="12">
        <f t="shared" si="15"/>
        <v>3</v>
      </c>
      <c r="AB86" s="12" t="str">
        <f t="shared" si="16"/>
        <v>ELEVATED MULTI-SIGNAL</v>
      </c>
      <c r="AC86" s="14" t="str">
        <f t="shared" si="17"/>
        <v>Settlement Authorization | Open Stipulation | Inactive Customer</v>
      </c>
    </row>
    <row r="87" spans="1:29" x14ac:dyDescent="0.45">
      <c r="A87" s="2" t="s">
        <v>335</v>
      </c>
      <c r="B87" s="2" t="s">
        <v>336</v>
      </c>
      <c r="C87" s="2" t="s">
        <v>313</v>
      </c>
      <c r="D87" s="2" t="s">
        <v>337</v>
      </c>
      <c r="E87" s="11">
        <v>43158</v>
      </c>
      <c r="F87" s="12" t="s">
        <v>53</v>
      </c>
      <c r="G87" s="13"/>
      <c r="H87" s="12"/>
      <c r="I87" s="11"/>
      <c r="J87" s="12" t="s">
        <v>53</v>
      </c>
      <c r="K87" s="11"/>
      <c r="L87" s="12"/>
      <c r="M87" s="12" t="s">
        <v>51</v>
      </c>
      <c r="N87" s="11">
        <v>44958</v>
      </c>
      <c r="O87" s="12" t="s">
        <v>338</v>
      </c>
      <c r="P87" s="12" t="s">
        <v>53</v>
      </c>
      <c r="Q87" s="14"/>
      <c r="R87" s="14"/>
      <c r="S87" s="12" t="s">
        <v>53</v>
      </c>
      <c r="T87" s="11"/>
      <c r="U87" s="12" t="str">
        <f t="shared" si="9"/>
        <v>N</v>
      </c>
      <c r="V87" s="12" t="str">
        <f t="shared" si="10"/>
        <v>N</v>
      </c>
      <c r="W87" s="12" t="str">
        <f t="shared" si="11"/>
        <v>N</v>
      </c>
      <c r="X87" s="12" t="str">
        <f t="shared" si="12"/>
        <v>N</v>
      </c>
      <c r="Y87" s="12" t="str">
        <f t="shared" si="13"/>
        <v>N</v>
      </c>
      <c r="Z87" s="12" t="str">
        <f t="shared" si="14"/>
        <v>N</v>
      </c>
      <c r="AA87" s="12">
        <f t="shared" si="15"/>
        <v>1</v>
      </c>
      <c r="AB87" s="12" t="str">
        <f t="shared" si="16"/>
        <v>SINGLE-SIGNAL</v>
      </c>
      <c r="AC87" s="14" t="str">
        <f t="shared" si="17"/>
        <v>Pending QME</v>
      </c>
    </row>
    <row r="88" spans="1:29" ht="28.5" x14ac:dyDescent="0.45">
      <c r="A88" s="2" t="s">
        <v>339</v>
      </c>
      <c r="B88" s="2" t="s">
        <v>340</v>
      </c>
      <c r="C88" s="2" t="s">
        <v>313</v>
      </c>
      <c r="D88" s="2" t="s">
        <v>74</v>
      </c>
      <c r="E88" s="11">
        <v>44304</v>
      </c>
      <c r="F88" s="12" t="s">
        <v>53</v>
      </c>
      <c r="G88" s="13"/>
      <c r="H88" s="12"/>
      <c r="I88" s="11"/>
      <c r="J88" s="12" t="s">
        <v>51</v>
      </c>
      <c r="K88" s="11">
        <v>44931</v>
      </c>
      <c r="L88" s="12" t="s">
        <v>53</v>
      </c>
      <c r="M88" s="12" t="s">
        <v>53</v>
      </c>
      <c r="N88" s="11"/>
      <c r="O88" s="12"/>
      <c r="P88" s="12" t="s">
        <v>51</v>
      </c>
      <c r="Q88" s="14" t="s">
        <v>341</v>
      </c>
      <c r="R88" s="14" t="s">
        <v>183</v>
      </c>
      <c r="S88" s="12" t="s">
        <v>53</v>
      </c>
      <c r="T88" s="11"/>
      <c r="U88" s="12" t="str">
        <f t="shared" si="9"/>
        <v>N</v>
      </c>
      <c r="V88" s="12" t="str">
        <f t="shared" si="10"/>
        <v>Y</v>
      </c>
      <c r="W88" s="12" t="str">
        <f t="shared" si="11"/>
        <v>Y</v>
      </c>
      <c r="X88" s="12" t="str">
        <f t="shared" si="12"/>
        <v>N</v>
      </c>
      <c r="Y88" s="12" t="str">
        <f t="shared" si="13"/>
        <v>Y</v>
      </c>
      <c r="Z88" s="12" t="str">
        <f t="shared" si="14"/>
        <v>Y</v>
      </c>
      <c r="AA88" s="12">
        <f t="shared" si="15"/>
        <v>2</v>
      </c>
      <c r="AB88" s="12" t="str">
        <f t="shared" si="16"/>
        <v>MULTI-SIGNAL</v>
      </c>
      <c r="AC88" s="14" t="str">
        <f t="shared" si="17"/>
        <v>Open Stipulation | Automated Claim Alert</v>
      </c>
    </row>
    <row r="89" spans="1:29" x14ac:dyDescent="0.45">
      <c r="A89" s="2" t="s">
        <v>342</v>
      </c>
      <c r="B89" s="2" t="s">
        <v>343</v>
      </c>
      <c r="C89" s="2" t="s">
        <v>313</v>
      </c>
      <c r="D89" s="2" t="s">
        <v>344</v>
      </c>
      <c r="E89" s="11">
        <v>45523</v>
      </c>
      <c r="F89" s="12" t="s">
        <v>51</v>
      </c>
      <c r="G89" s="13">
        <v>25750</v>
      </c>
      <c r="H89" s="12" t="s">
        <v>89</v>
      </c>
      <c r="I89" s="11">
        <v>45570</v>
      </c>
      <c r="J89" s="12" t="s">
        <v>53</v>
      </c>
      <c r="K89" s="11"/>
      <c r="L89" s="12" t="s">
        <v>53</v>
      </c>
      <c r="M89" s="12" t="s">
        <v>53</v>
      </c>
      <c r="N89" s="11"/>
      <c r="O89" s="12"/>
      <c r="P89" s="12" t="s">
        <v>53</v>
      </c>
      <c r="Q89" s="14"/>
      <c r="R89" s="14"/>
      <c r="S89" s="12" t="s">
        <v>53</v>
      </c>
      <c r="T89" s="11"/>
      <c r="U89" s="12" t="str">
        <f t="shared" si="9"/>
        <v>N</v>
      </c>
      <c r="V89" s="12" t="str">
        <f t="shared" si="10"/>
        <v>N</v>
      </c>
      <c r="W89" s="12" t="str">
        <f t="shared" si="11"/>
        <v>N</v>
      </c>
      <c r="X89" s="12" t="str">
        <f t="shared" si="12"/>
        <v>N</v>
      </c>
      <c r="Y89" s="12" t="str">
        <f t="shared" si="13"/>
        <v>N</v>
      </c>
      <c r="Z89" s="12" t="str">
        <f t="shared" si="14"/>
        <v>N</v>
      </c>
      <c r="AA89" s="12">
        <f t="shared" si="15"/>
        <v>1</v>
      </c>
      <c r="AB89" s="12" t="str">
        <f t="shared" si="16"/>
        <v>SINGLE-SIGNAL</v>
      </c>
      <c r="AC89" s="14" t="str">
        <f t="shared" si="17"/>
        <v>Settlement Authorization</v>
      </c>
    </row>
    <row r="90" spans="1:29" x14ac:dyDescent="0.45">
      <c r="A90" s="2" t="s">
        <v>345</v>
      </c>
      <c r="B90" s="2" t="s">
        <v>346</v>
      </c>
      <c r="C90" s="2" t="s">
        <v>313</v>
      </c>
      <c r="D90" s="2" t="s">
        <v>347</v>
      </c>
      <c r="E90" s="11">
        <v>45143</v>
      </c>
      <c r="F90" s="12" t="s">
        <v>51</v>
      </c>
      <c r="G90" s="13">
        <v>118500</v>
      </c>
      <c r="H90" s="12" t="s">
        <v>59</v>
      </c>
      <c r="I90" s="11">
        <v>45662</v>
      </c>
      <c r="J90" s="12" t="s">
        <v>53</v>
      </c>
      <c r="K90" s="11"/>
      <c r="L90" s="12" t="s">
        <v>53</v>
      </c>
      <c r="M90" s="12" t="s">
        <v>53</v>
      </c>
      <c r="N90" s="11"/>
      <c r="O90" s="12"/>
      <c r="P90" s="12" t="s">
        <v>53</v>
      </c>
      <c r="Q90" s="14"/>
      <c r="R90" s="14"/>
      <c r="S90" s="12" t="s">
        <v>53</v>
      </c>
      <c r="T90" s="11"/>
      <c r="U90" s="12" t="str">
        <f t="shared" si="9"/>
        <v>N</v>
      </c>
      <c r="V90" s="12" t="str">
        <f t="shared" si="10"/>
        <v>N</v>
      </c>
      <c r="W90" s="12" t="str">
        <f t="shared" si="11"/>
        <v>N</v>
      </c>
      <c r="X90" s="12" t="str">
        <f t="shared" si="12"/>
        <v>N</v>
      </c>
      <c r="Y90" s="12" t="str">
        <f t="shared" si="13"/>
        <v>N</v>
      </c>
      <c r="Z90" s="12" t="str">
        <f t="shared" si="14"/>
        <v>N</v>
      </c>
      <c r="AA90" s="12">
        <f t="shared" si="15"/>
        <v>1</v>
      </c>
      <c r="AB90" s="12" t="str">
        <f t="shared" si="16"/>
        <v>SINGLE-SIGNAL</v>
      </c>
      <c r="AC90" s="14" t="str">
        <f t="shared" si="17"/>
        <v>Settlement Authorization</v>
      </c>
    </row>
    <row r="91" spans="1:29" ht="28.5" x14ac:dyDescent="0.45">
      <c r="A91" s="2" t="s">
        <v>348</v>
      </c>
      <c r="B91" s="2" t="s">
        <v>349</v>
      </c>
      <c r="C91" s="2" t="s">
        <v>313</v>
      </c>
      <c r="D91" s="2" t="s">
        <v>155</v>
      </c>
      <c r="E91" s="11">
        <v>43868</v>
      </c>
      <c r="F91" s="12" t="s">
        <v>53</v>
      </c>
      <c r="G91" s="13"/>
      <c r="H91" s="12"/>
      <c r="I91" s="11"/>
      <c r="J91" s="12" t="s">
        <v>53</v>
      </c>
      <c r="K91" s="11"/>
      <c r="L91" s="12"/>
      <c r="M91" s="12" t="s">
        <v>51</v>
      </c>
      <c r="N91" s="11">
        <v>44837</v>
      </c>
      <c r="O91" s="12" t="s">
        <v>271</v>
      </c>
      <c r="P91" s="12" t="s">
        <v>51</v>
      </c>
      <c r="Q91" s="14" t="s">
        <v>350</v>
      </c>
      <c r="R91" s="14" t="s">
        <v>122</v>
      </c>
      <c r="S91" s="12" t="s">
        <v>53</v>
      </c>
      <c r="T91" s="11"/>
      <c r="U91" s="12" t="str">
        <f t="shared" si="9"/>
        <v>N</v>
      </c>
      <c r="V91" s="12" t="str">
        <f t="shared" si="10"/>
        <v>N</v>
      </c>
      <c r="W91" s="12" t="str">
        <f t="shared" si="11"/>
        <v>Y</v>
      </c>
      <c r="X91" s="12" t="str">
        <f t="shared" si="12"/>
        <v>Y</v>
      </c>
      <c r="Y91" s="12" t="str">
        <f t="shared" si="13"/>
        <v>N</v>
      </c>
      <c r="Z91" s="12" t="str">
        <f t="shared" si="14"/>
        <v>Y</v>
      </c>
      <c r="AA91" s="12">
        <f t="shared" si="15"/>
        <v>2</v>
      </c>
      <c r="AB91" s="12" t="str">
        <f t="shared" si="16"/>
        <v>MULTI-SIGNAL</v>
      </c>
      <c r="AC91" s="14" t="str">
        <f t="shared" si="17"/>
        <v>Pending QME | Automated Claim Alert</v>
      </c>
    </row>
    <row r="92" spans="1:29" x14ac:dyDescent="0.45">
      <c r="A92" s="2" t="s">
        <v>351</v>
      </c>
      <c r="B92" s="2" t="s">
        <v>352</v>
      </c>
      <c r="C92" s="2" t="s">
        <v>313</v>
      </c>
      <c r="D92" s="2" t="s">
        <v>353</v>
      </c>
      <c r="E92" s="11">
        <v>44672</v>
      </c>
      <c r="F92" s="12" t="s">
        <v>53</v>
      </c>
      <c r="G92" s="13"/>
      <c r="H92" s="12"/>
      <c r="I92" s="11"/>
      <c r="J92" s="12" t="s">
        <v>51</v>
      </c>
      <c r="K92" s="11">
        <v>46048</v>
      </c>
      <c r="L92" s="12" t="s">
        <v>53</v>
      </c>
      <c r="M92" s="12" t="s">
        <v>53</v>
      </c>
      <c r="N92" s="11"/>
      <c r="O92" s="12"/>
      <c r="P92" s="12" t="s">
        <v>53</v>
      </c>
      <c r="Q92" s="14"/>
      <c r="R92" s="14"/>
      <c r="S92" s="12" t="s">
        <v>53</v>
      </c>
      <c r="T92" s="11"/>
      <c r="U92" s="12" t="str">
        <f t="shared" si="9"/>
        <v>N</v>
      </c>
      <c r="V92" s="12" t="str">
        <f t="shared" si="10"/>
        <v>N</v>
      </c>
      <c r="W92" s="12" t="str">
        <f t="shared" si="11"/>
        <v>N</v>
      </c>
      <c r="X92" s="12" t="str">
        <f t="shared" si="12"/>
        <v>N</v>
      </c>
      <c r="Y92" s="12" t="str">
        <f t="shared" si="13"/>
        <v>N</v>
      </c>
      <c r="Z92" s="12" t="str">
        <f t="shared" si="14"/>
        <v>N</v>
      </c>
      <c r="AA92" s="12">
        <f t="shared" si="15"/>
        <v>1</v>
      </c>
      <c r="AB92" s="12" t="str">
        <f t="shared" si="16"/>
        <v>SINGLE-SIGNAL</v>
      </c>
      <c r="AC92" s="14" t="str">
        <f t="shared" si="17"/>
        <v>Open Stipulation</v>
      </c>
    </row>
    <row r="93" spans="1:29" x14ac:dyDescent="0.45">
      <c r="A93" s="2" t="s">
        <v>354</v>
      </c>
      <c r="B93" s="2" t="s">
        <v>355</v>
      </c>
      <c r="C93" s="2" t="s">
        <v>313</v>
      </c>
      <c r="D93" s="2" t="s">
        <v>356</v>
      </c>
      <c r="E93" s="11">
        <v>44015</v>
      </c>
      <c r="F93" s="12" t="s">
        <v>53</v>
      </c>
      <c r="G93" s="13"/>
      <c r="H93" s="12"/>
      <c r="I93" s="11"/>
      <c r="J93" s="12" t="s">
        <v>53</v>
      </c>
      <c r="K93" s="11"/>
      <c r="L93" s="12"/>
      <c r="M93" s="12" t="s">
        <v>51</v>
      </c>
      <c r="N93" s="11">
        <v>45475</v>
      </c>
      <c r="O93" s="12" t="s">
        <v>286</v>
      </c>
      <c r="P93" s="12" t="s">
        <v>51</v>
      </c>
      <c r="Q93" s="14" t="s">
        <v>183</v>
      </c>
      <c r="R93" s="14"/>
      <c r="S93" s="12" t="s">
        <v>53</v>
      </c>
      <c r="T93" s="11"/>
      <c r="U93" s="12" t="str">
        <f t="shared" si="9"/>
        <v>N</v>
      </c>
      <c r="V93" s="12" t="str">
        <f t="shared" si="10"/>
        <v>N</v>
      </c>
      <c r="W93" s="12" t="str">
        <f t="shared" si="11"/>
        <v>Y</v>
      </c>
      <c r="X93" s="12" t="str">
        <f t="shared" si="12"/>
        <v>N</v>
      </c>
      <c r="Y93" s="12" t="str">
        <f t="shared" si="13"/>
        <v>N</v>
      </c>
      <c r="Z93" s="12" t="str">
        <f t="shared" si="14"/>
        <v>N</v>
      </c>
      <c r="AA93" s="12">
        <f t="shared" si="15"/>
        <v>2</v>
      </c>
      <c r="AB93" s="12" t="str">
        <f t="shared" si="16"/>
        <v>MULTI-SIGNAL</v>
      </c>
      <c r="AC93" s="14" t="str">
        <f t="shared" si="17"/>
        <v>Pending QME | Automated Claim Alert</v>
      </c>
    </row>
    <row r="94" spans="1:29" x14ac:dyDescent="0.45">
      <c r="A94" s="2" t="s">
        <v>357</v>
      </c>
      <c r="B94" s="2" t="s">
        <v>358</v>
      </c>
      <c r="C94" s="2" t="s">
        <v>313</v>
      </c>
      <c r="D94" s="2" t="s">
        <v>274</v>
      </c>
      <c r="E94" s="11">
        <v>45161</v>
      </c>
      <c r="F94" s="12" t="s">
        <v>51</v>
      </c>
      <c r="G94" s="13">
        <v>161250</v>
      </c>
      <c r="H94" s="12" t="s">
        <v>71</v>
      </c>
      <c r="I94" s="11">
        <v>45977</v>
      </c>
      <c r="J94" s="12" t="s">
        <v>53</v>
      </c>
      <c r="K94" s="11"/>
      <c r="L94" s="12" t="s">
        <v>51</v>
      </c>
      <c r="M94" s="12" t="s">
        <v>53</v>
      </c>
      <c r="N94" s="11"/>
      <c r="O94" s="12"/>
      <c r="P94" s="12" t="s">
        <v>53</v>
      </c>
      <c r="Q94" s="14"/>
      <c r="R94" s="14"/>
      <c r="S94" s="12" t="s">
        <v>53</v>
      </c>
      <c r="T94" s="11"/>
      <c r="U94" s="12" t="str">
        <f t="shared" si="9"/>
        <v>N</v>
      </c>
      <c r="V94" s="12" t="str">
        <f t="shared" si="10"/>
        <v>N</v>
      </c>
      <c r="W94" s="12" t="str">
        <f t="shared" si="11"/>
        <v>N</v>
      </c>
      <c r="X94" s="12" t="str">
        <f t="shared" si="12"/>
        <v>N</v>
      </c>
      <c r="Y94" s="12" t="str">
        <f t="shared" si="13"/>
        <v>N</v>
      </c>
      <c r="Z94" s="12" t="str">
        <f t="shared" si="14"/>
        <v>N</v>
      </c>
      <c r="AA94" s="12">
        <f t="shared" si="15"/>
        <v>1</v>
      </c>
      <c r="AB94" s="12" t="str">
        <f t="shared" si="16"/>
        <v>SINGLE-SIGNAL</v>
      </c>
      <c r="AC94" s="14" t="str">
        <f t="shared" si="17"/>
        <v>Settlement Authorization</v>
      </c>
    </row>
    <row r="95" spans="1:29" ht="28.5" x14ac:dyDescent="0.45">
      <c r="A95" s="2" t="s">
        <v>359</v>
      </c>
      <c r="B95" s="2" t="s">
        <v>360</v>
      </c>
      <c r="C95" s="2" t="s">
        <v>313</v>
      </c>
      <c r="D95" s="2" t="s">
        <v>361</v>
      </c>
      <c r="E95" s="11">
        <v>43736</v>
      </c>
      <c r="F95" s="12" t="s">
        <v>51</v>
      </c>
      <c r="G95" s="13">
        <v>134500</v>
      </c>
      <c r="H95" s="12" t="s">
        <v>277</v>
      </c>
      <c r="I95" s="11">
        <v>44033</v>
      </c>
      <c r="J95" s="12" t="s">
        <v>51</v>
      </c>
      <c r="K95" s="11">
        <v>43782</v>
      </c>
      <c r="L95" s="12" t="s">
        <v>53</v>
      </c>
      <c r="M95" s="12" t="s">
        <v>53</v>
      </c>
      <c r="N95" s="11"/>
      <c r="O95" s="12"/>
      <c r="P95" s="12" t="s">
        <v>53</v>
      </c>
      <c r="Q95" s="14"/>
      <c r="R95" s="14"/>
      <c r="S95" s="12" t="s">
        <v>51</v>
      </c>
      <c r="T95" s="11">
        <v>45617</v>
      </c>
      <c r="U95" s="12" t="str">
        <f t="shared" si="9"/>
        <v>N</v>
      </c>
      <c r="V95" s="12" t="str">
        <f t="shared" si="10"/>
        <v>N</v>
      </c>
      <c r="W95" s="12" t="str">
        <f t="shared" si="11"/>
        <v>N</v>
      </c>
      <c r="X95" s="12" t="str">
        <f t="shared" si="12"/>
        <v>N</v>
      </c>
      <c r="Y95" s="12" t="str">
        <f t="shared" si="13"/>
        <v>N</v>
      </c>
      <c r="Z95" s="12" t="str">
        <f t="shared" si="14"/>
        <v>N</v>
      </c>
      <c r="AA95" s="12">
        <f t="shared" si="15"/>
        <v>3</v>
      </c>
      <c r="AB95" s="12" t="str">
        <f t="shared" si="16"/>
        <v>ELEVATED MULTI-SIGNAL</v>
      </c>
      <c r="AC95" s="14" t="str">
        <f t="shared" si="17"/>
        <v>Settlement Authorization | Open Stipulation | Inactive Customer</v>
      </c>
    </row>
    <row r="96" spans="1:29" x14ac:dyDescent="0.45">
      <c r="A96" s="2" t="s">
        <v>362</v>
      </c>
      <c r="B96" s="2" t="s">
        <v>363</v>
      </c>
      <c r="C96" s="2" t="s">
        <v>313</v>
      </c>
      <c r="D96" s="2" t="s">
        <v>58</v>
      </c>
      <c r="E96" s="11">
        <v>43145</v>
      </c>
      <c r="F96" s="12" t="s">
        <v>51</v>
      </c>
      <c r="G96" s="13">
        <v>171500</v>
      </c>
      <c r="H96" s="12" t="s">
        <v>109</v>
      </c>
      <c r="I96" s="11">
        <v>43921</v>
      </c>
      <c r="J96" s="12" t="s">
        <v>53</v>
      </c>
      <c r="K96" s="11"/>
      <c r="L96" s="12" t="s">
        <v>53</v>
      </c>
      <c r="M96" s="12" t="s">
        <v>51</v>
      </c>
      <c r="N96" s="11">
        <v>44416</v>
      </c>
      <c r="O96" s="12" t="s">
        <v>364</v>
      </c>
      <c r="P96" s="12" t="s">
        <v>53</v>
      </c>
      <c r="Q96" s="14"/>
      <c r="R96" s="14"/>
      <c r="S96" s="12" t="s">
        <v>53</v>
      </c>
      <c r="T96" s="11"/>
      <c r="U96" s="12" t="str">
        <f t="shared" si="9"/>
        <v>N</v>
      </c>
      <c r="V96" s="12" t="str">
        <f t="shared" si="10"/>
        <v>N</v>
      </c>
      <c r="W96" s="12" t="str">
        <f t="shared" si="11"/>
        <v>N</v>
      </c>
      <c r="X96" s="12" t="str">
        <f t="shared" si="12"/>
        <v>N</v>
      </c>
      <c r="Y96" s="12" t="str">
        <f t="shared" si="13"/>
        <v>N</v>
      </c>
      <c r="Z96" s="12" t="str">
        <f t="shared" si="14"/>
        <v>N</v>
      </c>
      <c r="AA96" s="12">
        <f t="shared" si="15"/>
        <v>2</v>
      </c>
      <c r="AB96" s="12" t="str">
        <f t="shared" si="16"/>
        <v>MULTI-SIGNAL</v>
      </c>
      <c r="AC96" s="14" t="str">
        <f t="shared" si="17"/>
        <v>Settlement Authorization | Pending QME</v>
      </c>
    </row>
    <row r="97" spans="1:29" x14ac:dyDescent="0.45">
      <c r="A97" s="2" t="s">
        <v>365</v>
      </c>
      <c r="B97" s="2" t="s">
        <v>366</v>
      </c>
      <c r="C97" s="2" t="s">
        <v>367</v>
      </c>
      <c r="D97" s="2" t="s">
        <v>368</v>
      </c>
      <c r="E97" s="11">
        <v>44190</v>
      </c>
      <c r="F97" s="12" t="s">
        <v>53</v>
      </c>
      <c r="G97" s="13"/>
      <c r="H97" s="12"/>
      <c r="I97" s="11"/>
      <c r="J97" s="12" t="s">
        <v>53</v>
      </c>
      <c r="K97" s="11"/>
      <c r="L97" s="12"/>
      <c r="M97" s="12" t="s">
        <v>53</v>
      </c>
      <c r="N97" s="11"/>
      <c r="O97" s="12"/>
      <c r="P97" s="12" t="s">
        <v>53</v>
      </c>
      <c r="Q97" s="14"/>
      <c r="R97" s="14"/>
      <c r="S97" s="12" t="s">
        <v>51</v>
      </c>
      <c r="T97" s="11">
        <v>45304</v>
      </c>
      <c r="U97" s="12" t="str">
        <f t="shared" si="9"/>
        <v>N</v>
      </c>
      <c r="V97" s="12" t="str">
        <f t="shared" si="10"/>
        <v>N</v>
      </c>
      <c r="W97" s="12" t="str">
        <f t="shared" si="11"/>
        <v>N</v>
      </c>
      <c r="X97" s="12" t="str">
        <f t="shared" si="12"/>
        <v>N</v>
      </c>
      <c r="Y97" s="12" t="str">
        <f t="shared" si="13"/>
        <v>N</v>
      </c>
      <c r="Z97" s="12" t="str">
        <f t="shared" si="14"/>
        <v>N</v>
      </c>
      <c r="AA97" s="12">
        <f t="shared" si="15"/>
        <v>1</v>
      </c>
      <c r="AB97" s="12" t="str">
        <f t="shared" si="16"/>
        <v>SINGLE-SIGNAL</v>
      </c>
      <c r="AC97" s="14" t="str">
        <f t="shared" si="17"/>
        <v>Inactive Customer</v>
      </c>
    </row>
    <row r="98" spans="1:29" x14ac:dyDescent="0.45">
      <c r="A98" s="2" t="s">
        <v>369</v>
      </c>
      <c r="B98" s="2" t="s">
        <v>370</v>
      </c>
      <c r="C98" s="2" t="s">
        <v>367</v>
      </c>
      <c r="D98" s="2" t="s">
        <v>371</v>
      </c>
      <c r="E98" s="11">
        <v>44929</v>
      </c>
      <c r="F98" s="12" t="s">
        <v>51</v>
      </c>
      <c r="G98" s="13">
        <v>4750</v>
      </c>
      <c r="H98" s="12" t="s">
        <v>78</v>
      </c>
      <c r="I98" s="11">
        <v>45311</v>
      </c>
      <c r="J98" s="12" t="s">
        <v>53</v>
      </c>
      <c r="K98" s="11"/>
      <c r="L98" s="12" t="s">
        <v>53</v>
      </c>
      <c r="M98" s="12" t="s">
        <v>53</v>
      </c>
      <c r="N98" s="11"/>
      <c r="O98" s="12"/>
      <c r="P98" s="12" t="s">
        <v>53</v>
      </c>
      <c r="Q98" s="14"/>
      <c r="R98" s="14"/>
      <c r="S98" s="12" t="s">
        <v>53</v>
      </c>
      <c r="T98" s="11"/>
      <c r="U98" s="12" t="str">
        <f t="shared" si="9"/>
        <v>N</v>
      </c>
      <c r="V98" s="12" t="str">
        <f t="shared" si="10"/>
        <v>N</v>
      </c>
      <c r="W98" s="12" t="str">
        <f t="shared" si="11"/>
        <v>N</v>
      </c>
      <c r="X98" s="12" t="str">
        <f t="shared" si="12"/>
        <v>N</v>
      </c>
      <c r="Y98" s="12" t="str">
        <f t="shared" si="13"/>
        <v>N</v>
      </c>
      <c r="Z98" s="12" t="str">
        <f t="shared" si="14"/>
        <v>N</v>
      </c>
      <c r="AA98" s="12">
        <f t="shared" si="15"/>
        <v>1</v>
      </c>
      <c r="AB98" s="12" t="str">
        <f t="shared" si="16"/>
        <v>SINGLE-SIGNAL</v>
      </c>
      <c r="AC98" s="14" t="str">
        <f t="shared" si="17"/>
        <v>Settlement Authorization</v>
      </c>
    </row>
    <row r="99" spans="1:29" ht="28.5" x14ac:dyDescent="0.45">
      <c r="A99" s="2" t="s">
        <v>372</v>
      </c>
      <c r="B99" s="2" t="s">
        <v>373</v>
      </c>
      <c r="C99" s="2" t="s">
        <v>367</v>
      </c>
      <c r="D99" s="2" t="s">
        <v>334</v>
      </c>
      <c r="E99" s="11">
        <v>43986</v>
      </c>
      <c r="F99" s="12" t="s">
        <v>51</v>
      </c>
      <c r="G99" s="13">
        <v>42500</v>
      </c>
      <c r="H99" s="12" t="s">
        <v>66</v>
      </c>
      <c r="I99" s="11">
        <v>45570</v>
      </c>
      <c r="J99" s="12" t="s">
        <v>53</v>
      </c>
      <c r="K99" s="11"/>
      <c r="L99" s="12" t="s">
        <v>53</v>
      </c>
      <c r="M99" s="12" t="s">
        <v>53</v>
      </c>
      <c r="N99" s="11"/>
      <c r="O99" s="12"/>
      <c r="P99" s="12" t="s">
        <v>51</v>
      </c>
      <c r="Q99" s="14" t="s">
        <v>374</v>
      </c>
      <c r="R99" s="14"/>
      <c r="S99" s="12" t="s">
        <v>53</v>
      </c>
      <c r="T99" s="11"/>
      <c r="U99" s="12" t="str">
        <f t="shared" si="9"/>
        <v>N</v>
      </c>
      <c r="V99" s="12" t="str">
        <f t="shared" si="10"/>
        <v>N</v>
      </c>
      <c r="W99" s="12" t="str">
        <f t="shared" si="11"/>
        <v>N</v>
      </c>
      <c r="X99" s="12" t="str">
        <f t="shared" si="12"/>
        <v>Y</v>
      </c>
      <c r="Y99" s="12" t="str">
        <f t="shared" si="13"/>
        <v>N</v>
      </c>
      <c r="Z99" s="12" t="str">
        <f t="shared" si="14"/>
        <v>Y</v>
      </c>
      <c r="AA99" s="12">
        <f t="shared" si="15"/>
        <v>2</v>
      </c>
      <c r="AB99" s="12" t="str">
        <f t="shared" si="16"/>
        <v>MULTI-SIGNAL</v>
      </c>
      <c r="AC99" s="14" t="str">
        <f t="shared" si="17"/>
        <v>Settlement Authorization | Automated Claim Alert</v>
      </c>
    </row>
    <row r="100" spans="1:29" ht="28.5" x14ac:dyDescent="0.45">
      <c r="A100" s="2" t="s">
        <v>375</v>
      </c>
      <c r="B100" s="2" t="s">
        <v>376</v>
      </c>
      <c r="C100" s="2" t="s">
        <v>367</v>
      </c>
      <c r="D100" s="2" t="s">
        <v>283</v>
      </c>
      <c r="E100" s="11">
        <v>45992</v>
      </c>
      <c r="F100" s="12" t="s">
        <v>53</v>
      </c>
      <c r="G100" s="13"/>
      <c r="H100" s="12"/>
      <c r="I100" s="11"/>
      <c r="J100" s="12" t="s">
        <v>53</v>
      </c>
      <c r="K100" s="11"/>
      <c r="L100" s="12"/>
      <c r="M100" s="12" t="s">
        <v>53</v>
      </c>
      <c r="N100" s="11"/>
      <c r="O100" s="12"/>
      <c r="P100" s="12" t="s">
        <v>51</v>
      </c>
      <c r="Q100" s="14" t="s">
        <v>223</v>
      </c>
      <c r="R100" s="14" t="s">
        <v>183</v>
      </c>
      <c r="S100" s="12" t="s">
        <v>53</v>
      </c>
      <c r="T100" s="11"/>
      <c r="U100" s="12" t="str">
        <f t="shared" si="9"/>
        <v>Y</v>
      </c>
      <c r="V100" s="12" t="str">
        <f t="shared" si="10"/>
        <v>N</v>
      </c>
      <c r="W100" s="12" t="str">
        <f t="shared" si="11"/>
        <v>Y</v>
      </c>
      <c r="X100" s="12" t="str">
        <f t="shared" si="12"/>
        <v>Y</v>
      </c>
      <c r="Y100" s="12" t="str">
        <f t="shared" si="13"/>
        <v>N</v>
      </c>
      <c r="Z100" s="12" t="str">
        <f t="shared" si="14"/>
        <v>N</v>
      </c>
      <c r="AA100" s="12">
        <f t="shared" si="15"/>
        <v>1</v>
      </c>
      <c r="AB100" s="12" t="str">
        <f t="shared" si="16"/>
        <v>SINGLE-SIGNAL</v>
      </c>
      <c r="AC100" s="14" t="str">
        <f t="shared" si="17"/>
        <v>Automated Claim Alert</v>
      </c>
    </row>
    <row r="101" spans="1:29" x14ac:dyDescent="0.45">
      <c r="A101" s="2" t="s">
        <v>377</v>
      </c>
      <c r="B101" s="2" t="s">
        <v>378</v>
      </c>
      <c r="C101" s="2" t="s">
        <v>367</v>
      </c>
      <c r="D101" s="2" t="s">
        <v>379</v>
      </c>
      <c r="E101" s="11">
        <v>43591</v>
      </c>
      <c r="F101" s="12" t="s">
        <v>53</v>
      </c>
      <c r="G101" s="13"/>
      <c r="H101" s="12"/>
      <c r="I101" s="11"/>
      <c r="J101" s="12" t="s">
        <v>53</v>
      </c>
      <c r="K101" s="11"/>
      <c r="L101" s="12"/>
      <c r="M101" s="12" t="s">
        <v>53</v>
      </c>
      <c r="N101" s="11"/>
      <c r="O101" s="12"/>
      <c r="P101" s="12" t="s">
        <v>53</v>
      </c>
      <c r="Q101" s="14"/>
      <c r="R101" s="14"/>
      <c r="S101" s="12" t="s">
        <v>51</v>
      </c>
      <c r="T101" s="11">
        <v>45711</v>
      </c>
      <c r="U101" s="12" t="str">
        <f t="shared" si="9"/>
        <v>N</v>
      </c>
      <c r="V101" s="12" t="str">
        <f t="shared" si="10"/>
        <v>N</v>
      </c>
      <c r="W101" s="12" t="str">
        <f t="shared" si="11"/>
        <v>N</v>
      </c>
      <c r="X101" s="12" t="str">
        <f t="shared" si="12"/>
        <v>N</v>
      </c>
      <c r="Y101" s="12" t="str">
        <f t="shared" si="13"/>
        <v>N</v>
      </c>
      <c r="Z101" s="12" t="str">
        <f t="shared" si="14"/>
        <v>N</v>
      </c>
      <c r="AA101" s="12">
        <f t="shared" si="15"/>
        <v>1</v>
      </c>
      <c r="AB101" s="12" t="str">
        <f t="shared" si="16"/>
        <v>SINGLE-SIGNAL</v>
      </c>
      <c r="AC101" s="14" t="str">
        <f t="shared" si="17"/>
        <v>Inactive Customer</v>
      </c>
    </row>
    <row r="102" spans="1:29" x14ac:dyDescent="0.45">
      <c r="A102" s="2" t="s">
        <v>380</v>
      </c>
      <c r="B102" s="2" t="s">
        <v>381</v>
      </c>
      <c r="C102" s="2" t="s">
        <v>367</v>
      </c>
      <c r="D102" s="2" t="s">
        <v>176</v>
      </c>
      <c r="E102" s="11">
        <v>43953</v>
      </c>
      <c r="F102" s="12" t="s">
        <v>51</v>
      </c>
      <c r="G102" s="13">
        <v>13250</v>
      </c>
      <c r="H102" s="12" t="s">
        <v>71</v>
      </c>
      <c r="I102" s="11">
        <v>44375</v>
      </c>
      <c r="J102" s="12" t="s">
        <v>53</v>
      </c>
      <c r="K102" s="11"/>
      <c r="L102" s="12" t="s">
        <v>53</v>
      </c>
      <c r="M102" s="12" t="s">
        <v>51</v>
      </c>
      <c r="N102" s="11">
        <v>44253</v>
      </c>
      <c r="O102" s="12" t="s">
        <v>129</v>
      </c>
      <c r="P102" s="12" t="s">
        <v>53</v>
      </c>
      <c r="Q102" s="14"/>
      <c r="R102" s="14"/>
      <c r="S102" s="12" t="s">
        <v>53</v>
      </c>
      <c r="T102" s="11"/>
      <c r="U102" s="12" t="str">
        <f t="shared" si="9"/>
        <v>N</v>
      </c>
      <c r="V102" s="12" t="str">
        <f t="shared" si="10"/>
        <v>N</v>
      </c>
      <c r="W102" s="12" t="str">
        <f t="shared" si="11"/>
        <v>N</v>
      </c>
      <c r="X102" s="12" t="str">
        <f t="shared" si="12"/>
        <v>N</v>
      </c>
      <c r="Y102" s="12" t="str">
        <f t="shared" si="13"/>
        <v>N</v>
      </c>
      <c r="Z102" s="12" t="str">
        <f t="shared" si="14"/>
        <v>N</v>
      </c>
      <c r="AA102" s="12">
        <f t="shared" si="15"/>
        <v>2</v>
      </c>
      <c r="AB102" s="12" t="str">
        <f t="shared" si="16"/>
        <v>MULTI-SIGNAL</v>
      </c>
      <c r="AC102" s="14" t="str">
        <f t="shared" si="17"/>
        <v>Settlement Authorization | Pending QME</v>
      </c>
    </row>
    <row r="103" spans="1:29" x14ac:dyDescent="0.45">
      <c r="A103" s="2" t="s">
        <v>382</v>
      </c>
      <c r="B103" s="2" t="s">
        <v>383</v>
      </c>
      <c r="C103" s="2" t="s">
        <v>367</v>
      </c>
      <c r="D103" s="2" t="s">
        <v>384</v>
      </c>
      <c r="E103" s="11">
        <v>43770</v>
      </c>
      <c r="F103" s="12" t="s">
        <v>53</v>
      </c>
      <c r="G103" s="13"/>
      <c r="H103" s="12"/>
      <c r="I103" s="11"/>
      <c r="J103" s="12" t="s">
        <v>53</v>
      </c>
      <c r="K103" s="11"/>
      <c r="L103" s="12"/>
      <c r="M103" s="12" t="s">
        <v>53</v>
      </c>
      <c r="N103" s="11"/>
      <c r="O103" s="12"/>
      <c r="P103" s="12" t="s">
        <v>53</v>
      </c>
      <c r="Q103" s="14"/>
      <c r="R103" s="14"/>
      <c r="S103" s="12" t="s">
        <v>51</v>
      </c>
      <c r="T103" s="11">
        <v>45239</v>
      </c>
      <c r="U103" s="12" t="str">
        <f t="shared" si="9"/>
        <v>N</v>
      </c>
      <c r="V103" s="12" t="str">
        <f t="shared" si="10"/>
        <v>N</v>
      </c>
      <c r="W103" s="12" t="str">
        <f t="shared" si="11"/>
        <v>N</v>
      </c>
      <c r="X103" s="12" t="str">
        <f t="shared" si="12"/>
        <v>N</v>
      </c>
      <c r="Y103" s="12" t="str">
        <f t="shared" si="13"/>
        <v>N</v>
      </c>
      <c r="Z103" s="12" t="str">
        <f t="shared" si="14"/>
        <v>N</v>
      </c>
      <c r="AA103" s="12">
        <f t="shared" si="15"/>
        <v>1</v>
      </c>
      <c r="AB103" s="12" t="str">
        <f t="shared" si="16"/>
        <v>SINGLE-SIGNAL</v>
      </c>
      <c r="AC103" s="14" t="str">
        <f t="shared" si="17"/>
        <v>Inactive Customer</v>
      </c>
    </row>
    <row r="104" spans="1:29" x14ac:dyDescent="0.45">
      <c r="A104" s="2" t="s">
        <v>385</v>
      </c>
      <c r="B104" s="2" t="s">
        <v>386</v>
      </c>
      <c r="C104" s="2" t="s">
        <v>367</v>
      </c>
      <c r="D104" s="2" t="s">
        <v>387</v>
      </c>
      <c r="E104" s="11">
        <v>45681</v>
      </c>
      <c r="F104" s="12" t="s">
        <v>53</v>
      </c>
      <c r="G104" s="13"/>
      <c r="H104" s="12"/>
      <c r="I104" s="11"/>
      <c r="J104" s="12" t="s">
        <v>53</v>
      </c>
      <c r="K104" s="11"/>
      <c r="L104" s="12"/>
      <c r="M104" s="12" t="s">
        <v>51</v>
      </c>
      <c r="N104" s="11">
        <v>47447</v>
      </c>
      <c r="O104" s="12" t="s">
        <v>388</v>
      </c>
      <c r="P104" s="12" t="s">
        <v>53</v>
      </c>
      <c r="Q104" s="14"/>
      <c r="R104" s="14"/>
      <c r="S104" s="12" t="s">
        <v>53</v>
      </c>
      <c r="T104" s="11"/>
      <c r="U104" s="12" t="str">
        <f t="shared" si="9"/>
        <v>N</v>
      </c>
      <c r="V104" s="12" t="str">
        <f t="shared" si="10"/>
        <v>N</v>
      </c>
      <c r="W104" s="12" t="str">
        <f t="shared" si="11"/>
        <v>N</v>
      </c>
      <c r="X104" s="12" t="str">
        <f t="shared" si="12"/>
        <v>N</v>
      </c>
      <c r="Y104" s="12" t="str">
        <f t="shared" si="13"/>
        <v>N</v>
      </c>
      <c r="Z104" s="12" t="str">
        <f t="shared" si="14"/>
        <v>N</v>
      </c>
      <c r="AA104" s="12">
        <f t="shared" si="15"/>
        <v>1</v>
      </c>
      <c r="AB104" s="12" t="str">
        <f t="shared" si="16"/>
        <v>SINGLE-SIGNAL</v>
      </c>
      <c r="AC104" s="14" t="str">
        <f t="shared" si="17"/>
        <v>Pending QME</v>
      </c>
    </row>
    <row r="105" spans="1:29" ht="28.5" x14ac:dyDescent="0.45">
      <c r="A105" s="2" t="s">
        <v>389</v>
      </c>
      <c r="B105" s="2" t="s">
        <v>390</v>
      </c>
      <c r="C105" s="2" t="s">
        <v>367</v>
      </c>
      <c r="D105" s="2" t="s">
        <v>384</v>
      </c>
      <c r="E105" s="11">
        <v>45702</v>
      </c>
      <c r="F105" s="12" t="s">
        <v>53</v>
      </c>
      <c r="G105" s="13"/>
      <c r="H105" s="12"/>
      <c r="I105" s="11"/>
      <c r="J105" s="12" t="s">
        <v>53</v>
      </c>
      <c r="K105" s="11"/>
      <c r="L105" s="12"/>
      <c r="M105" s="12" t="s">
        <v>53</v>
      </c>
      <c r="N105" s="11"/>
      <c r="O105" s="12"/>
      <c r="P105" s="12" t="s">
        <v>51</v>
      </c>
      <c r="Q105" s="14" t="s">
        <v>391</v>
      </c>
      <c r="R105" s="14" t="s">
        <v>149</v>
      </c>
      <c r="S105" s="12" t="s">
        <v>53</v>
      </c>
      <c r="T105" s="11"/>
      <c r="U105" s="12" t="str">
        <f t="shared" si="9"/>
        <v>N</v>
      </c>
      <c r="V105" s="12" t="str">
        <f t="shared" si="10"/>
        <v>N</v>
      </c>
      <c r="W105" s="12" t="str">
        <f t="shared" si="11"/>
        <v>Y</v>
      </c>
      <c r="X105" s="12" t="str">
        <f t="shared" si="12"/>
        <v>N</v>
      </c>
      <c r="Y105" s="12" t="str">
        <f t="shared" si="13"/>
        <v>Y</v>
      </c>
      <c r="Z105" s="12" t="str">
        <f t="shared" si="14"/>
        <v>Y</v>
      </c>
      <c r="AA105" s="12">
        <f t="shared" si="15"/>
        <v>1</v>
      </c>
      <c r="AB105" s="12" t="str">
        <f t="shared" si="16"/>
        <v>SINGLE-SIGNAL</v>
      </c>
      <c r="AC105" s="14" t="str">
        <f t="shared" si="17"/>
        <v>Automated Claim Alert</v>
      </c>
    </row>
    <row r="106" spans="1:29" x14ac:dyDescent="0.45">
      <c r="A106" s="2" t="s">
        <v>392</v>
      </c>
      <c r="B106" s="2" t="s">
        <v>393</v>
      </c>
      <c r="C106" s="2" t="s">
        <v>367</v>
      </c>
      <c r="D106" s="2" t="s">
        <v>394</v>
      </c>
      <c r="E106" s="11">
        <v>45572</v>
      </c>
      <c r="F106" s="12" t="s">
        <v>53</v>
      </c>
      <c r="G106" s="13"/>
      <c r="H106" s="12"/>
      <c r="I106" s="11"/>
      <c r="J106" s="12" t="s">
        <v>53</v>
      </c>
      <c r="K106" s="11"/>
      <c r="L106" s="12"/>
      <c r="M106" s="12" t="s">
        <v>51</v>
      </c>
      <c r="N106" s="11">
        <v>46590</v>
      </c>
      <c r="O106" s="12" t="s">
        <v>129</v>
      </c>
      <c r="P106" s="12" t="s">
        <v>53</v>
      </c>
      <c r="Q106" s="14"/>
      <c r="R106" s="14"/>
      <c r="S106" s="12" t="s">
        <v>53</v>
      </c>
      <c r="T106" s="11"/>
      <c r="U106" s="12" t="str">
        <f t="shared" si="9"/>
        <v>N</v>
      </c>
      <c r="V106" s="12" t="str">
        <f t="shared" si="10"/>
        <v>N</v>
      </c>
      <c r="W106" s="12" t="str">
        <f t="shared" si="11"/>
        <v>N</v>
      </c>
      <c r="X106" s="12" t="str">
        <f t="shared" si="12"/>
        <v>N</v>
      </c>
      <c r="Y106" s="12" t="str">
        <f t="shared" si="13"/>
        <v>N</v>
      </c>
      <c r="Z106" s="12" t="str">
        <f t="shared" si="14"/>
        <v>N</v>
      </c>
      <c r="AA106" s="12">
        <f t="shared" si="15"/>
        <v>1</v>
      </c>
      <c r="AB106" s="12" t="str">
        <f t="shared" si="16"/>
        <v>SINGLE-SIGNAL</v>
      </c>
      <c r="AC106" s="14" t="str">
        <f t="shared" si="17"/>
        <v>Pending QME</v>
      </c>
    </row>
    <row r="107" spans="1:29" ht="42.75" x14ac:dyDescent="0.45">
      <c r="A107" s="2" t="s">
        <v>395</v>
      </c>
      <c r="B107" s="2" t="s">
        <v>396</v>
      </c>
      <c r="C107" s="2" t="s">
        <v>367</v>
      </c>
      <c r="D107" s="2" t="s">
        <v>397</v>
      </c>
      <c r="E107" s="11">
        <v>43390</v>
      </c>
      <c r="F107" s="12" t="s">
        <v>53</v>
      </c>
      <c r="G107" s="13"/>
      <c r="H107" s="12"/>
      <c r="I107" s="11"/>
      <c r="J107" s="12" t="s">
        <v>53</v>
      </c>
      <c r="K107" s="11"/>
      <c r="L107" s="12"/>
      <c r="M107" s="12" t="s">
        <v>53</v>
      </c>
      <c r="N107" s="11"/>
      <c r="O107" s="12"/>
      <c r="P107" s="12" t="s">
        <v>51</v>
      </c>
      <c r="Q107" s="14" t="s">
        <v>398</v>
      </c>
      <c r="R107" s="14" t="s">
        <v>222</v>
      </c>
      <c r="S107" s="12" t="s">
        <v>53</v>
      </c>
      <c r="T107" s="11"/>
      <c r="U107" s="12" t="str">
        <f t="shared" si="9"/>
        <v>Y</v>
      </c>
      <c r="V107" s="12" t="str">
        <f t="shared" si="10"/>
        <v>N</v>
      </c>
      <c r="W107" s="12" t="str">
        <f t="shared" si="11"/>
        <v>N</v>
      </c>
      <c r="X107" s="12" t="str">
        <f t="shared" si="12"/>
        <v>Y</v>
      </c>
      <c r="Y107" s="12" t="str">
        <f t="shared" si="13"/>
        <v>Y</v>
      </c>
      <c r="Z107" s="12" t="str">
        <f t="shared" si="14"/>
        <v>Y</v>
      </c>
      <c r="AA107" s="12">
        <f t="shared" si="15"/>
        <v>1</v>
      </c>
      <c r="AB107" s="12" t="str">
        <f t="shared" si="16"/>
        <v>SINGLE-SIGNAL</v>
      </c>
      <c r="AC107" s="14" t="str">
        <f t="shared" si="17"/>
        <v>Automated Claim Alert</v>
      </c>
    </row>
    <row r="108" spans="1:29" ht="28.5" x14ac:dyDescent="0.45">
      <c r="A108" s="2" t="s">
        <v>399</v>
      </c>
      <c r="B108" s="2" t="s">
        <v>400</v>
      </c>
      <c r="C108" s="2" t="s">
        <v>367</v>
      </c>
      <c r="D108" s="2" t="s">
        <v>401</v>
      </c>
      <c r="E108" s="11">
        <v>43453</v>
      </c>
      <c r="F108" s="12" t="s">
        <v>51</v>
      </c>
      <c r="G108" s="13">
        <v>151750</v>
      </c>
      <c r="H108" s="12" t="s">
        <v>71</v>
      </c>
      <c r="I108" s="11">
        <v>45156</v>
      </c>
      <c r="J108" s="12" t="s">
        <v>53</v>
      </c>
      <c r="K108" s="11"/>
      <c r="L108" s="12" t="s">
        <v>51</v>
      </c>
      <c r="M108" s="12" t="s">
        <v>53</v>
      </c>
      <c r="N108" s="11"/>
      <c r="O108" s="12"/>
      <c r="P108" s="12" t="s">
        <v>51</v>
      </c>
      <c r="Q108" s="14" t="s">
        <v>149</v>
      </c>
      <c r="R108" s="14" t="s">
        <v>402</v>
      </c>
      <c r="S108" s="12" t="s">
        <v>53</v>
      </c>
      <c r="T108" s="11"/>
      <c r="U108" s="12" t="str">
        <f t="shared" si="9"/>
        <v>N</v>
      </c>
      <c r="V108" s="12" t="str">
        <f t="shared" si="10"/>
        <v>Y</v>
      </c>
      <c r="W108" s="12" t="str">
        <f t="shared" si="11"/>
        <v>N</v>
      </c>
      <c r="X108" s="12" t="str">
        <f t="shared" si="12"/>
        <v>Y</v>
      </c>
      <c r="Y108" s="12" t="str">
        <f t="shared" si="13"/>
        <v>N</v>
      </c>
      <c r="Z108" s="12" t="str">
        <f t="shared" si="14"/>
        <v>Y</v>
      </c>
      <c r="AA108" s="12">
        <f t="shared" si="15"/>
        <v>2</v>
      </c>
      <c r="AB108" s="12" t="str">
        <f t="shared" si="16"/>
        <v>MULTI-SIGNAL</v>
      </c>
      <c r="AC108" s="14" t="str">
        <f t="shared" si="17"/>
        <v>Settlement Authorization | Automated Claim Alert</v>
      </c>
    </row>
    <row r="109" spans="1:29" x14ac:dyDescent="0.45">
      <c r="A109" s="2" t="s">
        <v>403</v>
      </c>
      <c r="B109" s="2" t="s">
        <v>404</v>
      </c>
      <c r="C109" s="2" t="s">
        <v>49</v>
      </c>
      <c r="D109" s="2" t="s">
        <v>405</v>
      </c>
      <c r="E109" s="11">
        <v>44219</v>
      </c>
      <c r="F109" s="12" t="s">
        <v>51</v>
      </c>
      <c r="G109" s="13">
        <v>22750</v>
      </c>
      <c r="H109" s="12" t="s">
        <v>85</v>
      </c>
      <c r="I109" s="11">
        <v>45036</v>
      </c>
      <c r="J109" s="12" t="s">
        <v>53</v>
      </c>
      <c r="K109" s="11"/>
      <c r="L109" s="12" t="s">
        <v>53</v>
      </c>
      <c r="M109" s="12" t="s">
        <v>53</v>
      </c>
      <c r="N109" s="11"/>
      <c r="O109" s="12"/>
      <c r="P109" s="12" t="s">
        <v>53</v>
      </c>
      <c r="Q109" s="14"/>
      <c r="R109" s="14"/>
      <c r="S109" s="12" t="s">
        <v>53</v>
      </c>
      <c r="T109" s="11"/>
      <c r="U109" s="12" t="str">
        <f t="shared" si="9"/>
        <v>N</v>
      </c>
      <c r="V109" s="12" t="str">
        <f t="shared" si="10"/>
        <v>N</v>
      </c>
      <c r="W109" s="12" t="str">
        <f t="shared" si="11"/>
        <v>N</v>
      </c>
      <c r="X109" s="12" t="str">
        <f t="shared" si="12"/>
        <v>N</v>
      </c>
      <c r="Y109" s="12" t="str">
        <f t="shared" si="13"/>
        <v>N</v>
      </c>
      <c r="Z109" s="12" t="str">
        <f t="shared" si="14"/>
        <v>N</v>
      </c>
      <c r="AA109" s="12">
        <f t="shared" si="15"/>
        <v>1</v>
      </c>
      <c r="AB109" s="12" t="str">
        <f t="shared" si="16"/>
        <v>SINGLE-SIGNAL</v>
      </c>
      <c r="AC109" s="14" t="str">
        <f t="shared" si="17"/>
        <v>Settlement Authorization</v>
      </c>
    </row>
    <row r="110" spans="1:29" x14ac:dyDescent="0.45">
      <c r="A110" s="2" t="s">
        <v>406</v>
      </c>
      <c r="B110" s="2" t="s">
        <v>407</v>
      </c>
      <c r="C110" s="2" t="s">
        <v>49</v>
      </c>
      <c r="D110" s="2" t="s">
        <v>96</v>
      </c>
      <c r="E110" s="11">
        <v>45779</v>
      </c>
      <c r="F110" s="12" t="s">
        <v>51</v>
      </c>
      <c r="G110" s="13">
        <v>81500</v>
      </c>
      <c r="H110" s="12" t="s">
        <v>89</v>
      </c>
      <c r="I110" s="11">
        <v>47199</v>
      </c>
      <c r="J110" s="12" t="s">
        <v>53</v>
      </c>
      <c r="K110" s="11"/>
      <c r="L110" s="12" t="s">
        <v>53</v>
      </c>
      <c r="M110" s="12" t="s">
        <v>53</v>
      </c>
      <c r="N110" s="11"/>
      <c r="O110" s="12"/>
      <c r="P110" s="12" t="s">
        <v>53</v>
      </c>
      <c r="Q110" s="14"/>
      <c r="R110" s="14"/>
      <c r="S110" s="12" t="s">
        <v>53</v>
      </c>
      <c r="T110" s="11"/>
      <c r="U110" s="12" t="str">
        <f t="shared" si="9"/>
        <v>N</v>
      </c>
      <c r="V110" s="12" t="str">
        <f t="shared" si="10"/>
        <v>N</v>
      </c>
      <c r="W110" s="12" t="str">
        <f t="shared" si="11"/>
        <v>N</v>
      </c>
      <c r="X110" s="12" t="str">
        <f t="shared" si="12"/>
        <v>N</v>
      </c>
      <c r="Y110" s="12" t="str">
        <f t="shared" si="13"/>
        <v>N</v>
      </c>
      <c r="Z110" s="12" t="str">
        <f t="shared" si="14"/>
        <v>N</v>
      </c>
      <c r="AA110" s="12">
        <f t="shared" si="15"/>
        <v>1</v>
      </c>
      <c r="AB110" s="12" t="str">
        <f t="shared" si="16"/>
        <v>SINGLE-SIGNAL</v>
      </c>
      <c r="AC110" s="14" t="str">
        <f t="shared" si="17"/>
        <v>Settlement Authorization</v>
      </c>
    </row>
    <row r="111" spans="1:29" ht="28.5" x14ac:dyDescent="0.45">
      <c r="A111" s="2" t="s">
        <v>408</v>
      </c>
      <c r="B111" s="2" t="s">
        <v>409</v>
      </c>
      <c r="C111" s="2" t="s">
        <v>49</v>
      </c>
      <c r="D111" s="2" t="s">
        <v>410</v>
      </c>
      <c r="E111" s="11">
        <v>43161</v>
      </c>
      <c r="F111" s="12" t="s">
        <v>53</v>
      </c>
      <c r="G111" s="13"/>
      <c r="H111" s="12"/>
      <c r="I111" s="11"/>
      <c r="J111" s="12" t="s">
        <v>51</v>
      </c>
      <c r="K111" s="11">
        <v>43976</v>
      </c>
      <c r="L111" s="12" t="s">
        <v>53</v>
      </c>
      <c r="M111" s="12" t="s">
        <v>51</v>
      </c>
      <c r="N111" s="11">
        <v>43918</v>
      </c>
      <c r="O111" s="12" t="s">
        <v>411</v>
      </c>
      <c r="P111" s="12" t="s">
        <v>53</v>
      </c>
      <c r="Q111" s="14"/>
      <c r="R111" s="14"/>
      <c r="S111" s="12" t="s">
        <v>51</v>
      </c>
      <c r="T111" s="11">
        <v>43572</v>
      </c>
      <c r="U111" s="12" t="str">
        <f t="shared" si="9"/>
        <v>N</v>
      </c>
      <c r="V111" s="12" t="str">
        <f t="shared" si="10"/>
        <v>N</v>
      </c>
      <c r="W111" s="12" t="str">
        <f t="shared" si="11"/>
        <v>N</v>
      </c>
      <c r="X111" s="12" t="str">
        <f t="shared" si="12"/>
        <v>N</v>
      </c>
      <c r="Y111" s="12" t="str">
        <f t="shared" si="13"/>
        <v>N</v>
      </c>
      <c r="Z111" s="12" t="str">
        <f t="shared" si="14"/>
        <v>N</v>
      </c>
      <c r="AA111" s="12">
        <f t="shared" si="15"/>
        <v>3</v>
      </c>
      <c r="AB111" s="12" t="str">
        <f t="shared" si="16"/>
        <v>ELEVATED MULTI-SIGNAL</v>
      </c>
      <c r="AC111" s="14" t="str">
        <f t="shared" si="17"/>
        <v>Open Stipulation | Pending QME | Inactive Customer</v>
      </c>
    </row>
    <row r="112" spans="1:29" ht="28.5" x14ac:dyDescent="0.45">
      <c r="A112" s="2" t="s">
        <v>412</v>
      </c>
      <c r="B112" s="2" t="s">
        <v>413</v>
      </c>
      <c r="C112" s="2" t="s">
        <v>49</v>
      </c>
      <c r="D112" s="2" t="s">
        <v>309</v>
      </c>
      <c r="E112" s="11">
        <v>45176</v>
      </c>
      <c r="F112" s="12" t="s">
        <v>53</v>
      </c>
      <c r="G112" s="13"/>
      <c r="H112" s="12"/>
      <c r="I112" s="11"/>
      <c r="J112" s="12" t="s">
        <v>53</v>
      </c>
      <c r="K112" s="11"/>
      <c r="L112" s="12"/>
      <c r="M112" s="12" t="s">
        <v>51</v>
      </c>
      <c r="N112" s="11">
        <v>45829</v>
      </c>
      <c r="O112" s="12" t="s">
        <v>414</v>
      </c>
      <c r="P112" s="12" t="s">
        <v>51</v>
      </c>
      <c r="Q112" s="14" t="s">
        <v>415</v>
      </c>
      <c r="R112" s="14" t="s">
        <v>416</v>
      </c>
      <c r="S112" s="12" t="s">
        <v>53</v>
      </c>
      <c r="T112" s="11"/>
      <c r="U112" s="12" t="str">
        <f t="shared" si="9"/>
        <v>Y</v>
      </c>
      <c r="V112" s="12" t="str">
        <f t="shared" si="10"/>
        <v>N</v>
      </c>
      <c r="W112" s="12" t="str">
        <f t="shared" si="11"/>
        <v>Y</v>
      </c>
      <c r="X112" s="12" t="str">
        <f t="shared" si="12"/>
        <v>Y</v>
      </c>
      <c r="Y112" s="12" t="str">
        <f t="shared" si="13"/>
        <v>Y</v>
      </c>
      <c r="Z112" s="12" t="str">
        <f t="shared" si="14"/>
        <v>N</v>
      </c>
      <c r="AA112" s="12">
        <f t="shared" si="15"/>
        <v>2</v>
      </c>
      <c r="AB112" s="12" t="str">
        <f t="shared" si="16"/>
        <v>MULTI-SIGNAL</v>
      </c>
      <c r="AC112" s="14" t="str">
        <f t="shared" si="17"/>
        <v>Pending QME | Automated Claim Alert</v>
      </c>
    </row>
    <row r="113" spans="1:29" x14ac:dyDescent="0.45">
      <c r="A113" s="2" t="s">
        <v>417</v>
      </c>
      <c r="B113" s="2" t="s">
        <v>418</v>
      </c>
      <c r="C113" s="2" t="s">
        <v>49</v>
      </c>
      <c r="D113" s="2" t="s">
        <v>419</v>
      </c>
      <c r="E113" s="11">
        <v>44716</v>
      </c>
      <c r="F113" s="12" t="s">
        <v>51</v>
      </c>
      <c r="G113" s="13">
        <v>69750</v>
      </c>
      <c r="H113" s="12" t="s">
        <v>59</v>
      </c>
      <c r="I113" s="11">
        <v>45369</v>
      </c>
      <c r="J113" s="12" t="s">
        <v>53</v>
      </c>
      <c r="K113" s="11"/>
      <c r="L113" s="12" t="s">
        <v>51</v>
      </c>
      <c r="M113" s="12" t="s">
        <v>53</v>
      </c>
      <c r="N113" s="11"/>
      <c r="O113" s="12"/>
      <c r="P113" s="12" t="s">
        <v>53</v>
      </c>
      <c r="Q113" s="14"/>
      <c r="R113" s="14"/>
      <c r="S113" s="12" t="s">
        <v>53</v>
      </c>
      <c r="T113" s="11"/>
      <c r="U113" s="12" t="str">
        <f t="shared" si="9"/>
        <v>N</v>
      </c>
      <c r="V113" s="12" t="str">
        <f t="shared" si="10"/>
        <v>N</v>
      </c>
      <c r="W113" s="12" t="str">
        <f t="shared" si="11"/>
        <v>N</v>
      </c>
      <c r="X113" s="12" t="str">
        <f t="shared" si="12"/>
        <v>N</v>
      </c>
      <c r="Y113" s="12" t="str">
        <f t="shared" si="13"/>
        <v>N</v>
      </c>
      <c r="Z113" s="12" t="str">
        <f t="shared" si="14"/>
        <v>N</v>
      </c>
      <c r="AA113" s="12">
        <f t="shared" si="15"/>
        <v>1</v>
      </c>
      <c r="AB113" s="12" t="str">
        <f t="shared" si="16"/>
        <v>SINGLE-SIGNAL</v>
      </c>
      <c r="AC113" s="14" t="str">
        <f t="shared" si="17"/>
        <v>Settlement Authorization</v>
      </c>
    </row>
    <row r="114" spans="1:29" ht="42.75" x14ac:dyDescent="0.45">
      <c r="A114" s="2" t="s">
        <v>420</v>
      </c>
      <c r="B114" s="2" t="s">
        <v>421</v>
      </c>
      <c r="C114" s="2" t="s">
        <v>49</v>
      </c>
      <c r="D114" s="2" t="s">
        <v>422</v>
      </c>
      <c r="E114" s="11">
        <v>44040</v>
      </c>
      <c r="F114" s="12" t="s">
        <v>53</v>
      </c>
      <c r="G114" s="13"/>
      <c r="H114" s="12"/>
      <c r="I114" s="11"/>
      <c r="J114" s="12" t="s">
        <v>51</v>
      </c>
      <c r="K114" s="11">
        <v>44802</v>
      </c>
      <c r="L114" s="12" t="s">
        <v>51</v>
      </c>
      <c r="M114" s="12" t="s">
        <v>53</v>
      </c>
      <c r="N114" s="11"/>
      <c r="O114" s="12"/>
      <c r="P114" s="12" t="s">
        <v>51</v>
      </c>
      <c r="Q114" s="14" t="s">
        <v>423</v>
      </c>
      <c r="R114" s="14" t="s">
        <v>424</v>
      </c>
      <c r="S114" s="12" t="s">
        <v>53</v>
      </c>
      <c r="T114" s="11"/>
      <c r="U114" s="12" t="str">
        <f t="shared" si="9"/>
        <v>Y</v>
      </c>
      <c r="V114" s="12" t="str">
        <f t="shared" si="10"/>
        <v>Y</v>
      </c>
      <c r="W114" s="12" t="str">
        <f t="shared" si="11"/>
        <v>Y</v>
      </c>
      <c r="X114" s="12" t="str">
        <f t="shared" si="12"/>
        <v>Y</v>
      </c>
      <c r="Y114" s="12" t="str">
        <f t="shared" si="13"/>
        <v>N</v>
      </c>
      <c r="Z114" s="12" t="str">
        <f t="shared" si="14"/>
        <v>Y</v>
      </c>
      <c r="AA114" s="12">
        <f t="shared" si="15"/>
        <v>2</v>
      </c>
      <c r="AB114" s="12" t="str">
        <f t="shared" si="16"/>
        <v>MULTI-SIGNAL</v>
      </c>
      <c r="AC114" s="14" t="str">
        <f t="shared" si="17"/>
        <v>Open Stipulation | Automated Claim Alert</v>
      </c>
    </row>
    <row r="115" spans="1:29" ht="28.5" x14ac:dyDescent="0.45">
      <c r="A115" s="2" t="s">
        <v>425</v>
      </c>
      <c r="B115" s="2" t="s">
        <v>426</v>
      </c>
      <c r="C115" s="2" t="s">
        <v>49</v>
      </c>
      <c r="D115" s="2" t="s">
        <v>427</v>
      </c>
      <c r="E115" s="11">
        <v>43451</v>
      </c>
      <c r="F115" s="12" t="s">
        <v>51</v>
      </c>
      <c r="G115" s="13">
        <v>15000</v>
      </c>
      <c r="H115" s="12" t="s">
        <v>93</v>
      </c>
      <c r="I115" s="11">
        <v>44593</v>
      </c>
      <c r="J115" s="12" t="s">
        <v>51</v>
      </c>
      <c r="K115" s="11">
        <v>43649</v>
      </c>
      <c r="L115" s="12" t="s">
        <v>53</v>
      </c>
      <c r="M115" s="12" t="s">
        <v>53</v>
      </c>
      <c r="N115" s="11"/>
      <c r="O115" s="12"/>
      <c r="P115" s="12" t="s">
        <v>51</v>
      </c>
      <c r="Q115" s="14" t="s">
        <v>428</v>
      </c>
      <c r="R115" s="14" t="s">
        <v>149</v>
      </c>
      <c r="S115" s="12" t="s">
        <v>53</v>
      </c>
      <c r="T115" s="11"/>
      <c r="U115" s="12" t="str">
        <f t="shared" si="9"/>
        <v>N</v>
      </c>
      <c r="V115" s="12" t="str">
        <f t="shared" si="10"/>
        <v>N</v>
      </c>
      <c r="W115" s="12" t="str">
        <f t="shared" si="11"/>
        <v>N</v>
      </c>
      <c r="X115" s="12" t="str">
        <f t="shared" si="12"/>
        <v>Y</v>
      </c>
      <c r="Y115" s="12" t="str">
        <f t="shared" si="13"/>
        <v>Y</v>
      </c>
      <c r="Z115" s="12" t="str">
        <f t="shared" si="14"/>
        <v>Y</v>
      </c>
      <c r="AA115" s="12">
        <f t="shared" si="15"/>
        <v>3</v>
      </c>
      <c r="AB115" s="12" t="str">
        <f t="shared" si="16"/>
        <v>ELEVATED MULTI-SIGNAL</v>
      </c>
      <c r="AC115" s="14" t="str">
        <f t="shared" si="17"/>
        <v>Settlement Authorization | Open Stipulation | Automated Claim Alert</v>
      </c>
    </row>
    <row r="116" spans="1:29" x14ac:dyDescent="0.45">
      <c r="A116" s="2" t="s">
        <v>429</v>
      </c>
      <c r="B116" s="2" t="s">
        <v>430</v>
      </c>
      <c r="C116" s="2" t="s">
        <v>49</v>
      </c>
      <c r="D116" s="2" t="s">
        <v>431</v>
      </c>
      <c r="E116" s="11">
        <v>44279</v>
      </c>
      <c r="F116" s="12" t="s">
        <v>51</v>
      </c>
      <c r="G116" s="13">
        <v>13500</v>
      </c>
      <c r="H116" s="12" t="s">
        <v>66</v>
      </c>
      <c r="I116" s="11">
        <v>45129</v>
      </c>
      <c r="J116" s="12" t="s">
        <v>53</v>
      </c>
      <c r="K116" s="11"/>
      <c r="L116" s="12" t="s">
        <v>51</v>
      </c>
      <c r="M116" s="12" t="s">
        <v>53</v>
      </c>
      <c r="N116" s="11"/>
      <c r="O116" s="12"/>
      <c r="P116" s="12" t="s">
        <v>53</v>
      </c>
      <c r="Q116" s="14"/>
      <c r="R116" s="14"/>
      <c r="S116" s="12" t="s">
        <v>51</v>
      </c>
      <c r="T116" s="11">
        <v>45447</v>
      </c>
      <c r="U116" s="12" t="str">
        <f t="shared" si="9"/>
        <v>N</v>
      </c>
      <c r="V116" s="12" t="str">
        <f t="shared" si="10"/>
        <v>N</v>
      </c>
      <c r="W116" s="12" t="str">
        <f t="shared" si="11"/>
        <v>N</v>
      </c>
      <c r="X116" s="12" t="str">
        <f t="shared" si="12"/>
        <v>N</v>
      </c>
      <c r="Y116" s="12" t="str">
        <f t="shared" si="13"/>
        <v>N</v>
      </c>
      <c r="Z116" s="12" t="str">
        <f t="shared" si="14"/>
        <v>N</v>
      </c>
      <c r="AA116" s="12">
        <f t="shared" si="15"/>
        <v>2</v>
      </c>
      <c r="AB116" s="12" t="str">
        <f t="shared" si="16"/>
        <v>MULTI-SIGNAL</v>
      </c>
      <c r="AC116" s="14" t="str">
        <f t="shared" si="17"/>
        <v>Settlement Authorization | Inactive Customer</v>
      </c>
    </row>
    <row r="117" spans="1:29" x14ac:dyDescent="0.45">
      <c r="A117" s="2" t="s">
        <v>432</v>
      </c>
      <c r="B117" s="2" t="s">
        <v>433</v>
      </c>
      <c r="C117" s="2" t="s">
        <v>49</v>
      </c>
      <c r="D117" s="2" t="s">
        <v>434</v>
      </c>
      <c r="E117" s="11">
        <v>44333</v>
      </c>
      <c r="F117" s="12" t="s">
        <v>51</v>
      </c>
      <c r="G117" s="13">
        <v>159500</v>
      </c>
      <c r="H117" s="12" t="s">
        <v>66</v>
      </c>
      <c r="I117" s="11">
        <v>45336</v>
      </c>
      <c r="J117" s="12" t="s">
        <v>53</v>
      </c>
      <c r="K117" s="11"/>
      <c r="L117" s="12" t="s">
        <v>53</v>
      </c>
      <c r="M117" s="12" t="s">
        <v>53</v>
      </c>
      <c r="N117" s="11"/>
      <c r="O117" s="12"/>
      <c r="P117" s="12" t="s">
        <v>53</v>
      </c>
      <c r="Q117" s="14"/>
      <c r="R117" s="14"/>
      <c r="S117" s="12" t="s">
        <v>53</v>
      </c>
      <c r="T117" s="11"/>
      <c r="U117" s="12" t="str">
        <f t="shared" si="9"/>
        <v>N</v>
      </c>
      <c r="V117" s="12" t="str">
        <f t="shared" si="10"/>
        <v>N</v>
      </c>
      <c r="W117" s="12" t="str">
        <f t="shared" si="11"/>
        <v>N</v>
      </c>
      <c r="X117" s="12" t="str">
        <f t="shared" si="12"/>
        <v>N</v>
      </c>
      <c r="Y117" s="12" t="str">
        <f t="shared" si="13"/>
        <v>N</v>
      </c>
      <c r="Z117" s="12" t="str">
        <f t="shared" si="14"/>
        <v>N</v>
      </c>
      <c r="AA117" s="12">
        <f t="shared" si="15"/>
        <v>1</v>
      </c>
      <c r="AB117" s="12" t="str">
        <f t="shared" si="16"/>
        <v>SINGLE-SIGNAL</v>
      </c>
      <c r="AC117" s="14" t="str">
        <f t="shared" si="17"/>
        <v>Settlement Authorization</v>
      </c>
    </row>
    <row r="118" spans="1:29" x14ac:dyDescent="0.45">
      <c r="A118" s="2" t="s">
        <v>435</v>
      </c>
      <c r="B118" s="2" t="s">
        <v>436</v>
      </c>
      <c r="C118" s="2" t="s">
        <v>49</v>
      </c>
      <c r="D118" s="2" t="s">
        <v>437</v>
      </c>
      <c r="E118" s="11">
        <v>43837</v>
      </c>
      <c r="F118" s="12" t="s">
        <v>53</v>
      </c>
      <c r="G118" s="13"/>
      <c r="H118" s="12"/>
      <c r="I118" s="11"/>
      <c r="J118" s="12" t="s">
        <v>53</v>
      </c>
      <c r="K118" s="11"/>
      <c r="L118" s="12"/>
      <c r="M118" s="12" t="s">
        <v>53</v>
      </c>
      <c r="N118" s="11"/>
      <c r="O118" s="12"/>
      <c r="P118" s="12" t="s">
        <v>53</v>
      </c>
      <c r="Q118" s="14"/>
      <c r="R118" s="14"/>
      <c r="S118" s="12" t="s">
        <v>51</v>
      </c>
      <c r="T118" s="11">
        <v>44273</v>
      </c>
      <c r="U118" s="12" t="str">
        <f t="shared" si="9"/>
        <v>N</v>
      </c>
      <c r="V118" s="12" t="str">
        <f t="shared" si="10"/>
        <v>N</v>
      </c>
      <c r="W118" s="12" t="str">
        <f t="shared" si="11"/>
        <v>N</v>
      </c>
      <c r="X118" s="12" t="str">
        <f t="shared" si="12"/>
        <v>N</v>
      </c>
      <c r="Y118" s="12" t="str">
        <f t="shared" si="13"/>
        <v>N</v>
      </c>
      <c r="Z118" s="12" t="str">
        <f t="shared" si="14"/>
        <v>N</v>
      </c>
      <c r="AA118" s="12">
        <f t="shared" si="15"/>
        <v>1</v>
      </c>
      <c r="AB118" s="12" t="str">
        <f t="shared" si="16"/>
        <v>SINGLE-SIGNAL</v>
      </c>
      <c r="AC118" s="14" t="str">
        <f t="shared" si="17"/>
        <v>Inactive Customer</v>
      </c>
    </row>
    <row r="119" spans="1:29" ht="28.5" x14ac:dyDescent="0.45">
      <c r="A119" s="2" t="s">
        <v>438</v>
      </c>
      <c r="B119" s="2" t="s">
        <v>439</v>
      </c>
      <c r="C119" s="2" t="s">
        <v>49</v>
      </c>
      <c r="D119" s="2" t="s">
        <v>132</v>
      </c>
      <c r="E119" s="11">
        <v>45920</v>
      </c>
      <c r="F119" s="12" t="s">
        <v>51</v>
      </c>
      <c r="G119" s="13">
        <v>164500</v>
      </c>
      <c r="H119" s="12" t="s">
        <v>277</v>
      </c>
      <c r="I119" s="11">
        <v>46152</v>
      </c>
      <c r="J119" s="12" t="s">
        <v>53</v>
      </c>
      <c r="K119" s="11"/>
      <c r="L119" s="12" t="s">
        <v>51</v>
      </c>
      <c r="M119" s="12" t="s">
        <v>51</v>
      </c>
      <c r="N119" s="11">
        <v>47327</v>
      </c>
      <c r="O119" s="12" t="s">
        <v>440</v>
      </c>
      <c r="P119" s="12" t="s">
        <v>51</v>
      </c>
      <c r="Q119" s="14" t="s">
        <v>441</v>
      </c>
      <c r="R119" s="14" t="s">
        <v>209</v>
      </c>
      <c r="S119" s="12" t="s">
        <v>53</v>
      </c>
      <c r="T119" s="11"/>
      <c r="U119" s="12" t="str">
        <f t="shared" si="9"/>
        <v>Y</v>
      </c>
      <c r="V119" s="12" t="str">
        <f t="shared" si="10"/>
        <v>N</v>
      </c>
      <c r="W119" s="12" t="str">
        <f t="shared" si="11"/>
        <v>N</v>
      </c>
      <c r="X119" s="12" t="str">
        <f t="shared" si="12"/>
        <v>Y</v>
      </c>
      <c r="Y119" s="12" t="str">
        <f t="shared" si="13"/>
        <v>Y</v>
      </c>
      <c r="Z119" s="12" t="str">
        <f t="shared" si="14"/>
        <v>N</v>
      </c>
      <c r="AA119" s="12">
        <f t="shared" si="15"/>
        <v>3</v>
      </c>
      <c r="AB119" s="12" t="str">
        <f t="shared" si="16"/>
        <v>ELEVATED MULTI-SIGNAL</v>
      </c>
      <c r="AC119" s="14" t="str">
        <f t="shared" si="17"/>
        <v>Settlement Authorization | Pending QME | Automated Claim Alert</v>
      </c>
    </row>
    <row r="120" spans="1:29" ht="42.75" x14ac:dyDescent="0.45">
      <c r="A120" s="2" t="s">
        <v>442</v>
      </c>
      <c r="B120" s="2" t="s">
        <v>443</v>
      </c>
      <c r="C120" s="2" t="s">
        <v>49</v>
      </c>
      <c r="D120" s="2" t="s">
        <v>431</v>
      </c>
      <c r="E120" s="11">
        <v>44593</v>
      </c>
      <c r="F120" s="12" t="s">
        <v>51</v>
      </c>
      <c r="G120" s="13">
        <v>122250</v>
      </c>
      <c r="H120" s="12" t="s">
        <v>242</v>
      </c>
      <c r="I120" s="11">
        <v>44940</v>
      </c>
      <c r="J120" s="12" t="s">
        <v>53</v>
      </c>
      <c r="K120" s="11"/>
      <c r="L120" s="12" t="s">
        <v>53</v>
      </c>
      <c r="M120" s="12" t="s">
        <v>53</v>
      </c>
      <c r="N120" s="11"/>
      <c r="O120" s="12"/>
      <c r="P120" s="12" t="s">
        <v>51</v>
      </c>
      <c r="Q120" s="14" t="s">
        <v>444</v>
      </c>
      <c r="R120" s="14" t="s">
        <v>445</v>
      </c>
      <c r="S120" s="12" t="s">
        <v>51</v>
      </c>
      <c r="T120" s="11">
        <v>46271</v>
      </c>
      <c r="U120" s="12" t="str">
        <f t="shared" si="9"/>
        <v>Y</v>
      </c>
      <c r="V120" s="12" t="str">
        <f t="shared" si="10"/>
        <v>Y</v>
      </c>
      <c r="W120" s="12" t="str">
        <f t="shared" si="11"/>
        <v>Y</v>
      </c>
      <c r="X120" s="12" t="str">
        <f t="shared" si="12"/>
        <v>Y</v>
      </c>
      <c r="Y120" s="12" t="str">
        <f t="shared" si="13"/>
        <v>Y</v>
      </c>
      <c r="Z120" s="12" t="str">
        <f t="shared" si="14"/>
        <v>N</v>
      </c>
      <c r="AA120" s="12">
        <f t="shared" si="15"/>
        <v>3</v>
      </c>
      <c r="AB120" s="12" t="str">
        <f t="shared" si="16"/>
        <v>ELEVATED MULTI-SIGNAL</v>
      </c>
      <c r="AC120" s="14" t="str">
        <f t="shared" si="17"/>
        <v>Settlement Authorization | Automated Claim Alert | Inactive Customer</v>
      </c>
    </row>
    <row r="121" spans="1:29" x14ac:dyDescent="0.45">
      <c r="A121" s="2" t="s">
        <v>446</v>
      </c>
      <c r="B121" s="2" t="s">
        <v>447</v>
      </c>
      <c r="C121" s="2" t="s">
        <v>49</v>
      </c>
      <c r="D121" s="2" t="s">
        <v>448</v>
      </c>
      <c r="E121" s="11">
        <v>44754</v>
      </c>
      <c r="F121" s="12" t="s">
        <v>51</v>
      </c>
      <c r="G121" s="13">
        <v>7750</v>
      </c>
      <c r="H121" s="12" t="s">
        <v>93</v>
      </c>
      <c r="I121" s="11">
        <v>46303</v>
      </c>
      <c r="J121" s="12" t="s">
        <v>53</v>
      </c>
      <c r="K121" s="11"/>
      <c r="L121" s="12" t="s">
        <v>51</v>
      </c>
      <c r="M121" s="12" t="s">
        <v>53</v>
      </c>
      <c r="N121" s="11"/>
      <c r="O121" s="12"/>
      <c r="P121" s="12" t="s">
        <v>53</v>
      </c>
      <c r="Q121" s="14"/>
      <c r="R121" s="14"/>
      <c r="S121" s="12" t="s">
        <v>53</v>
      </c>
      <c r="T121" s="11"/>
      <c r="U121" s="12" t="str">
        <f t="shared" si="9"/>
        <v>N</v>
      </c>
      <c r="V121" s="12" t="str">
        <f t="shared" si="10"/>
        <v>N</v>
      </c>
      <c r="W121" s="12" t="str">
        <f t="shared" si="11"/>
        <v>N</v>
      </c>
      <c r="X121" s="12" t="str">
        <f t="shared" si="12"/>
        <v>N</v>
      </c>
      <c r="Y121" s="12" t="str">
        <f t="shared" si="13"/>
        <v>N</v>
      </c>
      <c r="Z121" s="12" t="str">
        <f t="shared" si="14"/>
        <v>N</v>
      </c>
      <c r="AA121" s="12">
        <f t="shared" si="15"/>
        <v>1</v>
      </c>
      <c r="AB121" s="12" t="str">
        <f t="shared" si="16"/>
        <v>SINGLE-SIGNAL</v>
      </c>
      <c r="AC121" s="14" t="str">
        <f t="shared" si="17"/>
        <v>Settlement Authorization</v>
      </c>
    </row>
    <row r="122" spans="1:29" x14ac:dyDescent="0.45">
      <c r="A122" s="2" t="s">
        <v>449</v>
      </c>
      <c r="B122" s="2" t="s">
        <v>450</v>
      </c>
      <c r="C122" s="2" t="s">
        <v>49</v>
      </c>
      <c r="D122" s="2" t="s">
        <v>320</v>
      </c>
      <c r="E122" s="11">
        <v>44686</v>
      </c>
      <c r="F122" s="12" t="s">
        <v>51</v>
      </c>
      <c r="G122" s="13">
        <v>174250</v>
      </c>
      <c r="H122" s="12" t="s">
        <v>277</v>
      </c>
      <c r="I122" s="11">
        <v>44970</v>
      </c>
      <c r="J122" s="12" t="s">
        <v>53</v>
      </c>
      <c r="K122" s="11"/>
      <c r="L122" s="12" t="s">
        <v>51</v>
      </c>
      <c r="M122" s="12" t="s">
        <v>53</v>
      </c>
      <c r="N122" s="11"/>
      <c r="O122" s="12"/>
      <c r="P122" s="12" t="s">
        <v>53</v>
      </c>
      <c r="Q122" s="14"/>
      <c r="R122" s="14"/>
      <c r="S122" s="12" t="s">
        <v>53</v>
      </c>
      <c r="T122" s="11"/>
      <c r="U122" s="12" t="str">
        <f t="shared" si="9"/>
        <v>N</v>
      </c>
      <c r="V122" s="12" t="str">
        <f t="shared" si="10"/>
        <v>N</v>
      </c>
      <c r="W122" s="12" t="str">
        <f t="shared" si="11"/>
        <v>N</v>
      </c>
      <c r="X122" s="12" t="str">
        <f t="shared" si="12"/>
        <v>N</v>
      </c>
      <c r="Y122" s="12" t="str">
        <f t="shared" si="13"/>
        <v>N</v>
      </c>
      <c r="Z122" s="12" t="str">
        <f t="shared" si="14"/>
        <v>N</v>
      </c>
      <c r="AA122" s="12">
        <f t="shared" si="15"/>
        <v>1</v>
      </c>
      <c r="AB122" s="12" t="str">
        <f t="shared" si="16"/>
        <v>SINGLE-SIGNAL</v>
      </c>
      <c r="AC122" s="14" t="str">
        <f t="shared" si="17"/>
        <v>Settlement Authorization</v>
      </c>
    </row>
    <row r="123" spans="1:29" ht="28.5" x14ac:dyDescent="0.45">
      <c r="A123" s="2" t="s">
        <v>451</v>
      </c>
      <c r="B123" s="2" t="s">
        <v>452</v>
      </c>
      <c r="C123" s="2" t="s">
        <v>49</v>
      </c>
      <c r="D123" s="2" t="s">
        <v>453</v>
      </c>
      <c r="E123" s="11">
        <v>45678</v>
      </c>
      <c r="F123" s="12" t="s">
        <v>53</v>
      </c>
      <c r="G123" s="13"/>
      <c r="H123" s="12"/>
      <c r="I123" s="11"/>
      <c r="J123" s="12" t="s">
        <v>53</v>
      </c>
      <c r="K123" s="11"/>
      <c r="L123" s="12"/>
      <c r="M123" s="12" t="s">
        <v>53</v>
      </c>
      <c r="N123" s="11"/>
      <c r="O123" s="12"/>
      <c r="P123" s="12" t="s">
        <v>51</v>
      </c>
      <c r="Q123" s="14" t="s">
        <v>454</v>
      </c>
      <c r="R123" s="14" t="s">
        <v>149</v>
      </c>
      <c r="S123" s="12" t="s">
        <v>53</v>
      </c>
      <c r="T123" s="11"/>
      <c r="U123" s="12" t="str">
        <f t="shared" si="9"/>
        <v>N</v>
      </c>
      <c r="V123" s="12" t="str">
        <f t="shared" si="10"/>
        <v>Y</v>
      </c>
      <c r="W123" s="12" t="str">
        <f t="shared" si="11"/>
        <v>Y</v>
      </c>
      <c r="X123" s="12" t="str">
        <f t="shared" si="12"/>
        <v>N</v>
      </c>
      <c r="Y123" s="12" t="str">
        <f t="shared" si="13"/>
        <v>Y</v>
      </c>
      <c r="Z123" s="12" t="str">
        <f t="shared" si="14"/>
        <v>Y</v>
      </c>
      <c r="AA123" s="12">
        <f t="shared" si="15"/>
        <v>1</v>
      </c>
      <c r="AB123" s="12" t="str">
        <f t="shared" si="16"/>
        <v>SINGLE-SIGNAL</v>
      </c>
      <c r="AC123" s="14" t="str">
        <f t="shared" si="17"/>
        <v>Automated Claim Alert</v>
      </c>
    </row>
    <row r="124" spans="1:29" x14ac:dyDescent="0.45">
      <c r="A124" s="2" t="s">
        <v>455</v>
      </c>
      <c r="B124" s="2" t="s">
        <v>456</v>
      </c>
      <c r="C124" s="2" t="s">
        <v>49</v>
      </c>
      <c r="D124" s="2" t="s">
        <v>457</v>
      </c>
      <c r="E124" s="11">
        <v>44665</v>
      </c>
      <c r="F124" s="12" t="s">
        <v>53</v>
      </c>
      <c r="G124" s="13"/>
      <c r="H124" s="12"/>
      <c r="I124" s="11"/>
      <c r="J124" s="12" t="s">
        <v>53</v>
      </c>
      <c r="K124" s="11"/>
      <c r="L124" s="12"/>
      <c r="M124" s="12" t="s">
        <v>51</v>
      </c>
      <c r="N124" s="11">
        <v>46462</v>
      </c>
      <c r="O124" s="12" t="s">
        <v>458</v>
      </c>
      <c r="P124" s="12" t="s">
        <v>53</v>
      </c>
      <c r="Q124" s="14"/>
      <c r="R124" s="14"/>
      <c r="S124" s="12" t="s">
        <v>53</v>
      </c>
      <c r="T124" s="11"/>
      <c r="U124" s="12" t="str">
        <f t="shared" si="9"/>
        <v>N</v>
      </c>
      <c r="V124" s="12" t="str">
        <f t="shared" si="10"/>
        <v>N</v>
      </c>
      <c r="W124" s="12" t="str">
        <f t="shared" si="11"/>
        <v>N</v>
      </c>
      <c r="X124" s="12" t="str">
        <f t="shared" si="12"/>
        <v>N</v>
      </c>
      <c r="Y124" s="12" t="str">
        <f t="shared" si="13"/>
        <v>N</v>
      </c>
      <c r="Z124" s="12" t="str">
        <f t="shared" si="14"/>
        <v>N</v>
      </c>
      <c r="AA124" s="12">
        <f t="shared" si="15"/>
        <v>1</v>
      </c>
      <c r="AB124" s="12" t="str">
        <f t="shared" si="16"/>
        <v>SINGLE-SIGNAL</v>
      </c>
      <c r="AC124" s="14" t="str">
        <f t="shared" si="17"/>
        <v>Pending QME</v>
      </c>
    </row>
    <row r="125" spans="1:29" ht="28.5" x14ac:dyDescent="0.45">
      <c r="A125" s="2" t="s">
        <v>459</v>
      </c>
      <c r="B125" s="2" t="s">
        <v>460</v>
      </c>
      <c r="C125" s="2" t="s">
        <v>49</v>
      </c>
      <c r="D125" s="2" t="s">
        <v>320</v>
      </c>
      <c r="E125" s="11">
        <v>44730</v>
      </c>
      <c r="F125" s="12" t="s">
        <v>53</v>
      </c>
      <c r="G125" s="13"/>
      <c r="H125" s="12"/>
      <c r="I125" s="11"/>
      <c r="J125" s="12" t="s">
        <v>53</v>
      </c>
      <c r="K125" s="11"/>
      <c r="L125" s="12"/>
      <c r="M125" s="12" t="s">
        <v>53</v>
      </c>
      <c r="N125" s="11"/>
      <c r="O125" s="12"/>
      <c r="P125" s="12" t="s">
        <v>51</v>
      </c>
      <c r="Q125" s="14" t="s">
        <v>461</v>
      </c>
      <c r="R125" s="14" t="s">
        <v>462</v>
      </c>
      <c r="S125" s="12" t="s">
        <v>53</v>
      </c>
      <c r="T125" s="11"/>
      <c r="U125" s="12" t="str">
        <f t="shared" si="9"/>
        <v>Y</v>
      </c>
      <c r="V125" s="12" t="str">
        <f t="shared" si="10"/>
        <v>Y</v>
      </c>
      <c r="W125" s="12" t="str">
        <f t="shared" si="11"/>
        <v>N</v>
      </c>
      <c r="X125" s="12" t="str">
        <f t="shared" si="12"/>
        <v>N</v>
      </c>
      <c r="Y125" s="12" t="str">
        <f t="shared" si="13"/>
        <v>Y</v>
      </c>
      <c r="Z125" s="12" t="str">
        <f t="shared" si="14"/>
        <v>Y</v>
      </c>
      <c r="AA125" s="12">
        <f t="shared" si="15"/>
        <v>1</v>
      </c>
      <c r="AB125" s="12" t="str">
        <f t="shared" si="16"/>
        <v>SINGLE-SIGNAL</v>
      </c>
      <c r="AC125" s="14" t="str">
        <f t="shared" si="17"/>
        <v>Automated Claim Alert</v>
      </c>
    </row>
    <row r="126" spans="1:29" x14ac:dyDescent="0.45">
      <c r="A126" s="2" t="s">
        <v>463</v>
      </c>
      <c r="B126" s="2" t="s">
        <v>464</v>
      </c>
      <c r="C126" s="2" t="s">
        <v>49</v>
      </c>
      <c r="D126" s="2" t="s">
        <v>337</v>
      </c>
      <c r="E126" s="11">
        <v>45090</v>
      </c>
      <c r="F126" s="12" t="s">
        <v>53</v>
      </c>
      <c r="G126" s="13"/>
      <c r="H126" s="12"/>
      <c r="I126" s="11"/>
      <c r="J126" s="12" t="s">
        <v>53</v>
      </c>
      <c r="K126" s="11"/>
      <c r="L126" s="12"/>
      <c r="M126" s="12" t="s">
        <v>51</v>
      </c>
      <c r="N126" s="11">
        <v>45863</v>
      </c>
      <c r="O126" s="12" t="s">
        <v>388</v>
      </c>
      <c r="P126" s="12" t="s">
        <v>53</v>
      </c>
      <c r="Q126" s="14"/>
      <c r="R126" s="14"/>
      <c r="S126" s="12" t="s">
        <v>53</v>
      </c>
      <c r="T126" s="11"/>
      <c r="U126" s="12" t="str">
        <f t="shared" si="9"/>
        <v>N</v>
      </c>
      <c r="V126" s="12" t="str">
        <f t="shared" si="10"/>
        <v>N</v>
      </c>
      <c r="W126" s="12" t="str">
        <f t="shared" si="11"/>
        <v>N</v>
      </c>
      <c r="X126" s="12" t="str">
        <f t="shared" si="12"/>
        <v>N</v>
      </c>
      <c r="Y126" s="12" t="str">
        <f t="shared" si="13"/>
        <v>N</v>
      </c>
      <c r="Z126" s="12" t="str">
        <f t="shared" si="14"/>
        <v>N</v>
      </c>
      <c r="AA126" s="12">
        <f t="shared" si="15"/>
        <v>1</v>
      </c>
      <c r="AB126" s="12" t="str">
        <f t="shared" si="16"/>
        <v>SINGLE-SIGNAL</v>
      </c>
      <c r="AC126" s="14" t="str">
        <f t="shared" si="17"/>
        <v>Pending QME</v>
      </c>
    </row>
    <row r="127" spans="1:29" x14ac:dyDescent="0.45">
      <c r="A127" s="2" t="s">
        <v>465</v>
      </c>
      <c r="B127" s="2" t="s">
        <v>466</v>
      </c>
      <c r="C127" s="2" t="s">
        <v>49</v>
      </c>
      <c r="D127" s="2" t="s">
        <v>148</v>
      </c>
      <c r="E127" s="11">
        <v>44638</v>
      </c>
      <c r="F127" s="12" t="s">
        <v>53</v>
      </c>
      <c r="G127" s="13"/>
      <c r="H127" s="12"/>
      <c r="I127" s="11"/>
      <c r="J127" s="12" t="s">
        <v>51</v>
      </c>
      <c r="K127" s="11">
        <v>45152</v>
      </c>
      <c r="L127" s="12" t="s">
        <v>53</v>
      </c>
      <c r="M127" s="12" t="s">
        <v>53</v>
      </c>
      <c r="N127" s="11"/>
      <c r="O127" s="12"/>
      <c r="P127" s="12" t="s">
        <v>53</v>
      </c>
      <c r="Q127" s="14"/>
      <c r="R127" s="14"/>
      <c r="S127" s="12" t="s">
        <v>53</v>
      </c>
      <c r="T127" s="11"/>
      <c r="U127" s="12" t="str">
        <f t="shared" si="9"/>
        <v>N</v>
      </c>
      <c r="V127" s="12" t="str">
        <f t="shared" si="10"/>
        <v>N</v>
      </c>
      <c r="W127" s="12" t="str">
        <f t="shared" si="11"/>
        <v>N</v>
      </c>
      <c r="X127" s="12" t="str">
        <f t="shared" si="12"/>
        <v>N</v>
      </c>
      <c r="Y127" s="12" t="str">
        <f t="shared" si="13"/>
        <v>N</v>
      </c>
      <c r="Z127" s="12" t="str">
        <f t="shared" si="14"/>
        <v>N</v>
      </c>
      <c r="AA127" s="12">
        <f t="shared" si="15"/>
        <v>1</v>
      </c>
      <c r="AB127" s="12" t="str">
        <f t="shared" si="16"/>
        <v>SINGLE-SIGNAL</v>
      </c>
      <c r="AC127" s="14" t="str">
        <f t="shared" si="17"/>
        <v>Open Stipulation</v>
      </c>
    </row>
    <row r="128" spans="1:29" ht="28.5" x14ac:dyDescent="0.45">
      <c r="A128" s="2" t="s">
        <v>467</v>
      </c>
      <c r="B128" s="2" t="s">
        <v>468</v>
      </c>
      <c r="C128" s="2" t="s">
        <v>49</v>
      </c>
      <c r="D128" s="2" t="s">
        <v>401</v>
      </c>
      <c r="E128" s="11">
        <v>45306</v>
      </c>
      <c r="F128" s="12" t="s">
        <v>51</v>
      </c>
      <c r="G128" s="13">
        <v>10750</v>
      </c>
      <c r="H128" s="12" t="s">
        <v>242</v>
      </c>
      <c r="I128" s="11">
        <v>46790</v>
      </c>
      <c r="J128" s="12" t="s">
        <v>53</v>
      </c>
      <c r="K128" s="11"/>
      <c r="L128" s="12" t="s">
        <v>53</v>
      </c>
      <c r="M128" s="12" t="s">
        <v>53</v>
      </c>
      <c r="N128" s="11"/>
      <c r="O128" s="12"/>
      <c r="P128" s="12" t="s">
        <v>51</v>
      </c>
      <c r="Q128" s="14" t="s">
        <v>469</v>
      </c>
      <c r="R128" s="14" t="s">
        <v>416</v>
      </c>
      <c r="S128" s="12" t="s">
        <v>51</v>
      </c>
      <c r="T128" s="11">
        <v>46667</v>
      </c>
      <c r="U128" s="12" t="str">
        <f t="shared" si="9"/>
        <v>Y</v>
      </c>
      <c r="V128" s="12" t="str">
        <f t="shared" si="10"/>
        <v>N</v>
      </c>
      <c r="W128" s="12" t="str">
        <f t="shared" si="11"/>
        <v>Y</v>
      </c>
      <c r="X128" s="12" t="str">
        <f t="shared" si="12"/>
        <v>N</v>
      </c>
      <c r="Y128" s="12" t="str">
        <f t="shared" si="13"/>
        <v>Y</v>
      </c>
      <c r="Z128" s="12" t="str">
        <f t="shared" si="14"/>
        <v>Y</v>
      </c>
      <c r="AA128" s="12">
        <f t="shared" si="15"/>
        <v>3</v>
      </c>
      <c r="AB128" s="12" t="str">
        <f t="shared" si="16"/>
        <v>ELEVATED MULTI-SIGNAL</v>
      </c>
      <c r="AC128" s="14" t="str">
        <f t="shared" si="17"/>
        <v>Settlement Authorization | Automated Claim Alert | Inactive Customer</v>
      </c>
    </row>
    <row r="129" spans="1:29" x14ac:dyDescent="0.45">
      <c r="A129" s="2" t="s">
        <v>470</v>
      </c>
      <c r="B129" s="2" t="s">
        <v>471</v>
      </c>
      <c r="C129" s="2" t="s">
        <v>49</v>
      </c>
      <c r="D129" s="2" t="s">
        <v>472</v>
      </c>
      <c r="E129" s="11">
        <v>44410</v>
      </c>
      <c r="F129" s="12" t="s">
        <v>51</v>
      </c>
      <c r="G129" s="13">
        <v>144250</v>
      </c>
      <c r="H129" s="12" t="s">
        <v>66</v>
      </c>
      <c r="I129" s="11">
        <v>46058</v>
      </c>
      <c r="J129" s="12" t="s">
        <v>51</v>
      </c>
      <c r="K129" s="11">
        <v>45735</v>
      </c>
      <c r="L129" s="12" t="s">
        <v>53</v>
      </c>
      <c r="M129" s="12" t="s">
        <v>53</v>
      </c>
      <c r="N129" s="11"/>
      <c r="O129" s="12"/>
      <c r="P129" s="12" t="s">
        <v>53</v>
      </c>
      <c r="Q129" s="14"/>
      <c r="R129" s="14"/>
      <c r="S129" s="12" t="s">
        <v>53</v>
      </c>
      <c r="T129" s="11"/>
      <c r="U129" s="12" t="str">
        <f t="shared" si="9"/>
        <v>N</v>
      </c>
      <c r="V129" s="12" t="str">
        <f t="shared" si="10"/>
        <v>N</v>
      </c>
      <c r="W129" s="12" t="str">
        <f t="shared" si="11"/>
        <v>N</v>
      </c>
      <c r="X129" s="12" t="str">
        <f t="shared" si="12"/>
        <v>N</v>
      </c>
      <c r="Y129" s="12" t="str">
        <f t="shared" si="13"/>
        <v>N</v>
      </c>
      <c r="Z129" s="12" t="str">
        <f t="shared" si="14"/>
        <v>N</v>
      </c>
      <c r="AA129" s="12">
        <f t="shared" si="15"/>
        <v>2</v>
      </c>
      <c r="AB129" s="12" t="str">
        <f t="shared" si="16"/>
        <v>MULTI-SIGNAL</v>
      </c>
      <c r="AC129" s="14" t="str">
        <f t="shared" si="17"/>
        <v>Settlement Authorization | Open Stipulation</v>
      </c>
    </row>
    <row r="130" spans="1:29" ht="28.5" x14ac:dyDescent="0.45">
      <c r="A130" s="2" t="s">
        <v>473</v>
      </c>
      <c r="B130" s="2" t="s">
        <v>474</v>
      </c>
      <c r="C130" s="2" t="s">
        <v>49</v>
      </c>
      <c r="D130" s="2" t="s">
        <v>475</v>
      </c>
      <c r="E130" s="11">
        <v>45750</v>
      </c>
      <c r="F130" s="12" t="s">
        <v>51</v>
      </c>
      <c r="G130" s="13">
        <v>80000</v>
      </c>
      <c r="H130" s="12" t="s">
        <v>66</v>
      </c>
      <c r="I130" s="11">
        <v>46271</v>
      </c>
      <c r="J130" s="12" t="s">
        <v>53</v>
      </c>
      <c r="K130" s="11"/>
      <c r="L130" s="12" t="s">
        <v>51</v>
      </c>
      <c r="M130" s="12" t="s">
        <v>53</v>
      </c>
      <c r="N130" s="11"/>
      <c r="O130" s="12"/>
      <c r="P130" s="12" t="s">
        <v>51</v>
      </c>
      <c r="Q130" s="14" t="s">
        <v>476</v>
      </c>
      <c r="R130" s="14" t="s">
        <v>477</v>
      </c>
      <c r="S130" s="12" t="s">
        <v>53</v>
      </c>
      <c r="T130" s="11"/>
      <c r="U130" s="12" t="str">
        <f t="shared" ref="U130:U193" si="18">IF(ISNUMBER(SEARCH("SURGERY",Q130&amp;" "&amp;R130)),"Y","N")</f>
        <v>Y</v>
      </c>
      <c r="V130" s="12" t="str">
        <f t="shared" ref="V130:V193" si="19">IF(ISNUMBER(SEARCH("MMI",Q130&amp;" "&amp;R130)),"Y","N")</f>
        <v>Y</v>
      </c>
      <c r="W130" s="12" t="str">
        <f t="shared" ref="W130:W193" si="20">IF(ISNUMBER(SEARCH("DENIED TREATMENT",Q130&amp;" "&amp;R130)),"Y","N")</f>
        <v>Y</v>
      </c>
      <c r="X130" s="12" t="str">
        <f t="shared" ref="X130:X193" si="21">IF(ISNUMBER(SEARCH("SPECIALIST CONSULTATION",Q130&amp;" "&amp;R130)),"Y","N")</f>
        <v>Y</v>
      </c>
      <c r="Y130" s="12" t="str">
        <f t="shared" ref="Y130:Y193" si="22">IF(ISNUMBER(SEARCH("NON-RENEWED ACCOUNT",Q130&amp;" "&amp;R130)),"Y","N")</f>
        <v>Y</v>
      </c>
      <c r="Z130" s="12" t="str">
        <f t="shared" ref="Z130:Z193" si="23">IF(ISNUMBER(SEARCH("MSA ELIGIBLE",Q130&amp;" "&amp;R130)),"Y","N")</f>
        <v>N</v>
      </c>
      <c r="AA130" s="12">
        <f t="shared" ref="AA130:AA193" si="24">COUNTIF(F130,"Y")+COUNTIF(J130,"Y")+COUNTIF(M130,"Y")+COUNTIF(P130,"Y")+COUNTIF(S130,"Y")</f>
        <v>2</v>
      </c>
      <c r="AB130" s="12" t="str">
        <f t="shared" ref="AB130:AB193" si="25">IF(AA130=5,"MAXIMUM MULTI-SIGNAL",IF(AA130=4,"HIGH MULTI-SIGNAL",IF(AA130=3,"ELEVATED MULTI-SIGNAL",IF(AA130=2,"MULTI-SIGNAL","SINGLE-SIGNAL"))))</f>
        <v>MULTI-SIGNAL</v>
      </c>
      <c r="AC130" s="14" t="str">
        <f t="shared" ref="AC130:AC193" si="26">IF(F130="Y","Settlement Authorization","")&amp;IF(J130="Y",IF(F130="Y"," | ","")&amp;"Open Stipulation","")&amp;IF(M130="Y",IF(OR(F130="Y",J130="Y")," | ","")&amp;"Pending QME","")&amp;IF(P130="Y",IF(OR(F130="Y",J130="Y",M130="Y")," | ","")&amp;"Automated Claim Alert","")&amp;IF(S130="Y",IF(OR(F130="Y",J130="Y",M130="Y",P130="Y")," | ","")&amp;"Inactive Customer","")</f>
        <v>Settlement Authorization | Automated Claim Alert</v>
      </c>
    </row>
    <row r="131" spans="1:29" ht="42.75" x14ac:dyDescent="0.45">
      <c r="A131" s="2" t="s">
        <v>478</v>
      </c>
      <c r="B131" s="2" t="s">
        <v>479</v>
      </c>
      <c r="C131" s="2" t="s">
        <v>49</v>
      </c>
      <c r="D131" s="2" t="s">
        <v>480</v>
      </c>
      <c r="E131" s="11">
        <v>44642</v>
      </c>
      <c r="F131" s="12" t="s">
        <v>53</v>
      </c>
      <c r="G131" s="13"/>
      <c r="H131" s="12"/>
      <c r="I131" s="11"/>
      <c r="J131" s="12" t="s">
        <v>53</v>
      </c>
      <c r="K131" s="11"/>
      <c r="L131" s="12"/>
      <c r="M131" s="12" t="s">
        <v>51</v>
      </c>
      <c r="N131" s="11">
        <v>46264</v>
      </c>
      <c r="O131" s="12" t="s">
        <v>271</v>
      </c>
      <c r="P131" s="12" t="s">
        <v>51</v>
      </c>
      <c r="Q131" s="14" t="s">
        <v>481</v>
      </c>
      <c r="R131" s="14"/>
      <c r="S131" s="12" t="s">
        <v>53</v>
      </c>
      <c r="T131" s="11"/>
      <c r="U131" s="12" t="str">
        <f t="shared" si="18"/>
        <v>N</v>
      </c>
      <c r="V131" s="12" t="str">
        <f t="shared" si="19"/>
        <v>N</v>
      </c>
      <c r="W131" s="12" t="str">
        <f t="shared" si="20"/>
        <v>Y</v>
      </c>
      <c r="X131" s="12" t="str">
        <f t="shared" si="21"/>
        <v>Y</v>
      </c>
      <c r="Y131" s="12" t="str">
        <f t="shared" si="22"/>
        <v>Y</v>
      </c>
      <c r="Z131" s="12" t="str">
        <f t="shared" si="23"/>
        <v>N</v>
      </c>
      <c r="AA131" s="12">
        <f t="shared" si="24"/>
        <v>2</v>
      </c>
      <c r="AB131" s="12" t="str">
        <f t="shared" si="25"/>
        <v>MULTI-SIGNAL</v>
      </c>
      <c r="AC131" s="14" t="str">
        <f t="shared" si="26"/>
        <v>Pending QME | Automated Claim Alert</v>
      </c>
    </row>
    <row r="132" spans="1:29" x14ac:dyDescent="0.45">
      <c r="A132" s="2" t="s">
        <v>482</v>
      </c>
      <c r="B132" s="2" t="s">
        <v>483</v>
      </c>
      <c r="C132" s="2" t="s">
        <v>49</v>
      </c>
      <c r="D132" s="2" t="s">
        <v>484</v>
      </c>
      <c r="E132" s="11">
        <v>44797</v>
      </c>
      <c r="F132" s="12" t="s">
        <v>51</v>
      </c>
      <c r="G132" s="13">
        <v>97750</v>
      </c>
      <c r="H132" s="12" t="s">
        <v>277</v>
      </c>
      <c r="I132" s="11">
        <v>45301</v>
      </c>
      <c r="J132" s="12" t="s">
        <v>53</v>
      </c>
      <c r="K132" s="11"/>
      <c r="L132" s="12" t="s">
        <v>51</v>
      </c>
      <c r="M132" s="12" t="s">
        <v>51</v>
      </c>
      <c r="N132" s="11">
        <v>46222</v>
      </c>
      <c r="O132" s="12" t="s">
        <v>485</v>
      </c>
      <c r="P132" s="12" t="s">
        <v>53</v>
      </c>
      <c r="Q132" s="14"/>
      <c r="R132" s="14"/>
      <c r="S132" s="12" t="s">
        <v>53</v>
      </c>
      <c r="T132" s="11"/>
      <c r="U132" s="12" t="str">
        <f t="shared" si="18"/>
        <v>N</v>
      </c>
      <c r="V132" s="12" t="str">
        <f t="shared" si="19"/>
        <v>N</v>
      </c>
      <c r="W132" s="12" t="str">
        <f t="shared" si="20"/>
        <v>N</v>
      </c>
      <c r="X132" s="12" t="str">
        <f t="shared" si="21"/>
        <v>N</v>
      </c>
      <c r="Y132" s="12" t="str">
        <f t="shared" si="22"/>
        <v>N</v>
      </c>
      <c r="Z132" s="12" t="str">
        <f t="shared" si="23"/>
        <v>N</v>
      </c>
      <c r="AA132" s="12">
        <f t="shared" si="24"/>
        <v>2</v>
      </c>
      <c r="AB132" s="12" t="str">
        <f t="shared" si="25"/>
        <v>MULTI-SIGNAL</v>
      </c>
      <c r="AC132" s="14" t="str">
        <f t="shared" si="26"/>
        <v>Settlement Authorization | Pending QME</v>
      </c>
    </row>
    <row r="133" spans="1:29" x14ac:dyDescent="0.45">
      <c r="A133" s="2" t="s">
        <v>486</v>
      </c>
      <c r="B133" s="2" t="s">
        <v>487</v>
      </c>
      <c r="C133" s="2" t="s">
        <v>49</v>
      </c>
      <c r="D133" s="2" t="s">
        <v>120</v>
      </c>
      <c r="E133" s="11">
        <v>45006</v>
      </c>
      <c r="F133" s="12" t="s">
        <v>53</v>
      </c>
      <c r="G133" s="13"/>
      <c r="H133" s="12"/>
      <c r="I133" s="11"/>
      <c r="J133" s="12" t="s">
        <v>51</v>
      </c>
      <c r="K133" s="11">
        <v>45248</v>
      </c>
      <c r="L133" s="12" t="s">
        <v>51</v>
      </c>
      <c r="M133" s="12" t="s">
        <v>53</v>
      </c>
      <c r="N133" s="11"/>
      <c r="O133" s="12"/>
      <c r="P133" s="12" t="s">
        <v>53</v>
      </c>
      <c r="Q133" s="14"/>
      <c r="R133" s="14"/>
      <c r="S133" s="12" t="s">
        <v>53</v>
      </c>
      <c r="T133" s="11"/>
      <c r="U133" s="12" t="str">
        <f t="shared" si="18"/>
        <v>N</v>
      </c>
      <c r="V133" s="12" t="str">
        <f t="shared" si="19"/>
        <v>N</v>
      </c>
      <c r="W133" s="12" t="str">
        <f t="shared" si="20"/>
        <v>N</v>
      </c>
      <c r="X133" s="12" t="str">
        <f t="shared" si="21"/>
        <v>N</v>
      </c>
      <c r="Y133" s="12" t="str">
        <f t="shared" si="22"/>
        <v>N</v>
      </c>
      <c r="Z133" s="12" t="str">
        <f t="shared" si="23"/>
        <v>N</v>
      </c>
      <c r="AA133" s="12">
        <f t="shared" si="24"/>
        <v>1</v>
      </c>
      <c r="AB133" s="12" t="str">
        <f t="shared" si="25"/>
        <v>SINGLE-SIGNAL</v>
      </c>
      <c r="AC133" s="14" t="str">
        <f t="shared" si="26"/>
        <v>Open Stipulation</v>
      </c>
    </row>
    <row r="134" spans="1:29" x14ac:dyDescent="0.45">
      <c r="A134" s="2" t="s">
        <v>488</v>
      </c>
      <c r="B134" s="2" t="s">
        <v>489</v>
      </c>
      <c r="C134" s="2" t="s">
        <v>49</v>
      </c>
      <c r="D134" s="2" t="s">
        <v>320</v>
      </c>
      <c r="E134" s="11">
        <v>44431</v>
      </c>
      <c r="F134" s="12" t="s">
        <v>53</v>
      </c>
      <c r="G134" s="13"/>
      <c r="H134" s="12"/>
      <c r="I134" s="11"/>
      <c r="J134" s="12" t="s">
        <v>51</v>
      </c>
      <c r="K134" s="11">
        <v>45061</v>
      </c>
      <c r="L134" s="12" t="s">
        <v>53</v>
      </c>
      <c r="M134" s="12" t="s">
        <v>53</v>
      </c>
      <c r="N134" s="11"/>
      <c r="O134" s="12"/>
      <c r="P134" s="12" t="s">
        <v>53</v>
      </c>
      <c r="Q134" s="14"/>
      <c r="R134" s="14"/>
      <c r="S134" s="12" t="s">
        <v>51</v>
      </c>
      <c r="T134" s="11">
        <v>46618</v>
      </c>
      <c r="U134" s="12" t="str">
        <f t="shared" si="18"/>
        <v>N</v>
      </c>
      <c r="V134" s="12" t="str">
        <f t="shared" si="19"/>
        <v>N</v>
      </c>
      <c r="W134" s="12" t="str">
        <f t="shared" si="20"/>
        <v>N</v>
      </c>
      <c r="X134" s="12" t="str">
        <f t="shared" si="21"/>
        <v>N</v>
      </c>
      <c r="Y134" s="12" t="str">
        <f t="shared" si="22"/>
        <v>N</v>
      </c>
      <c r="Z134" s="12" t="str">
        <f t="shared" si="23"/>
        <v>N</v>
      </c>
      <c r="AA134" s="12">
        <f t="shared" si="24"/>
        <v>2</v>
      </c>
      <c r="AB134" s="12" t="str">
        <f t="shared" si="25"/>
        <v>MULTI-SIGNAL</v>
      </c>
      <c r="AC134" s="14" t="str">
        <f t="shared" si="26"/>
        <v>Open Stipulation | Inactive Customer</v>
      </c>
    </row>
    <row r="135" spans="1:29" x14ac:dyDescent="0.45">
      <c r="A135" s="2" t="s">
        <v>490</v>
      </c>
      <c r="B135" s="2" t="s">
        <v>491</v>
      </c>
      <c r="C135" s="2" t="s">
        <v>49</v>
      </c>
      <c r="D135" s="2" t="s">
        <v>492</v>
      </c>
      <c r="E135" s="11">
        <v>45631</v>
      </c>
      <c r="F135" s="12" t="s">
        <v>51</v>
      </c>
      <c r="G135" s="13">
        <v>164250</v>
      </c>
      <c r="H135" s="12" t="s">
        <v>85</v>
      </c>
      <c r="I135" s="11">
        <v>46309</v>
      </c>
      <c r="J135" s="12" t="s">
        <v>53</v>
      </c>
      <c r="K135" s="11"/>
      <c r="L135" s="12" t="s">
        <v>51</v>
      </c>
      <c r="M135" s="12" t="s">
        <v>53</v>
      </c>
      <c r="N135" s="11"/>
      <c r="O135" s="12"/>
      <c r="P135" s="12" t="s">
        <v>53</v>
      </c>
      <c r="Q135" s="14"/>
      <c r="R135" s="14"/>
      <c r="S135" s="12" t="s">
        <v>53</v>
      </c>
      <c r="T135" s="11"/>
      <c r="U135" s="12" t="str">
        <f t="shared" si="18"/>
        <v>N</v>
      </c>
      <c r="V135" s="12" t="str">
        <f t="shared" si="19"/>
        <v>N</v>
      </c>
      <c r="W135" s="12" t="str">
        <f t="shared" si="20"/>
        <v>N</v>
      </c>
      <c r="X135" s="12" t="str">
        <f t="shared" si="21"/>
        <v>N</v>
      </c>
      <c r="Y135" s="12" t="str">
        <f t="shared" si="22"/>
        <v>N</v>
      </c>
      <c r="Z135" s="12" t="str">
        <f t="shared" si="23"/>
        <v>N</v>
      </c>
      <c r="AA135" s="12">
        <f t="shared" si="24"/>
        <v>1</v>
      </c>
      <c r="AB135" s="12" t="str">
        <f t="shared" si="25"/>
        <v>SINGLE-SIGNAL</v>
      </c>
      <c r="AC135" s="14" t="str">
        <f t="shared" si="26"/>
        <v>Settlement Authorization</v>
      </c>
    </row>
    <row r="136" spans="1:29" x14ac:dyDescent="0.45">
      <c r="A136" s="2" t="s">
        <v>493</v>
      </c>
      <c r="B136" s="2" t="s">
        <v>494</v>
      </c>
      <c r="C136" s="2" t="s">
        <v>49</v>
      </c>
      <c r="D136" s="2" t="s">
        <v>176</v>
      </c>
      <c r="E136" s="11">
        <v>43780</v>
      </c>
      <c r="F136" s="12" t="s">
        <v>51</v>
      </c>
      <c r="G136" s="13">
        <v>72500</v>
      </c>
      <c r="H136" s="12" t="s">
        <v>59</v>
      </c>
      <c r="I136" s="11">
        <v>44780</v>
      </c>
      <c r="J136" s="12" t="s">
        <v>53</v>
      </c>
      <c r="K136" s="11"/>
      <c r="L136" s="12" t="s">
        <v>53</v>
      </c>
      <c r="M136" s="12" t="s">
        <v>53</v>
      </c>
      <c r="N136" s="11"/>
      <c r="O136" s="12"/>
      <c r="P136" s="12" t="s">
        <v>53</v>
      </c>
      <c r="Q136" s="14"/>
      <c r="R136" s="14"/>
      <c r="S136" s="12" t="s">
        <v>53</v>
      </c>
      <c r="T136" s="11"/>
      <c r="U136" s="12" t="str">
        <f t="shared" si="18"/>
        <v>N</v>
      </c>
      <c r="V136" s="12" t="str">
        <f t="shared" si="19"/>
        <v>N</v>
      </c>
      <c r="W136" s="12" t="str">
        <f t="shared" si="20"/>
        <v>N</v>
      </c>
      <c r="X136" s="12" t="str">
        <f t="shared" si="21"/>
        <v>N</v>
      </c>
      <c r="Y136" s="12" t="str">
        <f t="shared" si="22"/>
        <v>N</v>
      </c>
      <c r="Z136" s="12" t="str">
        <f t="shared" si="23"/>
        <v>N</v>
      </c>
      <c r="AA136" s="12">
        <f t="shared" si="24"/>
        <v>1</v>
      </c>
      <c r="AB136" s="12" t="str">
        <f t="shared" si="25"/>
        <v>SINGLE-SIGNAL</v>
      </c>
      <c r="AC136" s="14" t="str">
        <f t="shared" si="26"/>
        <v>Settlement Authorization</v>
      </c>
    </row>
    <row r="137" spans="1:29" x14ac:dyDescent="0.45">
      <c r="A137" s="2" t="s">
        <v>495</v>
      </c>
      <c r="B137" s="2" t="s">
        <v>496</v>
      </c>
      <c r="C137" s="2" t="s">
        <v>497</v>
      </c>
      <c r="D137" s="2" t="s">
        <v>204</v>
      </c>
      <c r="E137" s="11">
        <v>44536</v>
      </c>
      <c r="F137" s="12" t="s">
        <v>51</v>
      </c>
      <c r="G137" s="13">
        <v>152500</v>
      </c>
      <c r="H137" s="12" t="s">
        <v>66</v>
      </c>
      <c r="I137" s="11">
        <v>44948</v>
      </c>
      <c r="J137" s="12" t="s">
        <v>53</v>
      </c>
      <c r="K137" s="11"/>
      <c r="L137" s="12" t="s">
        <v>51</v>
      </c>
      <c r="M137" s="12" t="s">
        <v>53</v>
      </c>
      <c r="N137" s="11"/>
      <c r="O137" s="12"/>
      <c r="P137" s="12" t="s">
        <v>53</v>
      </c>
      <c r="Q137" s="14"/>
      <c r="R137" s="14"/>
      <c r="S137" s="12" t="s">
        <v>53</v>
      </c>
      <c r="T137" s="11"/>
      <c r="U137" s="12" t="str">
        <f t="shared" si="18"/>
        <v>N</v>
      </c>
      <c r="V137" s="12" t="str">
        <f t="shared" si="19"/>
        <v>N</v>
      </c>
      <c r="W137" s="12" t="str">
        <f t="shared" si="20"/>
        <v>N</v>
      </c>
      <c r="X137" s="12" t="str">
        <f t="shared" si="21"/>
        <v>N</v>
      </c>
      <c r="Y137" s="12" t="str">
        <f t="shared" si="22"/>
        <v>N</v>
      </c>
      <c r="Z137" s="12" t="str">
        <f t="shared" si="23"/>
        <v>N</v>
      </c>
      <c r="AA137" s="12">
        <f t="shared" si="24"/>
        <v>1</v>
      </c>
      <c r="AB137" s="12" t="str">
        <f t="shared" si="25"/>
        <v>SINGLE-SIGNAL</v>
      </c>
      <c r="AC137" s="14" t="str">
        <f t="shared" si="26"/>
        <v>Settlement Authorization</v>
      </c>
    </row>
    <row r="138" spans="1:29" x14ac:dyDescent="0.45">
      <c r="A138" s="2" t="s">
        <v>498</v>
      </c>
      <c r="B138" s="2" t="s">
        <v>499</v>
      </c>
      <c r="C138" s="2" t="s">
        <v>497</v>
      </c>
      <c r="D138" s="2" t="s">
        <v>500</v>
      </c>
      <c r="E138" s="11">
        <v>44324</v>
      </c>
      <c r="F138" s="12" t="s">
        <v>51</v>
      </c>
      <c r="G138" s="13">
        <v>143250</v>
      </c>
      <c r="H138" s="12" t="s">
        <v>71</v>
      </c>
      <c r="I138" s="11">
        <v>44930</v>
      </c>
      <c r="J138" s="12" t="s">
        <v>53</v>
      </c>
      <c r="K138" s="11"/>
      <c r="L138" s="12" t="s">
        <v>53</v>
      </c>
      <c r="M138" s="12" t="s">
        <v>53</v>
      </c>
      <c r="N138" s="11"/>
      <c r="O138" s="12"/>
      <c r="P138" s="12" t="s">
        <v>53</v>
      </c>
      <c r="Q138" s="14"/>
      <c r="R138" s="14"/>
      <c r="S138" s="12" t="s">
        <v>53</v>
      </c>
      <c r="T138" s="11"/>
      <c r="U138" s="12" t="str">
        <f t="shared" si="18"/>
        <v>N</v>
      </c>
      <c r="V138" s="12" t="str">
        <f t="shared" si="19"/>
        <v>N</v>
      </c>
      <c r="W138" s="12" t="str">
        <f t="shared" si="20"/>
        <v>N</v>
      </c>
      <c r="X138" s="12" t="str">
        <f t="shared" si="21"/>
        <v>N</v>
      </c>
      <c r="Y138" s="12" t="str">
        <f t="shared" si="22"/>
        <v>N</v>
      </c>
      <c r="Z138" s="12" t="str">
        <f t="shared" si="23"/>
        <v>N</v>
      </c>
      <c r="AA138" s="12">
        <f t="shared" si="24"/>
        <v>1</v>
      </c>
      <c r="AB138" s="12" t="str">
        <f t="shared" si="25"/>
        <v>SINGLE-SIGNAL</v>
      </c>
      <c r="AC138" s="14" t="str">
        <f t="shared" si="26"/>
        <v>Settlement Authorization</v>
      </c>
    </row>
    <row r="139" spans="1:29" ht="28.5" x14ac:dyDescent="0.45">
      <c r="A139" s="2" t="s">
        <v>501</v>
      </c>
      <c r="B139" s="2" t="s">
        <v>502</v>
      </c>
      <c r="C139" s="2" t="s">
        <v>497</v>
      </c>
      <c r="D139" s="2" t="s">
        <v>212</v>
      </c>
      <c r="E139" s="11">
        <v>46021</v>
      </c>
      <c r="F139" s="12" t="s">
        <v>53</v>
      </c>
      <c r="G139" s="13"/>
      <c r="H139" s="12"/>
      <c r="I139" s="11"/>
      <c r="J139" s="12" t="s">
        <v>53</v>
      </c>
      <c r="K139" s="11"/>
      <c r="L139" s="12"/>
      <c r="M139" s="12" t="s">
        <v>53</v>
      </c>
      <c r="N139" s="11"/>
      <c r="O139" s="12"/>
      <c r="P139" s="12" t="s">
        <v>51</v>
      </c>
      <c r="Q139" s="14" t="s">
        <v>260</v>
      </c>
      <c r="R139" s="14"/>
      <c r="S139" s="12" t="s">
        <v>53</v>
      </c>
      <c r="T139" s="11"/>
      <c r="U139" s="12" t="str">
        <f t="shared" si="18"/>
        <v>N</v>
      </c>
      <c r="V139" s="12" t="str">
        <f t="shared" si="19"/>
        <v>N</v>
      </c>
      <c r="W139" s="12" t="str">
        <f t="shared" si="20"/>
        <v>Y</v>
      </c>
      <c r="X139" s="12" t="str">
        <f t="shared" si="21"/>
        <v>Y</v>
      </c>
      <c r="Y139" s="12" t="str">
        <f t="shared" si="22"/>
        <v>N</v>
      </c>
      <c r="Z139" s="12" t="str">
        <f t="shared" si="23"/>
        <v>N</v>
      </c>
      <c r="AA139" s="12">
        <f t="shared" si="24"/>
        <v>1</v>
      </c>
      <c r="AB139" s="12" t="str">
        <f t="shared" si="25"/>
        <v>SINGLE-SIGNAL</v>
      </c>
      <c r="AC139" s="14" t="str">
        <f t="shared" si="26"/>
        <v>Automated Claim Alert</v>
      </c>
    </row>
    <row r="140" spans="1:29" ht="28.5" x14ac:dyDescent="0.45">
      <c r="A140" s="2" t="s">
        <v>503</v>
      </c>
      <c r="B140" s="2" t="s">
        <v>504</v>
      </c>
      <c r="C140" s="2" t="s">
        <v>497</v>
      </c>
      <c r="D140" s="2" t="s">
        <v>263</v>
      </c>
      <c r="E140" s="11">
        <v>43646</v>
      </c>
      <c r="F140" s="12" t="s">
        <v>51</v>
      </c>
      <c r="G140" s="13">
        <v>89500</v>
      </c>
      <c r="H140" s="12" t="s">
        <v>277</v>
      </c>
      <c r="I140" s="11">
        <v>44340</v>
      </c>
      <c r="J140" s="12" t="s">
        <v>53</v>
      </c>
      <c r="K140" s="11"/>
      <c r="L140" s="12" t="s">
        <v>51</v>
      </c>
      <c r="M140" s="12" t="s">
        <v>53</v>
      </c>
      <c r="N140" s="11"/>
      <c r="O140" s="12"/>
      <c r="P140" s="12" t="s">
        <v>51</v>
      </c>
      <c r="Q140" s="14" t="s">
        <v>505</v>
      </c>
      <c r="R140" s="14" t="s">
        <v>445</v>
      </c>
      <c r="S140" s="12" t="s">
        <v>51</v>
      </c>
      <c r="T140" s="11">
        <v>45273</v>
      </c>
      <c r="U140" s="12" t="str">
        <f t="shared" si="18"/>
        <v>Y</v>
      </c>
      <c r="V140" s="12" t="str">
        <f t="shared" si="19"/>
        <v>Y</v>
      </c>
      <c r="W140" s="12" t="str">
        <f t="shared" si="20"/>
        <v>N</v>
      </c>
      <c r="X140" s="12" t="str">
        <f t="shared" si="21"/>
        <v>N</v>
      </c>
      <c r="Y140" s="12" t="str">
        <f t="shared" si="22"/>
        <v>Y</v>
      </c>
      <c r="Z140" s="12" t="str">
        <f t="shared" si="23"/>
        <v>Y</v>
      </c>
      <c r="AA140" s="12">
        <f t="shared" si="24"/>
        <v>3</v>
      </c>
      <c r="AB140" s="12" t="str">
        <f t="shared" si="25"/>
        <v>ELEVATED MULTI-SIGNAL</v>
      </c>
      <c r="AC140" s="14" t="str">
        <f t="shared" si="26"/>
        <v>Settlement Authorization | Automated Claim Alert | Inactive Customer</v>
      </c>
    </row>
    <row r="141" spans="1:29" x14ac:dyDescent="0.45">
      <c r="A141" s="2" t="s">
        <v>506</v>
      </c>
      <c r="B141" s="2" t="s">
        <v>507</v>
      </c>
      <c r="C141" s="2" t="s">
        <v>497</v>
      </c>
      <c r="D141" s="2" t="s">
        <v>212</v>
      </c>
      <c r="E141" s="11">
        <v>43969</v>
      </c>
      <c r="F141" s="12" t="s">
        <v>53</v>
      </c>
      <c r="G141" s="13"/>
      <c r="H141" s="12"/>
      <c r="I141" s="11"/>
      <c r="J141" s="12" t="s">
        <v>53</v>
      </c>
      <c r="K141" s="11"/>
      <c r="L141" s="12"/>
      <c r="M141" s="12" t="s">
        <v>53</v>
      </c>
      <c r="N141" s="11"/>
      <c r="O141" s="12"/>
      <c r="P141" s="12" t="s">
        <v>53</v>
      </c>
      <c r="Q141" s="14"/>
      <c r="R141" s="14"/>
      <c r="S141" s="12" t="s">
        <v>51</v>
      </c>
      <c r="T141" s="11">
        <v>45667</v>
      </c>
      <c r="U141" s="12" t="str">
        <f t="shared" si="18"/>
        <v>N</v>
      </c>
      <c r="V141" s="12" t="str">
        <f t="shared" si="19"/>
        <v>N</v>
      </c>
      <c r="W141" s="12" t="str">
        <f t="shared" si="20"/>
        <v>N</v>
      </c>
      <c r="X141" s="12" t="str">
        <f t="shared" si="21"/>
        <v>N</v>
      </c>
      <c r="Y141" s="12" t="str">
        <f t="shared" si="22"/>
        <v>N</v>
      </c>
      <c r="Z141" s="12" t="str">
        <f t="shared" si="23"/>
        <v>N</v>
      </c>
      <c r="AA141" s="12">
        <f t="shared" si="24"/>
        <v>1</v>
      </c>
      <c r="AB141" s="12" t="str">
        <f t="shared" si="25"/>
        <v>SINGLE-SIGNAL</v>
      </c>
      <c r="AC141" s="14" t="str">
        <f t="shared" si="26"/>
        <v>Inactive Customer</v>
      </c>
    </row>
    <row r="142" spans="1:29" x14ac:dyDescent="0.45">
      <c r="A142" s="2" t="s">
        <v>508</v>
      </c>
      <c r="B142" s="2" t="s">
        <v>509</v>
      </c>
      <c r="C142" s="2" t="s">
        <v>497</v>
      </c>
      <c r="D142" s="2" t="s">
        <v>510</v>
      </c>
      <c r="E142" s="11">
        <v>43119</v>
      </c>
      <c r="F142" s="12" t="s">
        <v>51</v>
      </c>
      <c r="G142" s="13">
        <v>125250</v>
      </c>
      <c r="H142" s="12" t="s">
        <v>78</v>
      </c>
      <c r="I142" s="11">
        <v>44912</v>
      </c>
      <c r="J142" s="12" t="s">
        <v>51</v>
      </c>
      <c r="K142" s="11">
        <v>44047</v>
      </c>
      <c r="L142" s="12" t="s">
        <v>53</v>
      </c>
      <c r="M142" s="12" t="s">
        <v>53</v>
      </c>
      <c r="N142" s="11"/>
      <c r="O142" s="12"/>
      <c r="P142" s="12" t="s">
        <v>53</v>
      </c>
      <c r="Q142" s="14"/>
      <c r="R142" s="14"/>
      <c r="S142" s="12" t="s">
        <v>53</v>
      </c>
      <c r="T142" s="11"/>
      <c r="U142" s="12" t="str">
        <f t="shared" si="18"/>
        <v>N</v>
      </c>
      <c r="V142" s="12" t="str">
        <f t="shared" si="19"/>
        <v>N</v>
      </c>
      <c r="W142" s="12" t="str">
        <f t="shared" si="20"/>
        <v>N</v>
      </c>
      <c r="X142" s="12" t="str">
        <f t="shared" si="21"/>
        <v>N</v>
      </c>
      <c r="Y142" s="12" t="str">
        <f t="shared" si="22"/>
        <v>N</v>
      </c>
      <c r="Z142" s="12" t="str">
        <f t="shared" si="23"/>
        <v>N</v>
      </c>
      <c r="AA142" s="12">
        <f t="shared" si="24"/>
        <v>2</v>
      </c>
      <c r="AB142" s="12" t="str">
        <f t="shared" si="25"/>
        <v>MULTI-SIGNAL</v>
      </c>
      <c r="AC142" s="14" t="str">
        <f t="shared" si="26"/>
        <v>Settlement Authorization | Open Stipulation</v>
      </c>
    </row>
    <row r="143" spans="1:29" ht="28.5" x14ac:dyDescent="0.45">
      <c r="A143" s="2" t="s">
        <v>511</v>
      </c>
      <c r="B143" s="2" t="s">
        <v>512</v>
      </c>
      <c r="C143" s="2" t="s">
        <v>497</v>
      </c>
      <c r="D143" s="2" t="s">
        <v>513</v>
      </c>
      <c r="E143" s="11">
        <v>44398</v>
      </c>
      <c r="F143" s="12" t="s">
        <v>51</v>
      </c>
      <c r="G143" s="13">
        <v>35250</v>
      </c>
      <c r="H143" s="12" t="s">
        <v>71</v>
      </c>
      <c r="I143" s="11">
        <v>44742</v>
      </c>
      <c r="J143" s="12" t="s">
        <v>53</v>
      </c>
      <c r="K143" s="11"/>
      <c r="L143" s="12" t="s">
        <v>51</v>
      </c>
      <c r="M143" s="12" t="s">
        <v>53</v>
      </c>
      <c r="N143" s="11"/>
      <c r="O143" s="12"/>
      <c r="P143" s="12" t="s">
        <v>51</v>
      </c>
      <c r="Q143" s="14" t="s">
        <v>505</v>
      </c>
      <c r="R143" s="14" t="s">
        <v>223</v>
      </c>
      <c r="S143" s="12" t="s">
        <v>53</v>
      </c>
      <c r="T143" s="11"/>
      <c r="U143" s="12" t="str">
        <f t="shared" si="18"/>
        <v>Y</v>
      </c>
      <c r="V143" s="12" t="str">
        <f t="shared" si="19"/>
        <v>N</v>
      </c>
      <c r="W143" s="12" t="str">
        <f t="shared" si="20"/>
        <v>N</v>
      </c>
      <c r="X143" s="12" t="str">
        <f t="shared" si="21"/>
        <v>Y</v>
      </c>
      <c r="Y143" s="12" t="str">
        <f t="shared" si="22"/>
        <v>Y</v>
      </c>
      <c r="Z143" s="12" t="str">
        <f t="shared" si="23"/>
        <v>Y</v>
      </c>
      <c r="AA143" s="12">
        <f t="shared" si="24"/>
        <v>2</v>
      </c>
      <c r="AB143" s="12" t="str">
        <f t="shared" si="25"/>
        <v>MULTI-SIGNAL</v>
      </c>
      <c r="AC143" s="14" t="str">
        <f t="shared" si="26"/>
        <v>Settlement Authorization | Automated Claim Alert</v>
      </c>
    </row>
    <row r="144" spans="1:29" x14ac:dyDescent="0.45">
      <c r="A144" s="2" t="s">
        <v>514</v>
      </c>
      <c r="B144" s="2" t="s">
        <v>515</v>
      </c>
      <c r="C144" s="2" t="s">
        <v>497</v>
      </c>
      <c r="D144" s="2" t="s">
        <v>516</v>
      </c>
      <c r="E144" s="11">
        <v>44458</v>
      </c>
      <c r="F144" s="12" t="s">
        <v>53</v>
      </c>
      <c r="G144" s="13"/>
      <c r="H144" s="12"/>
      <c r="I144" s="11"/>
      <c r="J144" s="12" t="s">
        <v>51</v>
      </c>
      <c r="K144" s="11">
        <v>45053</v>
      </c>
      <c r="L144" s="12" t="s">
        <v>51</v>
      </c>
      <c r="M144" s="12" t="s">
        <v>53</v>
      </c>
      <c r="N144" s="11"/>
      <c r="O144" s="12"/>
      <c r="P144" s="12" t="s">
        <v>53</v>
      </c>
      <c r="Q144" s="14"/>
      <c r="R144" s="14"/>
      <c r="S144" s="12" t="s">
        <v>53</v>
      </c>
      <c r="T144" s="11"/>
      <c r="U144" s="12" t="str">
        <f t="shared" si="18"/>
        <v>N</v>
      </c>
      <c r="V144" s="12" t="str">
        <f t="shared" si="19"/>
        <v>N</v>
      </c>
      <c r="W144" s="12" t="str">
        <f t="shared" si="20"/>
        <v>N</v>
      </c>
      <c r="X144" s="12" t="str">
        <f t="shared" si="21"/>
        <v>N</v>
      </c>
      <c r="Y144" s="12" t="str">
        <f t="shared" si="22"/>
        <v>N</v>
      </c>
      <c r="Z144" s="12" t="str">
        <f t="shared" si="23"/>
        <v>N</v>
      </c>
      <c r="AA144" s="12">
        <f t="shared" si="24"/>
        <v>1</v>
      </c>
      <c r="AB144" s="12" t="str">
        <f t="shared" si="25"/>
        <v>SINGLE-SIGNAL</v>
      </c>
      <c r="AC144" s="14" t="str">
        <f t="shared" si="26"/>
        <v>Open Stipulation</v>
      </c>
    </row>
    <row r="145" spans="1:29" x14ac:dyDescent="0.45">
      <c r="A145" s="2" t="s">
        <v>517</v>
      </c>
      <c r="B145" s="2" t="s">
        <v>518</v>
      </c>
      <c r="C145" s="2" t="s">
        <v>497</v>
      </c>
      <c r="D145" s="2" t="s">
        <v>519</v>
      </c>
      <c r="E145" s="11">
        <v>44111</v>
      </c>
      <c r="F145" s="12" t="s">
        <v>53</v>
      </c>
      <c r="G145" s="13"/>
      <c r="H145" s="12"/>
      <c r="I145" s="11"/>
      <c r="J145" s="12" t="s">
        <v>53</v>
      </c>
      <c r="K145" s="11"/>
      <c r="L145" s="12"/>
      <c r="M145" s="12" t="s">
        <v>53</v>
      </c>
      <c r="N145" s="11"/>
      <c r="O145" s="12"/>
      <c r="P145" s="12" t="s">
        <v>53</v>
      </c>
      <c r="Q145" s="14"/>
      <c r="R145" s="14"/>
      <c r="S145" s="12" t="s">
        <v>51</v>
      </c>
      <c r="T145" s="11">
        <v>45781</v>
      </c>
      <c r="U145" s="12" t="str">
        <f t="shared" si="18"/>
        <v>N</v>
      </c>
      <c r="V145" s="12" t="str">
        <f t="shared" si="19"/>
        <v>N</v>
      </c>
      <c r="W145" s="12" t="str">
        <f t="shared" si="20"/>
        <v>N</v>
      </c>
      <c r="X145" s="12" t="str">
        <f t="shared" si="21"/>
        <v>N</v>
      </c>
      <c r="Y145" s="12" t="str">
        <f t="shared" si="22"/>
        <v>N</v>
      </c>
      <c r="Z145" s="12" t="str">
        <f t="shared" si="23"/>
        <v>N</v>
      </c>
      <c r="AA145" s="12">
        <f t="shared" si="24"/>
        <v>1</v>
      </c>
      <c r="AB145" s="12" t="str">
        <f t="shared" si="25"/>
        <v>SINGLE-SIGNAL</v>
      </c>
      <c r="AC145" s="14" t="str">
        <f t="shared" si="26"/>
        <v>Inactive Customer</v>
      </c>
    </row>
    <row r="146" spans="1:29" x14ac:dyDescent="0.45">
      <c r="A146" s="2" t="s">
        <v>520</v>
      </c>
      <c r="B146" s="2" t="s">
        <v>521</v>
      </c>
      <c r="C146" s="2" t="s">
        <v>497</v>
      </c>
      <c r="D146" s="2" t="s">
        <v>453</v>
      </c>
      <c r="E146" s="11">
        <v>43367</v>
      </c>
      <c r="F146" s="12" t="s">
        <v>51</v>
      </c>
      <c r="G146" s="13">
        <v>99500</v>
      </c>
      <c r="H146" s="12" t="s">
        <v>116</v>
      </c>
      <c r="I146" s="11">
        <v>44831</v>
      </c>
      <c r="J146" s="12" t="s">
        <v>53</v>
      </c>
      <c r="K146" s="11"/>
      <c r="L146" s="12" t="s">
        <v>53</v>
      </c>
      <c r="M146" s="12" t="s">
        <v>53</v>
      </c>
      <c r="N146" s="11"/>
      <c r="O146" s="12"/>
      <c r="P146" s="12" t="s">
        <v>53</v>
      </c>
      <c r="Q146" s="14"/>
      <c r="R146" s="14"/>
      <c r="S146" s="12" t="s">
        <v>51</v>
      </c>
      <c r="T146" s="11">
        <v>45297</v>
      </c>
      <c r="U146" s="12" t="str">
        <f t="shared" si="18"/>
        <v>N</v>
      </c>
      <c r="V146" s="12" t="str">
        <f t="shared" si="19"/>
        <v>N</v>
      </c>
      <c r="W146" s="12" t="str">
        <f t="shared" si="20"/>
        <v>N</v>
      </c>
      <c r="X146" s="12" t="str">
        <f t="shared" si="21"/>
        <v>N</v>
      </c>
      <c r="Y146" s="12" t="str">
        <f t="shared" si="22"/>
        <v>N</v>
      </c>
      <c r="Z146" s="12" t="str">
        <f t="shared" si="23"/>
        <v>N</v>
      </c>
      <c r="AA146" s="12">
        <f t="shared" si="24"/>
        <v>2</v>
      </c>
      <c r="AB146" s="12" t="str">
        <f t="shared" si="25"/>
        <v>MULTI-SIGNAL</v>
      </c>
      <c r="AC146" s="14" t="str">
        <f t="shared" si="26"/>
        <v>Settlement Authorization | Inactive Customer</v>
      </c>
    </row>
    <row r="147" spans="1:29" ht="28.5" x14ac:dyDescent="0.45">
      <c r="A147" s="2" t="s">
        <v>522</v>
      </c>
      <c r="B147" s="2" t="s">
        <v>523</v>
      </c>
      <c r="C147" s="2" t="s">
        <v>497</v>
      </c>
      <c r="D147" s="2" t="s">
        <v>524</v>
      </c>
      <c r="E147" s="11">
        <v>43994</v>
      </c>
      <c r="F147" s="12" t="s">
        <v>51</v>
      </c>
      <c r="G147" s="13">
        <v>117500</v>
      </c>
      <c r="H147" s="12" t="s">
        <v>116</v>
      </c>
      <c r="I147" s="11">
        <v>44874</v>
      </c>
      <c r="J147" s="12" t="s">
        <v>53</v>
      </c>
      <c r="K147" s="11"/>
      <c r="L147" s="12" t="s">
        <v>53</v>
      </c>
      <c r="M147" s="12" t="s">
        <v>51</v>
      </c>
      <c r="N147" s="11">
        <v>44254</v>
      </c>
      <c r="O147" s="12" t="s">
        <v>257</v>
      </c>
      <c r="P147" s="12" t="s">
        <v>51</v>
      </c>
      <c r="Q147" s="14" t="s">
        <v>122</v>
      </c>
      <c r="R147" s="14" t="s">
        <v>209</v>
      </c>
      <c r="S147" s="12" t="s">
        <v>53</v>
      </c>
      <c r="T147" s="11"/>
      <c r="U147" s="12" t="str">
        <f t="shared" si="18"/>
        <v>Y</v>
      </c>
      <c r="V147" s="12" t="str">
        <f t="shared" si="19"/>
        <v>N</v>
      </c>
      <c r="W147" s="12" t="str">
        <f t="shared" si="20"/>
        <v>N</v>
      </c>
      <c r="X147" s="12" t="str">
        <f t="shared" si="21"/>
        <v>Y</v>
      </c>
      <c r="Y147" s="12" t="str">
        <f t="shared" si="22"/>
        <v>N</v>
      </c>
      <c r="Z147" s="12" t="str">
        <f t="shared" si="23"/>
        <v>N</v>
      </c>
      <c r="AA147" s="12">
        <f t="shared" si="24"/>
        <v>3</v>
      </c>
      <c r="AB147" s="12" t="str">
        <f t="shared" si="25"/>
        <v>ELEVATED MULTI-SIGNAL</v>
      </c>
      <c r="AC147" s="14" t="str">
        <f t="shared" si="26"/>
        <v>Settlement Authorization | Pending QME | Automated Claim Alert</v>
      </c>
    </row>
    <row r="148" spans="1:29" x14ac:dyDescent="0.45">
      <c r="A148" s="2" t="s">
        <v>525</v>
      </c>
      <c r="B148" s="2" t="s">
        <v>526</v>
      </c>
      <c r="C148" s="2" t="s">
        <v>497</v>
      </c>
      <c r="D148" s="2" t="s">
        <v>527</v>
      </c>
      <c r="E148" s="11">
        <v>44498</v>
      </c>
      <c r="F148" s="12" t="s">
        <v>51</v>
      </c>
      <c r="G148" s="13">
        <v>113500</v>
      </c>
      <c r="H148" s="12" t="s">
        <v>71</v>
      </c>
      <c r="I148" s="11">
        <v>44732</v>
      </c>
      <c r="J148" s="12" t="s">
        <v>53</v>
      </c>
      <c r="K148" s="11"/>
      <c r="L148" s="12" t="s">
        <v>53</v>
      </c>
      <c r="M148" s="12" t="s">
        <v>53</v>
      </c>
      <c r="N148" s="11"/>
      <c r="O148" s="12"/>
      <c r="P148" s="12" t="s">
        <v>53</v>
      </c>
      <c r="Q148" s="14"/>
      <c r="R148" s="14"/>
      <c r="S148" s="12" t="s">
        <v>53</v>
      </c>
      <c r="T148" s="11"/>
      <c r="U148" s="12" t="str">
        <f t="shared" si="18"/>
        <v>N</v>
      </c>
      <c r="V148" s="12" t="str">
        <f t="shared" si="19"/>
        <v>N</v>
      </c>
      <c r="W148" s="12" t="str">
        <f t="shared" si="20"/>
        <v>N</v>
      </c>
      <c r="X148" s="12" t="str">
        <f t="shared" si="21"/>
        <v>N</v>
      </c>
      <c r="Y148" s="12" t="str">
        <f t="shared" si="22"/>
        <v>N</v>
      </c>
      <c r="Z148" s="12" t="str">
        <f t="shared" si="23"/>
        <v>N</v>
      </c>
      <c r="AA148" s="12">
        <f t="shared" si="24"/>
        <v>1</v>
      </c>
      <c r="AB148" s="12" t="str">
        <f t="shared" si="25"/>
        <v>SINGLE-SIGNAL</v>
      </c>
      <c r="AC148" s="14" t="str">
        <f t="shared" si="26"/>
        <v>Settlement Authorization</v>
      </c>
    </row>
    <row r="149" spans="1:29" x14ac:dyDescent="0.45">
      <c r="A149" s="2" t="s">
        <v>528</v>
      </c>
      <c r="B149" s="2" t="s">
        <v>529</v>
      </c>
      <c r="C149" s="2" t="s">
        <v>497</v>
      </c>
      <c r="D149" s="2" t="s">
        <v>431</v>
      </c>
      <c r="E149" s="11">
        <v>43614</v>
      </c>
      <c r="F149" s="12" t="s">
        <v>53</v>
      </c>
      <c r="G149" s="13"/>
      <c r="H149" s="12"/>
      <c r="I149" s="11"/>
      <c r="J149" s="12" t="s">
        <v>51</v>
      </c>
      <c r="K149" s="11">
        <v>44431</v>
      </c>
      <c r="L149" s="12" t="s">
        <v>53</v>
      </c>
      <c r="M149" s="12" t="s">
        <v>53</v>
      </c>
      <c r="N149" s="11"/>
      <c r="O149" s="12"/>
      <c r="P149" s="12" t="s">
        <v>53</v>
      </c>
      <c r="Q149" s="14"/>
      <c r="R149" s="14"/>
      <c r="S149" s="12" t="s">
        <v>53</v>
      </c>
      <c r="T149" s="11"/>
      <c r="U149" s="12" t="str">
        <f t="shared" si="18"/>
        <v>N</v>
      </c>
      <c r="V149" s="12" t="str">
        <f t="shared" si="19"/>
        <v>N</v>
      </c>
      <c r="W149" s="12" t="str">
        <f t="shared" si="20"/>
        <v>N</v>
      </c>
      <c r="X149" s="12" t="str">
        <f t="shared" si="21"/>
        <v>N</v>
      </c>
      <c r="Y149" s="12" t="str">
        <f t="shared" si="22"/>
        <v>N</v>
      </c>
      <c r="Z149" s="12" t="str">
        <f t="shared" si="23"/>
        <v>N</v>
      </c>
      <c r="AA149" s="12">
        <f t="shared" si="24"/>
        <v>1</v>
      </c>
      <c r="AB149" s="12" t="str">
        <f t="shared" si="25"/>
        <v>SINGLE-SIGNAL</v>
      </c>
      <c r="AC149" s="14" t="str">
        <f t="shared" si="26"/>
        <v>Open Stipulation</v>
      </c>
    </row>
    <row r="150" spans="1:29" x14ac:dyDescent="0.45">
      <c r="A150" s="2" t="s">
        <v>530</v>
      </c>
      <c r="B150" s="2" t="s">
        <v>531</v>
      </c>
      <c r="C150" s="2" t="s">
        <v>497</v>
      </c>
      <c r="D150" s="2" t="s">
        <v>397</v>
      </c>
      <c r="E150" s="11">
        <v>44402</v>
      </c>
      <c r="F150" s="12" t="s">
        <v>51</v>
      </c>
      <c r="G150" s="13">
        <v>129500</v>
      </c>
      <c r="H150" s="12" t="s">
        <v>242</v>
      </c>
      <c r="I150" s="11">
        <v>44904</v>
      </c>
      <c r="J150" s="12" t="s">
        <v>53</v>
      </c>
      <c r="K150" s="11"/>
      <c r="L150" s="12" t="s">
        <v>53</v>
      </c>
      <c r="M150" s="12" t="s">
        <v>53</v>
      </c>
      <c r="N150" s="11"/>
      <c r="O150" s="12"/>
      <c r="P150" s="12" t="s">
        <v>53</v>
      </c>
      <c r="Q150" s="14"/>
      <c r="R150" s="14"/>
      <c r="S150" s="12" t="s">
        <v>53</v>
      </c>
      <c r="T150" s="11"/>
      <c r="U150" s="12" t="str">
        <f t="shared" si="18"/>
        <v>N</v>
      </c>
      <c r="V150" s="12" t="str">
        <f t="shared" si="19"/>
        <v>N</v>
      </c>
      <c r="W150" s="12" t="str">
        <f t="shared" si="20"/>
        <v>N</v>
      </c>
      <c r="X150" s="12" t="str">
        <f t="shared" si="21"/>
        <v>N</v>
      </c>
      <c r="Y150" s="12" t="str">
        <f t="shared" si="22"/>
        <v>N</v>
      </c>
      <c r="Z150" s="12" t="str">
        <f t="shared" si="23"/>
        <v>N</v>
      </c>
      <c r="AA150" s="12">
        <f t="shared" si="24"/>
        <v>1</v>
      </c>
      <c r="AB150" s="12" t="str">
        <f t="shared" si="25"/>
        <v>SINGLE-SIGNAL</v>
      </c>
      <c r="AC150" s="14" t="str">
        <f t="shared" si="26"/>
        <v>Settlement Authorization</v>
      </c>
    </row>
    <row r="151" spans="1:29" ht="42.75" x14ac:dyDescent="0.45">
      <c r="A151" s="2" t="s">
        <v>532</v>
      </c>
      <c r="B151" s="2" t="s">
        <v>533</v>
      </c>
      <c r="C151" s="2" t="s">
        <v>497</v>
      </c>
      <c r="D151" s="2" t="s">
        <v>142</v>
      </c>
      <c r="E151" s="11">
        <v>43347</v>
      </c>
      <c r="F151" s="12" t="s">
        <v>53</v>
      </c>
      <c r="G151" s="13"/>
      <c r="H151" s="12"/>
      <c r="I151" s="11"/>
      <c r="J151" s="12" t="s">
        <v>53</v>
      </c>
      <c r="K151" s="11"/>
      <c r="L151" s="12"/>
      <c r="M151" s="12" t="s">
        <v>53</v>
      </c>
      <c r="N151" s="11"/>
      <c r="O151" s="12"/>
      <c r="P151" s="12" t="s">
        <v>51</v>
      </c>
      <c r="Q151" s="14" t="s">
        <v>534</v>
      </c>
      <c r="R151" s="14" t="s">
        <v>222</v>
      </c>
      <c r="S151" s="12" t="s">
        <v>53</v>
      </c>
      <c r="T151" s="11"/>
      <c r="U151" s="12" t="str">
        <f t="shared" si="18"/>
        <v>N</v>
      </c>
      <c r="V151" s="12" t="str">
        <f t="shared" si="19"/>
        <v>Y</v>
      </c>
      <c r="W151" s="12" t="str">
        <f t="shared" si="20"/>
        <v>Y</v>
      </c>
      <c r="X151" s="12" t="str">
        <f t="shared" si="21"/>
        <v>Y</v>
      </c>
      <c r="Y151" s="12" t="str">
        <f t="shared" si="22"/>
        <v>Y</v>
      </c>
      <c r="Z151" s="12" t="str">
        <f t="shared" si="23"/>
        <v>N</v>
      </c>
      <c r="AA151" s="12">
        <f t="shared" si="24"/>
        <v>1</v>
      </c>
      <c r="AB151" s="12" t="str">
        <f t="shared" si="25"/>
        <v>SINGLE-SIGNAL</v>
      </c>
      <c r="AC151" s="14" t="str">
        <f t="shared" si="26"/>
        <v>Automated Claim Alert</v>
      </c>
    </row>
    <row r="152" spans="1:29" ht="42.75" x14ac:dyDescent="0.45">
      <c r="A152" s="2" t="s">
        <v>535</v>
      </c>
      <c r="B152" s="2" t="s">
        <v>536</v>
      </c>
      <c r="C152" s="2" t="s">
        <v>497</v>
      </c>
      <c r="D152" s="2" t="s">
        <v>537</v>
      </c>
      <c r="E152" s="11">
        <v>45624</v>
      </c>
      <c r="F152" s="12" t="s">
        <v>53</v>
      </c>
      <c r="G152" s="13"/>
      <c r="H152" s="12"/>
      <c r="I152" s="11"/>
      <c r="J152" s="12" t="s">
        <v>53</v>
      </c>
      <c r="K152" s="11"/>
      <c r="L152" s="12"/>
      <c r="M152" s="12" t="s">
        <v>53</v>
      </c>
      <c r="N152" s="11"/>
      <c r="O152" s="12"/>
      <c r="P152" s="12" t="s">
        <v>51</v>
      </c>
      <c r="Q152" s="14" t="s">
        <v>538</v>
      </c>
      <c r="R152" s="14" t="s">
        <v>149</v>
      </c>
      <c r="S152" s="12" t="s">
        <v>53</v>
      </c>
      <c r="T152" s="11"/>
      <c r="U152" s="12" t="str">
        <f t="shared" si="18"/>
        <v>Y</v>
      </c>
      <c r="V152" s="12" t="str">
        <f t="shared" si="19"/>
        <v>Y</v>
      </c>
      <c r="W152" s="12" t="str">
        <f t="shared" si="20"/>
        <v>N</v>
      </c>
      <c r="X152" s="12" t="str">
        <f t="shared" si="21"/>
        <v>Y</v>
      </c>
      <c r="Y152" s="12" t="str">
        <f t="shared" si="22"/>
        <v>N</v>
      </c>
      <c r="Z152" s="12" t="str">
        <f t="shared" si="23"/>
        <v>Y</v>
      </c>
      <c r="AA152" s="12">
        <f t="shared" si="24"/>
        <v>1</v>
      </c>
      <c r="AB152" s="12" t="str">
        <f t="shared" si="25"/>
        <v>SINGLE-SIGNAL</v>
      </c>
      <c r="AC152" s="14" t="str">
        <f t="shared" si="26"/>
        <v>Automated Claim Alert</v>
      </c>
    </row>
    <row r="153" spans="1:29" ht="42.75" x14ac:dyDescent="0.45">
      <c r="A153" s="2" t="s">
        <v>539</v>
      </c>
      <c r="B153" s="2" t="s">
        <v>540</v>
      </c>
      <c r="C153" s="2" t="s">
        <v>497</v>
      </c>
      <c r="D153" s="2" t="s">
        <v>207</v>
      </c>
      <c r="E153" s="11">
        <v>44789</v>
      </c>
      <c r="F153" s="12" t="s">
        <v>51</v>
      </c>
      <c r="G153" s="13">
        <v>168500</v>
      </c>
      <c r="H153" s="12" t="s">
        <v>52</v>
      </c>
      <c r="I153" s="11">
        <v>45733</v>
      </c>
      <c r="J153" s="12" t="s">
        <v>53</v>
      </c>
      <c r="K153" s="11"/>
      <c r="L153" s="12" t="s">
        <v>51</v>
      </c>
      <c r="M153" s="12" t="s">
        <v>53</v>
      </c>
      <c r="N153" s="11"/>
      <c r="O153" s="12"/>
      <c r="P153" s="12" t="s">
        <v>51</v>
      </c>
      <c r="Q153" s="14" t="s">
        <v>541</v>
      </c>
      <c r="R153" s="14" t="s">
        <v>222</v>
      </c>
      <c r="S153" s="12" t="s">
        <v>53</v>
      </c>
      <c r="T153" s="11"/>
      <c r="U153" s="12" t="str">
        <f t="shared" si="18"/>
        <v>Y</v>
      </c>
      <c r="V153" s="12" t="str">
        <f t="shared" si="19"/>
        <v>Y</v>
      </c>
      <c r="W153" s="12" t="str">
        <f t="shared" si="20"/>
        <v>N</v>
      </c>
      <c r="X153" s="12" t="str">
        <f t="shared" si="21"/>
        <v>Y</v>
      </c>
      <c r="Y153" s="12" t="str">
        <f t="shared" si="22"/>
        <v>Y</v>
      </c>
      <c r="Z153" s="12" t="str">
        <f t="shared" si="23"/>
        <v>N</v>
      </c>
      <c r="AA153" s="12">
        <f t="shared" si="24"/>
        <v>2</v>
      </c>
      <c r="AB153" s="12" t="str">
        <f t="shared" si="25"/>
        <v>MULTI-SIGNAL</v>
      </c>
      <c r="AC153" s="14" t="str">
        <f t="shared" si="26"/>
        <v>Settlement Authorization | Automated Claim Alert</v>
      </c>
    </row>
    <row r="154" spans="1:29" ht="28.5" x14ac:dyDescent="0.45">
      <c r="A154" s="2" t="s">
        <v>542</v>
      </c>
      <c r="B154" s="2" t="s">
        <v>543</v>
      </c>
      <c r="C154" s="2" t="s">
        <v>497</v>
      </c>
      <c r="D154" s="2" t="s">
        <v>96</v>
      </c>
      <c r="E154" s="11">
        <v>44839</v>
      </c>
      <c r="F154" s="12" t="s">
        <v>51</v>
      </c>
      <c r="G154" s="13">
        <v>111750</v>
      </c>
      <c r="H154" s="12" t="s">
        <v>89</v>
      </c>
      <c r="I154" s="11">
        <v>45584</v>
      </c>
      <c r="J154" s="12" t="s">
        <v>53</v>
      </c>
      <c r="K154" s="11"/>
      <c r="L154" s="12" t="s">
        <v>51</v>
      </c>
      <c r="M154" s="12" t="s">
        <v>53</v>
      </c>
      <c r="N154" s="11"/>
      <c r="O154" s="12"/>
      <c r="P154" s="12" t="s">
        <v>51</v>
      </c>
      <c r="Q154" s="14" t="s">
        <v>544</v>
      </c>
      <c r="R154" s="14" t="s">
        <v>61</v>
      </c>
      <c r="S154" s="12" t="s">
        <v>53</v>
      </c>
      <c r="T154" s="11"/>
      <c r="U154" s="12" t="str">
        <f t="shared" si="18"/>
        <v>Y</v>
      </c>
      <c r="V154" s="12" t="str">
        <f t="shared" si="19"/>
        <v>Y</v>
      </c>
      <c r="W154" s="12" t="str">
        <f t="shared" si="20"/>
        <v>N</v>
      </c>
      <c r="X154" s="12" t="str">
        <f t="shared" si="21"/>
        <v>Y</v>
      </c>
      <c r="Y154" s="12" t="str">
        <f t="shared" si="22"/>
        <v>Y</v>
      </c>
      <c r="Z154" s="12" t="str">
        <f t="shared" si="23"/>
        <v>Y</v>
      </c>
      <c r="AA154" s="12">
        <f t="shared" si="24"/>
        <v>2</v>
      </c>
      <c r="AB154" s="12" t="str">
        <f t="shared" si="25"/>
        <v>MULTI-SIGNAL</v>
      </c>
      <c r="AC154" s="14" t="str">
        <f t="shared" si="26"/>
        <v>Settlement Authorization | Automated Claim Alert</v>
      </c>
    </row>
    <row r="155" spans="1:29" x14ac:dyDescent="0.45">
      <c r="A155" s="2" t="s">
        <v>545</v>
      </c>
      <c r="B155" s="2" t="s">
        <v>546</v>
      </c>
      <c r="C155" s="2" t="s">
        <v>497</v>
      </c>
      <c r="D155" s="2" t="s">
        <v>368</v>
      </c>
      <c r="E155" s="11">
        <v>43986</v>
      </c>
      <c r="F155" s="12" t="s">
        <v>51</v>
      </c>
      <c r="G155" s="13">
        <v>138750</v>
      </c>
      <c r="H155" s="12" t="s">
        <v>277</v>
      </c>
      <c r="I155" s="11">
        <v>45154</v>
      </c>
      <c r="J155" s="12" t="s">
        <v>53</v>
      </c>
      <c r="K155" s="11"/>
      <c r="L155" s="12" t="s">
        <v>51</v>
      </c>
      <c r="M155" s="12" t="s">
        <v>53</v>
      </c>
      <c r="N155" s="11"/>
      <c r="O155" s="12"/>
      <c r="P155" s="12" t="s">
        <v>53</v>
      </c>
      <c r="Q155" s="14"/>
      <c r="R155" s="14"/>
      <c r="S155" s="12" t="s">
        <v>53</v>
      </c>
      <c r="T155" s="11"/>
      <c r="U155" s="12" t="str">
        <f t="shared" si="18"/>
        <v>N</v>
      </c>
      <c r="V155" s="12" t="str">
        <f t="shared" si="19"/>
        <v>N</v>
      </c>
      <c r="W155" s="12" t="str">
        <f t="shared" si="20"/>
        <v>N</v>
      </c>
      <c r="X155" s="12" t="str">
        <f t="shared" si="21"/>
        <v>N</v>
      </c>
      <c r="Y155" s="12" t="str">
        <f t="shared" si="22"/>
        <v>N</v>
      </c>
      <c r="Z155" s="12" t="str">
        <f t="shared" si="23"/>
        <v>N</v>
      </c>
      <c r="AA155" s="12">
        <f t="shared" si="24"/>
        <v>1</v>
      </c>
      <c r="AB155" s="12" t="str">
        <f t="shared" si="25"/>
        <v>SINGLE-SIGNAL</v>
      </c>
      <c r="AC155" s="14" t="str">
        <f t="shared" si="26"/>
        <v>Settlement Authorization</v>
      </c>
    </row>
    <row r="156" spans="1:29" ht="28.5" x14ac:dyDescent="0.45">
      <c r="A156" s="2" t="s">
        <v>547</v>
      </c>
      <c r="B156" s="2" t="s">
        <v>548</v>
      </c>
      <c r="C156" s="2" t="s">
        <v>497</v>
      </c>
      <c r="D156" s="2" t="s">
        <v>81</v>
      </c>
      <c r="E156" s="11">
        <v>43843</v>
      </c>
      <c r="F156" s="12" t="s">
        <v>51</v>
      </c>
      <c r="G156" s="13">
        <v>23750</v>
      </c>
      <c r="H156" s="12" t="s">
        <v>52</v>
      </c>
      <c r="I156" s="11">
        <v>45487</v>
      </c>
      <c r="J156" s="12" t="s">
        <v>51</v>
      </c>
      <c r="K156" s="11">
        <v>44723</v>
      </c>
      <c r="L156" s="12" t="s">
        <v>53</v>
      </c>
      <c r="M156" s="12" t="s">
        <v>53</v>
      </c>
      <c r="N156" s="11"/>
      <c r="O156" s="12"/>
      <c r="P156" s="12" t="s">
        <v>51</v>
      </c>
      <c r="Q156" s="14" t="s">
        <v>227</v>
      </c>
      <c r="R156" s="14" t="s">
        <v>321</v>
      </c>
      <c r="S156" s="12" t="s">
        <v>53</v>
      </c>
      <c r="T156" s="11"/>
      <c r="U156" s="12" t="str">
        <f t="shared" si="18"/>
        <v>N</v>
      </c>
      <c r="V156" s="12" t="str">
        <f t="shared" si="19"/>
        <v>Y</v>
      </c>
      <c r="W156" s="12" t="str">
        <f t="shared" si="20"/>
        <v>N</v>
      </c>
      <c r="X156" s="12" t="str">
        <f t="shared" si="21"/>
        <v>N</v>
      </c>
      <c r="Y156" s="12" t="str">
        <f t="shared" si="22"/>
        <v>Y</v>
      </c>
      <c r="Z156" s="12" t="str">
        <f t="shared" si="23"/>
        <v>Y</v>
      </c>
      <c r="AA156" s="12">
        <f t="shared" si="24"/>
        <v>3</v>
      </c>
      <c r="AB156" s="12" t="str">
        <f t="shared" si="25"/>
        <v>ELEVATED MULTI-SIGNAL</v>
      </c>
      <c r="AC156" s="14" t="str">
        <f t="shared" si="26"/>
        <v>Settlement Authorization | Open Stipulation | Automated Claim Alert</v>
      </c>
    </row>
    <row r="157" spans="1:29" ht="28.5" x14ac:dyDescent="0.45">
      <c r="A157" s="2" t="s">
        <v>549</v>
      </c>
      <c r="B157" s="2" t="s">
        <v>550</v>
      </c>
      <c r="C157" s="2" t="s">
        <v>497</v>
      </c>
      <c r="D157" s="2" t="s">
        <v>551</v>
      </c>
      <c r="E157" s="11">
        <v>44259</v>
      </c>
      <c r="F157" s="12" t="s">
        <v>51</v>
      </c>
      <c r="G157" s="13">
        <v>107000</v>
      </c>
      <c r="H157" s="12" t="s">
        <v>93</v>
      </c>
      <c r="I157" s="11">
        <v>45488</v>
      </c>
      <c r="J157" s="12" t="s">
        <v>53</v>
      </c>
      <c r="K157" s="11"/>
      <c r="L157" s="12" t="s">
        <v>53</v>
      </c>
      <c r="M157" s="12" t="s">
        <v>53</v>
      </c>
      <c r="N157" s="11"/>
      <c r="O157" s="12"/>
      <c r="P157" s="12" t="s">
        <v>51</v>
      </c>
      <c r="Q157" s="14" t="s">
        <v>552</v>
      </c>
      <c r="R157" s="14" t="s">
        <v>350</v>
      </c>
      <c r="S157" s="12" t="s">
        <v>53</v>
      </c>
      <c r="T157" s="11"/>
      <c r="U157" s="12" t="str">
        <f t="shared" si="18"/>
        <v>Y</v>
      </c>
      <c r="V157" s="12" t="str">
        <f t="shared" si="19"/>
        <v>N</v>
      </c>
      <c r="W157" s="12" t="str">
        <f t="shared" si="20"/>
        <v>Y</v>
      </c>
      <c r="X157" s="12" t="str">
        <f t="shared" si="21"/>
        <v>Y</v>
      </c>
      <c r="Y157" s="12" t="str">
        <f t="shared" si="22"/>
        <v>Y</v>
      </c>
      <c r="Z157" s="12" t="str">
        <f t="shared" si="23"/>
        <v>Y</v>
      </c>
      <c r="AA157" s="12">
        <f t="shared" si="24"/>
        <v>2</v>
      </c>
      <c r="AB157" s="12" t="str">
        <f t="shared" si="25"/>
        <v>MULTI-SIGNAL</v>
      </c>
      <c r="AC157" s="14" t="str">
        <f t="shared" si="26"/>
        <v>Settlement Authorization | Automated Claim Alert</v>
      </c>
    </row>
    <row r="158" spans="1:29" x14ac:dyDescent="0.45">
      <c r="A158" s="2" t="s">
        <v>553</v>
      </c>
      <c r="B158" s="2" t="s">
        <v>554</v>
      </c>
      <c r="C158" s="2" t="s">
        <v>497</v>
      </c>
      <c r="D158" s="2" t="s">
        <v>394</v>
      </c>
      <c r="E158" s="11">
        <v>44587</v>
      </c>
      <c r="F158" s="12" t="s">
        <v>53</v>
      </c>
      <c r="G158" s="13"/>
      <c r="H158" s="12"/>
      <c r="I158" s="11"/>
      <c r="J158" s="12" t="s">
        <v>51</v>
      </c>
      <c r="K158" s="11">
        <v>45154</v>
      </c>
      <c r="L158" s="12" t="s">
        <v>51</v>
      </c>
      <c r="M158" s="12" t="s">
        <v>53</v>
      </c>
      <c r="N158" s="11"/>
      <c r="O158" s="12"/>
      <c r="P158" s="12" t="s">
        <v>53</v>
      </c>
      <c r="Q158" s="14"/>
      <c r="R158" s="14"/>
      <c r="S158" s="12" t="s">
        <v>53</v>
      </c>
      <c r="T158" s="11"/>
      <c r="U158" s="12" t="str">
        <f t="shared" si="18"/>
        <v>N</v>
      </c>
      <c r="V158" s="12" t="str">
        <f t="shared" si="19"/>
        <v>N</v>
      </c>
      <c r="W158" s="12" t="str">
        <f t="shared" si="20"/>
        <v>N</v>
      </c>
      <c r="X158" s="12" t="str">
        <f t="shared" si="21"/>
        <v>N</v>
      </c>
      <c r="Y158" s="12" t="str">
        <f t="shared" si="22"/>
        <v>N</v>
      </c>
      <c r="Z158" s="12" t="str">
        <f t="shared" si="23"/>
        <v>N</v>
      </c>
      <c r="AA158" s="12">
        <f t="shared" si="24"/>
        <v>1</v>
      </c>
      <c r="AB158" s="12" t="str">
        <f t="shared" si="25"/>
        <v>SINGLE-SIGNAL</v>
      </c>
      <c r="AC158" s="14" t="str">
        <f t="shared" si="26"/>
        <v>Open Stipulation</v>
      </c>
    </row>
    <row r="159" spans="1:29" x14ac:dyDescent="0.45">
      <c r="A159" s="2" t="s">
        <v>555</v>
      </c>
      <c r="B159" s="2" t="s">
        <v>556</v>
      </c>
      <c r="C159" s="2" t="s">
        <v>497</v>
      </c>
      <c r="D159" s="2" t="s">
        <v>353</v>
      </c>
      <c r="E159" s="11">
        <v>45429</v>
      </c>
      <c r="F159" s="12" t="s">
        <v>51</v>
      </c>
      <c r="G159" s="13">
        <v>123750</v>
      </c>
      <c r="H159" s="12" t="s">
        <v>277</v>
      </c>
      <c r="I159" s="11">
        <v>45594</v>
      </c>
      <c r="J159" s="12" t="s">
        <v>53</v>
      </c>
      <c r="K159" s="11"/>
      <c r="L159" s="12" t="s">
        <v>51</v>
      </c>
      <c r="M159" s="12" t="s">
        <v>53</v>
      </c>
      <c r="N159" s="11"/>
      <c r="O159" s="12"/>
      <c r="P159" s="12" t="s">
        <v>53</v>
      </c>
      <c r="Q159" s="14"/>
      <c r="R159" s="14"/>
      <c r="S159" s="12" t="s">
        <v>53</v>
      </c>
      <c r="T159" s="11"/>
      <c r="U159" s="12" t="str">
        <f t="shared" si="18"/>
        <v>N</v>
      </c>
      <c r="V159" s="12" t="str">
        <f t="shared" si="19"/>
        <v>N</v>
      </c>
      <c r="W159" s="12" t="str">
        <f t="shared" si="20"/>
        <v>N</v>
      </c>
      <c r="X159" s="12" t="str">
        <f t="shared" si="21"/>
        <v>N</v>
      </c>
      <c r="Y159" s="12" t="str">
        <f t="shared" si="22"/>
        <v>N</v>
      </c>
      <c r="Z159" s="12" t="str">
        <f t="shared" si="23"/>
        <v>N</v>
      </c>
      <c r="AA159" s="12">
        <f t="shared" si="24"/>
        <v>1</v>
      </c>
      <c r="AB159" s="12" t="str">
        <f t="shared" si="25"/>
        <v>SINGLE-SIGNAL</v>
      </c>
      <c r="AC159" s="14" t="str">
        <f t="shared" si="26"/>
        <v>Settlement Authorization</v>
      </c>
    </row>
    <row r="160" spans="1:29" ht="28.5" x14ac:dyDescent="0.45">
      <c r="A160" s="2" t="s">
        <v>557</v>
      </c>
      <c r="B160" s="2" t="s">
        <v>558</v>
      </c>
      <c r="C160" s="2" t="s">
        <v>497</v>
      </c>
      <c r="D160" s="2" t="s">
        <v>559</v>
      </c>
      <c r="E160" s="11">
        <v>45144</v>
      </c>
      <c r="F160" s="12" t="s">
        <v>53</v>
      </c>
      <c r="G160" s="13"/>
      <c r="H160" s="12"/>
      <c r="I160" s="11"/>
      <c r="J160" s="12" t="s">
        <v>53</v>
      </c>
      <c r="K160" s="11"/>
      <c r="L160" s="12"/>
      <c r="M160" s="12" t="s">
        <v>53</v>
      </c>
      <c r="N160" s="11"/>
      <c r="O160" s="12"/>
      <c r="P160" s="12" t="s">
        <v>51</v>
      </c>
      <c r="Q160" s="14" t="s">
        <v>560</v>
      </c>
      <c r="R160" s="14" t="s">
        <v>122</v>
      </c>
      <c r="S160" s="12" t="s">
        <v>53</v>
      </c>
      <c r="T160" s="11"/>
      <c r="U160" s="12" t="str">
        <f t="shared" si="18"/>
        <v>N</v>
      </c>
      <c r="V160" s="12" t="str">
        <f t="shared" si="19"/>
        <v>Y</v>
      </c>
      <c r="W160" s="12" t="str">
        <f t="shared" si="20"/>
        <v>N</v>
      </c>
      <c r="X160" s="12" t="str">
        <f t="shared" si="21"/>
        <v>Y</v>
      </c>
      <c r="Y160" s="12" t="str">
        <f t="shared" si="22"/>
        <v>Y</v>
      </c>
      <c r="Z160" s="12" t="str">
        <f t="shared" si="23"/>
        <v>N</v>
      </c>
      <c r="AA160" s="12">
        <f t="shared" si="24"/>
        <v>1</v>
      </c>
      <c r="AB160" s="12" t="str">
        <f t="shared" si="25"/>
        <v>SINGLE-SIGNAL</v>
      </c>
      <c r="AC160" s="14" t="str">
        <f t="shared" si="26"/>
        <v>Automated Claim Alert</v>
      </c>
    </row>
    <row r="161" spans="1:29" x14ac:dyDescent="0.45">
      <c r="A161" s="2" t="s">
        <v>561</v>
      </c>
      <c r="B161" s="2" t="s">
        <v>562</v>
      </c>
      <c r="C161" s="2" t="s">
        <v>497</v>
      </c>
      <c r="D161" s="2" t="s">
        <v>563</v>
      </c>
      <c r="E161" s="11">
        <v>45912</v>
      </c>
      <c r="F161" s="12" t="s">
        <v>53</v>
      </c>
      <c r="G161" s="13"/>
      <c r="H161" s="12"/>
      <c r="I161" s="11"/>
      <c r="J161" s="12" t="s">
        <v>53</v>
      </c>
      <c r="K161" s="11"/>
      <c r="L161" s="12"/>
      <c r="M161" s="12" t="s">
        <v>51</v>
      </c>
      <c r="N161" s="11">
        <v>47092</v>
      </c>
      <c r="O161" s="12" t="s">
        <v>286</v>
      </c>
      <c r="P161" s="12" t="s">
        <v>53</v>
      </c>
      <c r="Q161" s="14"/>
      <c r="R161" s="14"/>
      <c r="S161" s="12" t="s">
        <v>53</v>
      </c>
      <c r="T161" s="11"/>
      <c r="U161" s="12" t="str">
        <f t="shared" si="18"/>
        <v>N</v>
      </c>
      <c r="V161" s="12" t="str">
        <f t="shared" si="19"/>
        <v>N</v>
      </c>
      <c r="W161" s="12" t="str">
        <f t="shared" si="20"/>
        <v>N</v>
      </c>
      <c r="X161" s="12" t="str">
        <f t="shared" si="21"/>
        <v>N</v>
      </c>
      <c r="Y161" s="12" t="str">
        <f t="shared" si="22"/>
        <v>N</v>
      </c>
      <c r="Z161" s="12" t="str">
        <f t="shared" si="23"/>
        <v>N</v>
      </c>
      <c r="AA161" s="12">
        <f t="shared" si="24"/>
        <v>1</v>
      </c>
      <c r="AB161" s="12" t="str">
        <f t="shared" si="25"/>
        <v>SINGLE-SIGNAL</v>
      </c>
      <c r="AC161" s="14" t="str">
        <f t="shared" si="26"/>
        <v>Pending QME</v>
      </c>
    </row>
    <row r="162" spans="1:29" x14ac:dyDescent="0.45">
      <c r="A162" s="2" t="s">
        <v>564</v>
      </c>
      <c r="B162" s="2" t="s">
        <v>565</v>
      </c>
      <c r="C162" s="2" t="s">
        <v>497</v>
      </c>
      <c r="D162" s="2" t="s">
        <v>161</v>
      </c>
      <c r="E162" s="11">
        <v>45372</v>
      </c>
      <c r="F162" s="12" t="s">
        <v>51</v>
      </c>
      <c r="G162" s="13">
        <v>141500</v>
      </c>
      <c r="H162" s="12" t="s">
        <v>109</v>
      </c>
      <c r="I162" s="11">
        <v>45578</v>
      </c>
      <c r="J162" s="12" t="s">
        <v>53</v>
      </c>
      <c r="K162" s="11"/>
      <c r="L162" s="12" t="s">
        <v>53</v>
      </c>
      <c r="M162" s="12" t="s">
        <v>53</v>
      </c>
      <c r="N162" s="11"/>
      <c r="O162" s="12"/>
      <c r="P162" s="12" t="s">
        <v>53</v>
      </c>
      <c r="Q162" s="14"/>
      <c r="R162" s="14"/>
      <c r="S162" s="12" t="s">
        <v>53</v>
      </c>
      <c r="T162" s="11"/>
      <c r="U162" s="12" t="str">
        <f t="shared" si="18"/>
        <v>N</v>
      </c>
      <c r="V162" s="12" t="str">
        <f t="shared" si="19"/>
        <v>N</v>
      </c>
      <c r="W162" s="12" t="str">
        <f t="shared" si="20"/>
        <v>N</v>
      </c>
      <c r="X162" s="12" t="str">
        <f t="shared" si="21"/>
        <v>N</v>
      </c>
      <c r="Y162" s="12" t="str">
        <f t="shared" si="22"/>
        <v>N</v>
      </c>
      <c r="Z162" s="12" t="str">
        <f t="shared" si="23"/>
        <v>N</v>
      </c>
      <c r="AA162" s="12">
        <f t="shared" si="24"/>
        <v>1</v>
      </c>
      <c r="AB162" s="12" t="str">
        <f t="shared" si="25"/>
        <v>SINGLE-SIGNAL</v>
      </c>
      <c r="AC162" s="14" t="str">
        <f t="shared" si="26"/>
        <v>Settlement Authorization</v>
      </c>
    </row>
    <row r="163" spans="1:29" x14ac:dyDescent="0.45">
      <c r="A163" s="2" t="s">
        <v>566</v>
      </c>
      <c r="B163" s="2" t="s">
        <v>567</v>
      </c>
      <c r="C163" s="2" t="s">
        <v>497</v>
      </c>
      <c r="D163" s="2" t="s">
        <v>568</v>
      </c>
      <c r="E163" s="11">
        <v>45716</v>
      </c>
      <c r="F163" s="12" t="s">
        <v>51</v>
      </c>
      <c r="G163" s="13">
        <v>69000</v>
      </c>
      <c r="H163" s="12" t="s">
        <v>277</v>
      </c>
      <c r="I163" s="11">
        <v>47271</v>
      </c>
      <c r="J163" s="12" t="s">
        <v>53</v>
      </c>
      <c r="K163" s="11"/>
      <c r="L163" s="12" t="s">
        <v>53</v>
      </c>
      <c r="M163" s="12" t="s">
        <v>53</v>
      </c>
      <c r="N163" s="11"/>
      <c r="O163" s="12"/>
      <c r="P163" s="12" t="s">
        <v>53</v>
      </c>
      <c r="Q163" s="14"/>
      <c r="R163" s="14"/>
      <c r="S163" s="12" t="s">
        <v>53</v>
      </c>
      <c r="T163" s="11"/>
      <c r="U163" s="12" t="str">
        <f t="shared" si="18"/>
        <v>N</v>
      </c>
      <c r="V163" s="12" t="str">
        <f t="shared" si="19"/>
        <v>N</v>
      </c>
      <c r="W163" s="12" t="str">
        <f t="shared" si="20"/>
        <v>N</v>
      </c>
      <c r="X163" s="12" t="str">
        <f t="shared" si="21"/>
        <v>N</v>
      </c>
      <c r="Y163" s="12" t="str">
        <f t="shared" si="22"/>
        <v>N</v>
      </c>
      <c r="Z163" s="12" t="str">
        <f t="shared" si="23"/>
        <v>N</v>
      </c>
      <c r="AA163" s="12">
        <f t="shared" si="24"/>
        <v>1</v>
      </c>
      <c r="AB163" s="12" t="str">
        <f t="shared" si="25"/>
        <v>SINGLE-SIGNAL</v>
      </c>
      <c r="AC163" s="14" t="str">
        <f t="shared" si="26"/>
        <v>Settlement Authorization</v>
      </c>
    </row>
    <row r="164" spans="1:29" x14ac:dyDescent="0.45">
      <c r="A164" s="2" t="s">
        <v>569</v>
      </c>
      <c r="B164" s="2" t="s">
        <v>570</v>
      </c>
      <c r="C164" s="2" t="s">
        <v>497</v>
      </c>
      <c r="D164" s="2" t="s">
        <v>212</v>
      </c>
      <c r="E164" s="11">
        <v>45863</v>
      </c>
      <c r="F164" s="12" t="s">
        <v>51</v>
      </c>
      <c r="G164" s="13">
        <v>79000</v>
      </c>
      <c r="H164" s="12" t="s">
        <v>242</v>
      </c>
      <c r="I164" s="11">
        <v>47640</v>
      </c>
      <c r="J164" s="12" t="s">
        <v>53</v>
      </c>
      <c r="K164" s="11"/>
      <c r="L164" s="12" t="s">
        <v>51</v>
      </c>
      <c r="M164" s="12" t="s">
        <v>53</v>
      </c>
      <c r="N164" s="11"/>
      <c r="O164" s="12"/>
      <c r="P164" s="12" t="s">
        <v>53</v>
      </c>
      <c r="Q164" s="14"/>
      <c r="R164" s="14"/>
      <c r="S164" s="12" t="s">
        <v>53</v>
      </c>
      <c r="T164" s="11"/>
      <c r="U164" s="12" t="str">
        <f t="shared" si="18"/>
        <v>N</v>
      </c>
      <c r="V164" s="12" t="str">
        <f t="shared" si="19"/>
        <v>N</v>
      </c>
      <c r="W164" s="12" t="str">
        <f t="shared" si="20"/>
        <v>N</v>
      </c>
      <c r="X164" s="12" t="str">
        <f t="shared" si="21"/>
        <v>N</v>
      </c>
      <c r="Y164" s="12" t="str">
        <f t="shared" si="22"/>
        <v>N</v>
      </c>
      <c r="Z164" s="12" t="str">
        <f t="shared" si="23"/>
        <v>N</v>
      </c>
      <c r="AA164" s="12">
        <f t="shared" si="24"/>
        <v>1</v>
      </c>
      <c r="AB164" s="12" t="str">
        <f t="shared" si="25"/>
        <v>SINGLE-SIGNAL</v>
      </c>
      <c r="AC164" s="14" t="str">
        <f t="shared" si="26"/>
        <v>Settlement Authorization</v>
      </c>
    </row>
    <row r="165" spans="1:29" x14ac:dyDescent="0.45">
      <c r="A165" s="2" t="s">
        <v>571</v>
      </c>
      <c r="B165" s="2" t="s">
        <v>572</v>
      </c>
      <c r="C165" s="2" t="s">
        <v>497</v>
      </c>
      <c r="D165" s="2" t="s">
        <v>132</v>
      </c>
      <c r="E165" s="11">
        <v>45169</v>
      </c>
      <c r="F165" s="12" t="s">
        <v>53</v>
      </c>
      <c r="G165" s="13"/>
      <c r="H165" s="12"/>
      <c r="I165" s="11"/>
      <c r="J165" s="12" t="s">
        <v>53</v>
      </c>
      <c r="K165" s="11"/>
      <c r="L165" s="12"/>
      <c r="M165" s="12" t="s">
        <v>51</v>
      </c>
      <c r="N165" s="11">
        <v>46795</v>
      </c>
      <c r="O165" s="12" t="s">
        <v>573</v>
      </c>
      <c r="P165" s="12" t="s">
        <v>53</v>
      </c>
      <c r="Q165" s="14"/>
      <c r="R165" s="14"/>
      <c r="S165" s="12" t="s">
        <v>53</v>
      </c>
      <c r="T165" s="11"/>
      <c r="U165" s="12" t="str">
        <f t="shared" si="18"/>
        <v>N</v>
      </c>
      <c r="V165" s="12" t="str">
        <f t="shared" si="19"/>
        <v>N</v>
      </c>
      <c r="W165" s="12" t="str">
        <f t="shared" si="20"/>
        <v>N</v>
      </c>
      <c r="X165" s="12" t="str">
        <f t="shared" si="21"/>
        <v>N</v>
      </c>
      <c r="Y165" s="12" t="str">
        <f t="shared" si="22"/>
        <v>N</v>
      </c>
      <c r="Z165" s="12" t="str">
        <f t="shared" si="23"/>
        <v>N</v>
      </c>
      <c r="AA165" s="12">
        <f t="shared" si="24"/>
        <v>1</v>
      </c>
      <c r="AB165" s="12" t="str">
        <f t="shared" si="25"/>
        <v>SINGLE-SIGNAL</v>
      </c>
      <c r="AC165" s="14" t="str">
        <f t="shared" si="26"/>
        <v>Pending QME</v>
      </c>
    </row>
    <row r="166" spans="1:29" x14ac:dyDescent="0.45">
      <c r="A166" s="2" t="s">
        <v>574</v>
      </c>
      <c r="B166" s="2" t="s">
        <v>575</v>
      </c>
      <c r="C166" s="2" t="s">
        <v>497</v>
      </c>
      <c r="D166" s="2" t="s">
        <v>84</v>
      </c>
      <c r="E166" s="11">
        <v>44151</v>
      </c>
      <c r="F166" s="12" t="s">
        <v>51</v>
      </c>
      <c r="G166" s="13">
        <v>25250</v>
      </c>
      <c r="H166" s="12" t="s">
        <v>78</v>
      </c>
      <c r="I166" s="11">
        <v>44735</v>
      </c>
      <c r="J166" s="12" t="s">
        <v>53</v>
      </c>
      <c r="K166" s="11"/>
      <c r="L166" s="12" t="s">
        <v>51</v>
      </c>
      <c r="M166" s="12" t="s">
        <v>53</v>
      </c>
      <c r="N166" s="11"/>
      <c r="O166" s="12"/>
      <c r="P166" s="12" t="s">
        <v>53</v>
      </c>
      <c r="Q166" s="14"/>
      <c r="R166" s="14"/>
      <c r="S166" s="12" t="s">
        <v>53</v>
      </c>
      <c r="T166" s="11"/>
      <c r="U166" s="12" t="str">
        <f t="shared" si="18"/>
        <v>N</v>
      </c>
      <c r="V166" s="12" t="str">
        <f t="shared" si="19"/>
        <v>N</v>
      </c>
      <c r="W166" s="12" t="str">
        <f t="shared" si="20"/>
        <v>N</v>
      </c>
      <c r="X166" s="12" t="str">
        <f t="shared" si="21"/>
        <v>N</v>
      </c>
      <c r="Y166" s="12" t="str">
        <f t="shared" si="22"/>
        <v>N</v>
      </c>
      <c r="Z166" s="12" t="str">
        <f t="shared" si="23"/>
        <v>N</v>
      </c>
      <c r="AA166" s="12">
        <f t="shared" si="24"/>
        <v>1</v>
      </c>
      <c r="AB166" s="12" t="str">
        <f t="shared" si="25"/>
        <v>SINGLE-SIGNAL</v>
      </c>
      <c r="AC166" s="14" t="str">
        <f t="shared" si="26"/>
        <v>Settlement Authorization</v>
      </c>
    </row>
    <row r="167" spans="1:29" x14ac:dyDescent="0.45">
      <c r="A167" s="2" t="s">
        <v>576</v>
      </c>
      <c r="B167" s="2" t="s">
        <v>577</v>
      </c>
      <c r="C167" s="2" t="s">
        <v>497</v>
      </c>
      <c r="D167" s="2" t="s">
        <v>397</v>
      </c>
      <c r="E167" s="11">
        <v>43264</v>
      </c>
      <c r="F167" s="12" t="s">
        <v>53</v>
      </c>
      <c r="G167" s="13"/>
      <c r="H167" s="12"/>
      <c r="I167" s="11"/>
      <c r="J167" s="12" t="s">
        <v>53</v>
      </c>
      <c r="K167" s="11"/>
      <c r="L167" s="12"/>
      <c r="M167" s="12" t="s">
        <v>53</v>
      </c>
      <c r="N167" s="11"/>
      <c r="O167" s="12"/>
      <c r="P167" s="12" t="s">
        <v>53</v>
      </c>
      <c r="Q167" s="14"/>
      <c r="R167" s="14"/>
      <c r="S167" s="12" t="s">
        <v>51</v>
      </c>
      <c r="T167" s="11">
        <v>45415</v>
      </c>
      <c r="U167" s="12" t="str">
        <f t="shared" si="18"/>
        <v>N</v>
      </c>
      <c r="V167" s="12" t="str">
        <f t="shared" si="19"/>
        <v>N</v>
      </c>
      <c r="W167" s="12" t="str">
        <f t="shared" si="20"/>
        <v>N</v>
      </c>
      <c r="X167" s="12" t="str">
        <f t="shared" si="21"/>
        <v>N</v>
      </c>
      <c r="Y167" s="12" t="str">
        <f t="shared" si="22"/>
        <v>N</v>
      </c>
      <c r="Z167" s="12" t="str">
        <f t="shared" si="23"/>
        <v>N</v>
      </c>
      <c r="AA167" s="12">
        <f t="shared" si="24"/>
        <v>1</v>
      </c>
      <c r="AB167" s="12" t="str">
        <f t="shared" si="25"/>
        <v>SINGLE-SIGNAL</v>
      </c>
      <c r="AC167" s="14" t="str">
        <f t="shared" si="26"/>
        <v>Inactive Customer</v>
      </c>
    </row>
    <row r="168" spans="1:29" x14ac:dyDescent="0.45">
      <c r="A168" s="2" t="s">
        <v>578</v>
      </c>
      <c r="B168" s="2" t="s">
        <v>579</v>
      </c>
      <c r="C168" s="2" t="s">
        <v>497</v>
      </c>
      <c r="D168" s="2" t="s">
        <v>580</v>
      </c>
      <c r="E168" s="11">
        <v>45850</v>
      </c>
      <c r="F168" s="12" t="s">
        <v>51</v>
      </c>
      <c r="G168" s="13">
        <v>117750</v>
      </c>
      <c r="H168" s="12" t="s">
        <v>52</v>
      </c>
      <c r="I168" s="11">
        <v>46699</v>
      </c>
      <c r="J168" s="12" t="s">
        <v>53</v>
      </c>
      <c r="K168" s="11"/>
      <c r="L168" s="12" t="s">
        <v>51</v>
      </c>
      <c r="M168" s="12" t="s">
        <v>53</v>
      </c>
      <c r="N168" s="11"/>
      <c r="O168" s="12"/>
      <c r="P168" s="12" t="s">
        <v>53</v>
      </c>
      <c r="Q168" s="14"/>
      <c r="R168" s="14"/>
      <c r="S168" s="12" t="s">
        <v>51</v>
      </c>
      <c r="T168" s="11">
        <v>47888</v>
      </c>
      <c r="U168" s="12" t="str">
        <f t="shared" si="18"/>
        <v>N</v>
      </c>
      <c r="V168" s="12" t="str">
        <f t="shared" si="19"/>
        <v>N</v>
      </c>
      <c r="W168" s="12" t="str">
        <f t="shared" si="20"/>
        <v>N</v>
      </c>
      <c r="X168" s="12" t="str">
        <f t="shared" si="21"/>
        <v>N</v>
      </c>
      <c r="Y168" s="12" t="str">
        <f t="shared" si="22"/>
        <v>N</v>
      </c>
      <c r="Z168" s="12" t="str">
        <f t="shared" si="23"/>
        <v>N</v>
      </c>
      <c r="AA168" s="12">
        <f t="shared" si="24"/>
        <v>2</v>
      </c>
      <c r="AB168" s="12" t="str">
        <f t="shared" si="25"/>
        <v>MULTI-SIGNAL</v>
      </c>
      <c r="AC168" s="14" t="str">
        <f t="shared" si="26"/>
        <v>Settlement Authorization | Inactive Customer</v>
      </c>
    </row>
    <row r="169" spans="1:29" x14ac:dyDescent="0.45">
      <c r="A169" s="2" t="s">
        <v>581</v>
      </c>
      <c r="B169" s="2" t="s">
        <v>582</v>
      </c>
      <c r="C169" s="2" t="s">
        <v>497</v>
      </c>
      <c r="D169" s="2" t="s">
        <v>583</v>
      </c>
      <c r="E169" s="11">
        <v>44218</v>
      </c>
      <c r="F169" s="12" t="s">
        <v>51</v>
      </c>
      <c r="G169" s="13">
        <v>71500</v>
      </c>
      <c r="H169" s="12" t="s">
        <v>52</v>
      </c>
      <c r="I169" s="11">
        <v>44805</v>
      </c>
      <c r="J169" s="12" t="s">
        <v>53</v>
      </c>
      <c r="K169" s="11"/>
      <c r="L169" s="12" t="s">
        <v>53</v>
      </c>
      <c r="M169" s="12" t="s">
        <v>53</v>
      </c>
      <c r="N169" s="11"/>
      <c r="O169" s="12"/>
      <c r="P169" s="12" t="s">
        <v>53</v>
      </c>
      <c r="Q169" s="14"/>
      <c r="R169" s="14"/>
      <c r="S169" s="12" t="s">
        <v>53</v>
      </c>
      <c r="T169" s="11"/>
      <c r="U169" s="12" t="str">
        <f t="shared" si="18"/>
        <v>N</v>
      </c>
      <c r="V169" s="12" t="str">
        <f t="shared" si="19"/>
        <v>N</v>
      </c>
      <c r="W169" s="12" t="str">
        <f t="shared" si="20"/>
        <v>N</v>
      </c>
      <c r="X169" s="12" t="str">
        <f t="shared" si="21"/>
        <v>N</v>
      </c>
      <c r="Y169" s="12" t="str">
        <f t="shared" si="22"/>
        <v>N</v>
      </c>
      <c r="Z169" s="12" t="str">
        <f t="shared" si="23"/>
        <v>N</v>
      </c>
      <c r="AA169" s="12">
        <f t="shared" si="24"/>
        <v>1</v>
      </c>
      <c r="AB169" s="12" t="str">
        <f t="shared" si="25"/>
        <v>SINGLE-SIGNAL</v>
      </c>
      <c r="AC169" s="14" t="str">
        <f t="shared" si="26"/>
        <v>Settlement Authorization</v>
      </c>
    </row>
    <row r="170" spans="1:29" x14ac:dyDescent="0.45">
      <c r="A170" s="2" t="s">
        <v>584</v>
      </c>
      <c r="B170" s="2" t="s">
        <v>585</v>
      </c>
      <c r="C170" s="2" t="s">
        <v>497</v>
      </c>
      <c r="D170" s="2" t="s">
        <v>256</v>
      </c>
      <c r="E170" s="11">
        <v>45420</v>
      </c>
      <c r="F170" s="12" t="s">
        <v>51</v>
      </c>
      <c r="G170" s="13">
        <v>94000</v>
      </c>
      <c r="H170" s="12" t="s">
        <v>116</v>
      </c>
      <c r="I170" s="11">
        <v>46539</v>
      </c>
      <c r="J170" s="12" t="s">
        <v>53</v>
      </c>
      <c r="K170" s="11"/>
      <c r="L170" s="12" t="s">
        <v>53</v>
      </c>
      <c r="M170" s="12" t="s">
        <v>53</v>
      </c>
      <c r="N170" s="11"/>
      <c r="O170" s="12"/>
      <c r="P170" s="12" t="s">
        <v>53</v>
      </c>
      <c r="Q170" s="14"/>
      <c r="R170" s="14"/>
      <c r="S170" s="12" t="s">
        <v>53</v>
      </c>
      <c r="T170" s="11"/>
      <c r="U170" s="12" t="str">
        <f t="shared" si="18"/>
        <v>N</v>
      </c>
      <c r="V170" s="12" t="str">
        <f t="shared" si="19"/>
        <v>N</v>
      </c>
      <c r="W170" s="12" t="str">
        <f t="shared" si="20"/>
        <v>N</v>
      </c>
      <c r="X170" s="12" t="str">
        <f t="shared" si="21"/>
        <v>N</v>
      </c>
      <c r="Y170" s="12" t="str">
        <f t="shared" si="22"/>
        <v>N</v>
      </c>
      <c r="Z170" s="12" t="str">
        <f t="shared" si="23"/>
        <v>N</v>
      </c>
      <c r="AA170" s="12">
        <f t="shared" si="24"/>
        <v>1</v>
      </c>
      <c r="AB170" s="12" t="str">
        <f t="shared" si="25"/>
        <v>SINGLE-SIGNAL</v>
      </c>
      <c r="AC170" s="14" t="str">
        <f t="shared" si="26"/>
        <v>Settlement Authorization</v>
      </c>
    </row>
    <row r="171" spans="1:29" ht="28.5" x14ac:dyDescent="0.45">
      <c r="A171" s="2" t="s">
        <v>586</v>
      </c>
      <c r="B171" s="2" t="s">
        <v>587</v>
      </c>
      <c r="C171" s="2" t="s">
        <v>497</v>
      </c>
      <c r="D171" s="2" t="s">
        <v>384</v>
      </c>
      <c r="E171" s="11">
        <v>44865</v>
      </c>
      <c r="F171" s="12" t="s">
        <v>51</v>
      </c>
      <c r="G171" s="13">
        <v>69500</v>
      </c>
      <c r="H171" s="12" t="s">
        <v>71</v>
      </c>
      <c r="I171" s="11">
        <v>46539</v>
      </c>
      <c r="J171" s="12" t="s">
        <v>53</v>
      </c>
      <c r="K171" s="11"/>
      <c r="L171" s="12" t="s">
        <v>53</v>
      </c>
      <c r="M171" s="12" t="s">
        <v>53</v>
      </c>
      <c r="N171" s="11"/>
      <c r="O171" s="12"/>
      <c r="P171" s="12" t="s">
        <v>51</v>
      </c>
      <c r="Q171" s="14" t="s">
        <v>588</v>
      </c>
      <c r="R171" s="14" t="s">
        <v>222</v>
      </c>
      <c r="S171" s="12" t="s">
        <v>53</v>
      </c>
      <c r="T171" s="11"/>
      <c r="U171" s="12" t="str">
        <f t="shared" si="18"/>
        <v>Y</v>
      </c>
      <c r="V171" s="12" t="str">
        <f t="shared" si="19"/>
        <v>Y</v>
      </c>
      <c r="W171" s="12" t="str">
        <f t="shared" si="20"/>
        <v>N</v>
      </c>
      <c r="X171" s="12" t="str">
        <f t="shared" si="21"/>
        <v>N</v>
      </c>
      <c r="Y171" s="12" t="str">
        <f t="shared" si="22"/>
        <v>Y</v>
      </c>
      <c r="Z171" s="12" t="str">
        <f t="shared" si="23"/>
        <v>Y</v>
      </c>
      <c r="AA171" s="12">
        <f t="shared" si="24"/>
        <v>2</v>
      </c>
      <c r="AB171" s="12" t="str">
        <f t="shared" si="25"/>
        <v>MULTI-SIGNAL</v>
      </c>
      <c r="AC171" s="14" t="str">
        <f t="shared" si="26"/>
        <v>Settlement Authorization | Automated Claim Alert</v>
      </c>
    </row>
    <row r="172" spans="1:29" x14ac:dyDescent="0.45">
      <c r="A172" s="2" t="s">
        <v>589</v>
      </c>
      <c r="B172" s="2" t="s">
        <v>590</v>
      </c>
      <c r="C172" s="2" t="s">
        <v>497</v>
      </c>
      <c r="D172" s="2" t="s">
        <v>247</v>
      </c>
      <c r="E172" s="11">
        <v>46084</v>
      </c>
      <c r="F172" s="12" t="s">
        <v>51</v>
      </c>
      <c r="G172" s="13">
        <v>64000</v>
      </c>
      <c r="H172" s="12" t="s">
        <v>277</v>
      </c>
      <c r="I172" s="11">
        <v>47779</v>
      </c>
      <c r="J172" s="12" t="s">
        <v>53</v>
      </c>
      <c r="K172" s="11"/>
      <c r="L172" s="12" t="s">
        <v>53</v>
      </c>
      <c r="M172" s="12" t="s">
        <v>53</v>
      </c>
      <c r="N172" s="11"/>
      <c r="O172" s="12"/>
      <c r="P172" s="12" t="s">
        <v>53</v>
      </c>
      <c r="Q172" s="14"/>
      <c r="R172" s="14"/>
      <c r="S172" s="12" t="s">
        <v>53</v>
      </c>
      <c r="T172" s="11"/>
      <c r="U172" s="12" t="str">
        <f t="shared" si="18"/>
        <v>N</v>
      </c>
      <c r="V172" s="12" t="str">
        <f t="shared" si="19"/>
        <v>N</v>
      </c>
      <c r="W172" s="12" t="str">
        <f t="shared" si="20"/>
        <v>N</v>
      </c>
      <c r="X172" s="12" t="str">
        <f t="shared" si="21"/>
        <v>N</v>
      </c>
      <c r="Y172" s="12" t="str">
        <f t="shared" si="22"/>
        <v>N</v>
      </c>
      <c r="Z172" s="12" t="str">
        <f t="shared" si="23"/>
        <v>N</v>
      </c>
      <c r="AA172" s="12">
        <f t="shared" si="24"/>
        <v>1</v>
      </c>
      <c r="AB172" s="12" t="str">
        <f t="shared" si="25"/>
        <v>SINGLE-SIGNAL</v>
      </c>
      <c r="AC172" s="14" t="str">
        <f t="shared" si="26"/>
        <v>Settlement Authorization</v>
      </c>
    </row>
    <row r="173" spans="1:29" x14ac:dyDescent="0.45">
      <c r="A173" s="2" t="s">
        <v>591</v>
      </c>
      <c r="B173" s="2" t="s">
        <v>592</v>
      </c>
      <c r="C173" s="2" t="s">
        <v>497</v>
      </c>
      <c r="D173" s="2" t="s">
        <v>142</v>
      </c>
      <c r="E173" s="11">
        <v>44618</v>
      </c>
      <c r="F173" s="12" t="s">
        <v>53</v>
      </c>
      <c r="G173" s="13"/>
      <c r="H173" s="12"/>
      <c r="I173" s="11"/>
      <c r="J173" s="12" t="s">
        <v>53</v>
      </c>
      <c r="K173" s="11"/>
      <c r="L173" s="12"/>
      <c r="M173" s="12" t="s">
        <v>53</v>
      </c>
      <c r="N173" s="11"/>
      <c r="O173" s="12"/>
      <c r="P173" s="12" t="s">
        <v>53</v>
      </c>
      <c r="Q173" s="14"/>
      <c r="R173" s="14"/>
      <c r="S173" s="12" t="s">
        <v>51</v>
      </c>
      <c r="T173" s="11">
        <v>45752</v>
      </c>
      <c r="U173" s="12" t="str">
        <f t="shared" si="18"/>
        <v>N</v>
      </c>
      <c r="V173" s="12" t="str">
        <f t="shared" si="19"/>
        <v>N</v>
      </c>
      <c r="W173" s="12" t="str">
        <f t="shared" si="20"/>
        <v>N</v>
      </c>
      <c r="X173" s="12" t="str">
        <f t="shared" si="21"/>
        <v>N</v>
      </c>
      <c r="Y173" s="12" t="str">
        <f t="shared" si="22"/>
        <v>N</v>
      </c>
      <c r="Z173" s="12" t="str">
        <f t="shared" si="23"/>
        <v>N</v>
      </c>
      <c r="AA173" s="12">
        <f t="shared" si="24"/>
        <v>1</v>
      </c>
      <c r="AB173" s="12" t="str">
        <f t="shared" si="25"/>
        <v>SINGLE-SIGNAL</v>
      </c>
      <c r="AC173" s="14" t="str">
        <f t="shared" si="26"/>
        <v>Inactive Customer</v>
      </c>
    </row>
    <row r="174" spans="1:29" x14ac:dyDescent="0.45">
      <c r="A174" s="2" t="s">
        <v>593</v>
      </c>
      <c r="B174" s="2" t="s">
        <v>594</v>
      </c>
      <c r="C174" s="2" t="s">
        <v>497</v>
      </c>
      <c r="D174" s="2" t="s">
        <v>329</v>
      </c>
      <c r="E174" s="11">
        <v>44812</v>
      </c>
      <c r="F174" s="12" t="s">
        <v>51</v>
      </c>
      <c r="G174" s="13">
        <v>164250</v>
      </c>
      <c r="H174" s="12" t="s">
        <v>277</v>
      </c>
      <c r="I174" s="11">
        <v>45449</v>
      </c>
      <c r="J174" s="12" t="s">
        <v>53</v>
      </c>
      <c r="K174" s="11"/>
      <c r="L174" s="12" t="s">
        <v>51</v>
      </c>
      <c r="M174" s="12" t="s">
        <v>53</v>
      </c>
      <c r="N174" s="11"/>
      <c r="O174" s="12"/>
      <c r="P174" s="12" t="s">
        <v>53</v>
      </c>
      <c r="Q174" s="14"/>
      <c r="R174" s="14"/>
      <c r="S174" s="12" t="s">
        <v>53</v>
      </c>
      <c r="T174" s="11"/>
      <c r="U174" s="12" t="str">
        <f t="shared" si="18"/>
        <v>N</v>
      </c>
      <c r="V174" s="12" t="str">
        <f t="shared" si="19"/>
        <v>N</v>
      </c>
      <c r="W174" s="12" t="str">
        <f t="shared" si="20"/>
        <v>N</v>
      </c>
      <c r="X174" s="12" t="str">
        <f t="shared" si="21"/>
        <v>N</v>
      </c>
      <c r="Y174" s="12" t="str">
        <f t="shared" si="22"/>
        <v>N</v>
      </c>
      <c r="Z174" s="12" t="str">
        <f t="shared" si="23"/>
        <v>N</v>
      </c>
      <c r="AA174" s="12">
        <f t="shared" si="24"/>
        <v>1</v>
      </c>
      <c r="AB174" s="12" t="str">
        <f t="shared" si="25"/>
        <v>SINGLE-SIGNAL</v>
      </c>
      <c r="AC174" s="14" t="str">
        <f t="shared" si="26"/>
        <v>Settlement Authorization</v>
      </c>
    </row>
    <row r="175" spans="1:29" x14ac:dyDescent="0.45">
      <c r="A175" s="2" t="s">
        <v>595</v>
      </c>
      <c r="B175" s="2" t="s">
        <v>596</v>
      </c>
      <c r="C175" s="2" t="s">
        <v>497</v>
      </c>
      <c r="D175" s="2" t="s">
        <v>238</v>
      </c>
      <c r="E175" s="11">
        <v>45621</v>
      </c>
      <c r="F175" s="12" t="s">
        <v>53</v>
      </c>
      <c r="G175" s="13"/>
      <c r="H175" s="12"/>
      <c r="I175" s="11"/>
      <c r="J175" s="12" t="s">
        <v>51</v>
      </c>
      <c r="K175" s="11">
        <v>46687</v>
      </c>
      <c r="L175" s="12" t="s">
        <v>51</v>
      </c>
      <c r="M175" s="12" t="s">
        <v>53</v>
      </c>
      <c r="N175" s="11"/>
      <c r="O175" s="12"/>
      <c r="P175" s="12" t="s">
        <v>53</v>
      </c>
      <c r="Q175" s="14"/>
      <c r="R175" s="14"/>
      <c r="S175" s="12" t="s">
        <v>53</v>
      </c>
      <c r="T175" s="11"/>
      <c r="U175" s="12" t="str">
        <f t="shared" si="18"/>
        <v>N</v>
      </c>
      <c r="V175" s="12" t="str">
        <f t="shared" si="19"/>
        <v>N</v>
      </c>
      <c r="W175" s="12" t="str">
        <f t="shared" si="20"/>
        <v>N</v>
      </c>
      <c r="X175" s="12" t="str">
        <f t="shared" si="21"/>
        <v>N</v>
      </c>
      <c r="Y175" s="12" t="str">
        <f t="shared" si="22"/>
        <v>N</v>
      </c>
      <c r="Z175" s="12" t="str">
        <f t="shared" si="23"/>
        <v>N</v>
      </c>
      <c r="AA175" s="12">
        <f t="shared" si="24"/>
        <v>1</v>
      </c>
      <c r="AB175" s="12" t="str">
        <f t="shared" si="25"/>
        <v>SINGLE-SIGNAL</v>
      </c>
      <c r="AC175" s="14" t="str">
        <f t="shared" si="26"/>
        <v>Open Stipulation</v>
      </c>
    </row>
    <row r="176" spans="1:29" x14ac:dyDescent="0.45">
      <c r="A176" s="2" t="s">
        <v>597</v>
      </c>
      <c r="B176" s="2" t="s">
        <v>598</v>
      </c>
      <c r="C176" s="2" t="s">
        <v>497</v>
      </c>
      <c r="D176" s="2" t="s">
        <v>84</v>
      </c>
      <c r="E176" s="11">
        <v>45673</v>
      </c>
      <c r="F176" s="12" t="s">
        <v>51</v>
      </c>
      <c r="G176" s="13">
        <v>118000</v>
      </c>
      <c r="H176" s="12" t="s">
        <v>277</v>
      </c>
      <c r="I176" s="11">
        <v>46135</v>
      </c>
      <c r="J176" s="12" t="s">
        <v>53</v>
      </c>
      <c r="K176" s="11"/>
      <c r="L176" s="12" t="s">
        <v>51</v>
      </c>
      <c r="M176" s="12" t="s">
        <v>53</v>
      </c>
      <c r="N176" s="11"/>
      <c r="O176" s="12"/>
      <c r="P176" s="12" t="s">
        <v>53</v>
      </c>
      <c r="Q176" s="14"/>
      <c r="R176" s="14"/>
      <c r="S176" s="12" t="s">
        <v>53</v>
      </c>
      <c r="T176" s="11"/>
      <c r="U176" s="12" t="str">
        <f t="shared" si="18"/>
        <v>N</v>
      </c>
      <c r="V176" s="12" t="str">
        <f t="shared" si="19"/>
        <v>N</v>
      </c>
      <c r="W176" s="12" t="str">
        <f t="shared" si="20"/>
        <v>N</v>
      </c>
      <c r="X176" s="12" t="str">
        <f t="shared" si="21"/>
        <v>N</v>
      </c>
      <c r="Y176" s="12" t="str">
        <f t="shared" si="22"/>
        <v>N</v>
      </c>
      <c r="Z176" s="12" t="str">
        <f t="shared" si="23"/>
        <v>N</v>
      </c>
      <c r="AA176" s="12">
        <f t="shared" si="24"/>
        <v>1</v>
      </c>
      <c r="AB176" s="12" t="str">
        <f t="shared" si="25"/>
        <v>SINGLE-SIGNAL</v>
      </c>
      <c r="AC176" s="14" t="str">
        <f t="shared" si="26"/>
        <v>Settlement Authorization</v>
      </c>
    </row>
    <row r="177" spans="1:29" ht="28.5" x14ac:dyDescent="0.45">
      <c r="A177" s="2" t="s">
        <v>599</v>
      </c>
      <c r="B177" s="2" t="s">
        <v>600</v>
      </c>
      <c r="C177" s="2" t="s">
        <v>497</v>
      </c>
      <c r="D177" s="2" t="s">
        <v>601</v>
      </c>
      <c r="E177" s="11">
        <v>44365</v>
      </c>
      <c r="F177" s="12" t="s">
        <v>53</v>
      </c>
      <c r="G177" s="13"/>
      <c r="H177" s="12"/>
      <c r="I177" s="11"/>
      <c r="J177" s="12" t="s">
        <v>53</v>
      </c>
      <c r="K177" s="11"/>
      <c r="L177" s="12"/>
      <c r="M177" s="12" t="s">
        <v>53</v>
      </c>
      <c r="N177" s="11"/>
      <c r="O177" s="12"/>
      <c r="P177" s="12" t="s">
        <v>51</v>
      </c>
      <c r="Q177" s="14" t="s">
        <v>552</v>
      </c>
      <c r="R177" s="14" t="s">
        <v>424</v>
      </c>
      <c r="S177" s="12" t="s">
        <v>53</v>
      </c>
      <c r="T177" s="11"/>
      <c r="U177" s="12" t="str">
        <f t="shared" si="18"/>
        <v>Y</v>
      </c>
      <c r="V177" s="12" t="str">
        <f t="shared" si="19"/>
        <v>Y</v>
      </c>
      <c r="W177" s="12" t="str">
        <f t="shared" si="20"/>
        <v>N</v>
      </c>
      <c r="X177" s="12" t="str">
        <f t="shared" si="21"/>
        <v>Y</v>
      </c>
      <c r="Y177" s="12" t="str">
        <f t="shared" si="22"/>
        <v>Y</v>
      </c>
      <c r="Z177" s="12" t="str">
        <f t="shared" si="23"/>
        <v>Y</v>
      </c>
      <c r="AA177" s="12">
        <f t="shared" si="24"/>
        <v>1</v>
      </c>
      <c r="AB177" s="12" t="str">
        <f t="shared" si="25"/>
        <v>SINGLE-SIGNAL</v>
      </c>
      <c r="AC177" s="14" t="str">
        <f t="shared" si="26"/>
        <v>Automated Claim Alert</v>
      </c>
    </row>
    <row r="178" spans="1:29" x14ac:dyDescent="0.45">
      <c r="A178" s="2" t="s">
        <v>602</v>
      </c>
      <c r="B178" s="2" t="s">
        <v>603</v>
      </c>
      <c r="C178" s="2" t="s">
        <v>119</v>
      </c>
      <c r="D178" s="2" t="s">
        <v>604</v>
      </c>
      <c r="E178" s="11">
        <v>43181</v>
      </c>
      <c r="F178" s="12" t="s">
        <v>53</v>
      </c>
      <c r="G178" s="13"/>
      <c r="H178" s="12"/>
      <c r="I178" s="11"/>
      <c r="J178" s="12" t="s">
        <v>53</v>
      </c>
      <c r="K178" s="11"/>
      <c r="L178" s="12"/>
      <c r="M178" s="12" t="s">
        <v>53</v>
      </c>
      <c r="N178" s="11"/>
      <c r="O178" s="12"/>
      <c r="P178" s="12" t="s">
        <v>53</v>
      </c>
      <c r="Q178" s="14"/>
      <c r="R178" s="14"/>
      <c r="S178" s="12" t="s">
        <v>51</v>
      </c>
      <c r="T178" s="11">
        <v>44058</v>
      </c>
      <c r="U178" s="12" t="str">
        <f t="shared" si="18"/>
        <v>N</v>
      </c>
      <c r="V178" s="12" t="str">
        <f t="shared" si="19"/>
        <v>N</v>
      </c>
      <c r="W178" s="12" t="str">
        <f t="shared" si="20"/>
        <v>N</v>
      </c>
      <c r="X178" s="12" t="str">
        <f t="shared" si="21"/>
        <v>N</v>
      </c>
      <c r="Y178" s="12" t="str">
        <f t="shared" si="22"/>
        <v>N</v>
      </c>
      <c r="Z178" s="12" t="str">
        <f t="shared" si="23"/>
        <v>N</v>
      </c>
      <c r="AA178" s="12">
        <f t="shared" si="24"/>
        <v>1</v>
      </c>
      <c r="AB178" s="12" t="str">
        <f t="shared" si="25"/>
        <v>SINGLE-SIGNAL</v>
      </c>
      <c r="AC178" s="14" t="str">
        <f t="shared" si="26"/>
        <v>Inactive Customer</v>
      </c>
    </row>
    <row r="179" spans="1:29" x14ac:dyDescent="0.45">
      <c r="A179" s="2" t="s">
        <v>605</v>
      </c>
      <c r="B179" s="2" t="s">
        <v>606</v>
      </c>
      <c r="C179" s="2" t="s">
        <v>119</v>
      </c>
      <c r="D179" s="2" t="s">
        <v>607</v>
      </c>
      <c r="E179" s="11">
        <v>43903</v>
      </c>
      <c r="F179" s="12" t="s">
        <v>51</v>
      </c>
      <c r="G179" s="13">
        <v>166500</v>
      </c>
      <c r="H179" s="12" t="s">
        <v>93</v>
      </c>
      <c r="I179" s="11">
        <v>44979</v>
      </c>
      <c r="J179" s="12" t="s">
        <v>51</v>
      </c>
      <c r="K179" s="11">
        <v>44189</v>
      </c>
      <c r="L179" s="12" t="s">
        <v>53</v>
      </c>
      <c r="M179" s="12" t="s">
        <v>53</v>
      </c>
      <c r="N179" s="11"/>
      <c r="O179" s="12"/>
      <c r="P179" s="12" t="s">
        <v>53</v>
      </c>
      <c r="Q179" s="14"/>
      <c r="R179" s="14"/>
      <c r="S179" s="12" t="s">
        <v>53</v>
      </c>
      <c r="T179" s="11"/>
      <c r="U179" s="12" t="str">
        <f t="shared" si="18"/>
        <v>N</v>
      </c>
      <c r="V179" s="12" t="str">
        <f t="shared" si="19"/>
        <v>N</v>
      </c>
      <c r="W179" s="12" t="str">
        <f t="shared" si="20"/>
        <v>N</v>
      </c>
      <c r="X179" s="12" t="str">
        <f t="shared" si="21"/>
        <v>N</v>
      </c>
      <c r="Y179" s="12" t="str">
        <f t="shared" si="22"/>
        <v>N</v>
      </c>
      <c r="Z179" s="12" t="str">
        <f t="shared" si="23"/>
        <v>N</v>
      </c>
      <c r="AA179" s="12">
        <f t="shared" si="24"/>
        <v>2</v>
      </c>
      <c r="AB179" s="12" t="str">
        <f t="shared" si="25"/>
        <v>MULTI-SIGNAL</v>
      </c>
      <c r="AC179" s="14" t="str">
        <f t="shared" si="26"/>
        <v>Settlement Authorization | Open Stipulation</v>
      </c>
    </row>
    <row r="180" spans="1:29" x14ac:dyDescent="0.45">
      <c r="A180" s="2" t="s">
        <v>608</v>
      </c>
      <c r="B180" s="2" t="s">
        <v>609</v>
      </c>
      <c r="C180" s="2" t="s">
        <v>119</v>
      </c>
      <c r="D180" s="2" t="s">
        <v>607</v>
      </c>
      <c r="E180" s="11">
        <v>45947</v>
      </c>
      <c r="F180" s="12" t="s">
        <v>51</v>
      </c>
      <c r="G180" s="13">
        <v>107000</v>
      </c>
      <c r="H180" s="12" t="s">
        <v>242</v>
      </c>
      <c r="I180" s="11">
        <v>46732</v>
      </c>
      <c r="J180" s="12" t="s">
        <v>53</v>
      </c>
      <c r="K180" s="11"/>
      <c r="L180" s="12" t="s">
        <v>53</v>
      </c>
      <c r="M180" s="12" t="s">
        <v>53</v>
      </c>
      <c r="N180" s="11"/>
      <c r="O180" s="12"/>
      <c r="P180" s="12" t="s">
        <v>53</v>
      </c>
      <c r="Q180" s="14"/>
      <c r="R180" s="14"/>
      <c r="S180" s="12" t="s">
        <v>51</v>
      </c>
      <c r="T180" s="11">
        <v>46942</v>
      </c>
      <c r="U180" s="12" t="str">
        <f t="shared" si="18"/>
        <v>N</v>
      </c>
      <c r="V180" s="12" t="str">
        <f t="shared" si="19"/>
        <v>N</v>
      </c>
      <c r="W180" s="12" t="str">
        <f t="shared" si="20"/>
        <v>N</v>
      </c>
      <c r="X180" s="12" t="str">
        <f t="shared" si="21"/>
        <v>N</v>
      </c>
      <c r="Y180" s="12" t="str">
        <f t="shared" si="22"/>
        <v>N</v>
      </c>
      <c r="Z180" s="12" t="str">
        <f t="shared" si="23"/>
        <v>N</v>
      </c>
      <c r="AA180" s="12">
        <f t="shared" si="24"/>
        <v>2</v>
      </c>
      <c r="AB180" s="12" t="str">
        <f t="shared" si="25"/>
        <v>MULTI-SIGNAL</v>
      </c>
      <c r="AC180" s="14" t="str">
        <f t="shared" si="26"/>
        <v>Settlement Authorization | Inactive Customer</v>
      </c>
    </row>
    <row r="181" spans="1:29" ht="28.5" x14ac:dyDescent="0.45">
      <c r="A181" s="2" t="s">
        <v>610</v>
      </c>
      <c r="B181" s="2" t="s">
        <v>611</v>
      </c>
      <c r="C181" s="2" t="s">
        <v>119</v>
      </c>
      <c r="D181" s="2" t="s">
        <v>612</v>
      </c>
      <c r="E181" s="11">
        <v>44181</v>
      </c>
      <c r="F181" s="12" t="s">
        <v>53</v>
      </c>
      <c r="G181" s="13"/>
      <c r="H181" s="12"/>
      <c r="I181" s="11"/>
      <c r="J181" s="12" t="s">
        <v>53</v>
      </c>
      <c r="K181" s="11"/>
      <c r="L181" s="12"/>
      <c r="M181" s="12" t="s">
        <v>53</v>
      </c>
      <c r="N181" s="11"/>
      <c r="O181" s="12"/>
      <c r="P181" s="12" t="s">
        <v>51</v>
      </c>
      <c r="Q181" s="14" t="s">
        <v>227</v>
      </c>
      <c r="R181" s="14" t="s">
        <v>416</v>
      </c>
      <c r="S181" s="12" t="s">
        <v>53</v>
      </c>
      <c r="T181" s="11"/>
      <c r="U181" s="12" t="str">
        <f t="shared" si="18"/>
        <v>N</v>
      </c>
      <c r="V181" s="12" t="str">
        <f t="shared" si="19"/>
        <v>Y</v>
      </c>
      <c r="W181" s="12" t="str">
        <f t="shared" si="20"/>
        <v>Y</v>
      </c>
      <c r="X181" s="12" t="str">
        <f t="shared" si="21"/>
        <v>N</v>
      </c>
      <c r="Y181" s="12" t="str">
        <f t="shared" si="22"/>
        <v>Y</v>
      </c>
      <c r="Z181" s="12" t="str">
        <f t="shared" si="23"/>
        <v>N</v>
      </c>
      <c r="AA181" s="12">
        <f t="shared" si="24"/>
        <v>1</v>
      </c>
      <c r="AB181" s="12" t="str">
        <f t="shared" si="25"/>
        <v>SINGLE-SIGNAL</v>
      </c>
      <c r="AC181" s="14" t="str">
        <f t="shared" si="26"/>
        <v>Automated Claim Alert</v>
      </c>
    </row>
    <row r="182" spans="1:29" x14ac:dyDescent="0.45">
      <c r="A182" s="2" t="s">
        <v>613</v>
      </c>
      <c r="B182" s="2" t="s">
        <v>614</v>
      </c>
      <c r="C182" s="2" t="s">
        <v>119</v>
      </c>
      <c r="D182" s="2" t="s">
        <v>615</v>
      </c>
      <c r="E182" s="11">
        <v>46019</v>
      </c>
      <c r="F182" s="12" t="s">
        <v>51</v>
      </c>
      <c r="G182" s="13">
        <v>146250</v>
      </c>
      <c r="H182" s="12" t="s">
        <v>109</v>
      </c>
      <c r="I182" s="11">
        <v>47036</v>
      </c>
      <c r="J182" s="12" t="s">
        <v>53</v>
      </c>
      <c r="K182" s="11"/>
      <c r="L182" s="12" t="s">
        <v>53</v>
      </c>
      <c r="M182" s="12" t="s">
        <v>53</v>
      </c>
      <c r="N182" s="11"/>
      <c r="O182" s="12"/>
      <c r="P182" s="12" t="s">
        <v>53</v>
      </c>
      <c r="Q182" s="14"/>
      <c r="R182" s="14"/>
      <c r="S182" s="12" t="s">
        <v>53</v>
      </c>
      <c r="T182" s="11"/>
      <c r="U182" s="12" t="str">
        <f t="shared" si="18"/>
        <v>N</v>
      </c>
      <c r="V182" s="12" t="str">
        <f t="shared" si="19"/>
        <v>N</v>
      </c>
      <c r="W182" s="12" t="str">
        <f t="shared" si="20"/>
        <v>N</v>
      </c>
      <c r="X182" s="12" t="str">
        <f t="shared" si="21"/>
        <v>N</v>
      </c>
      <c r="Y182" s="12" t="str">
        <f t="shared" si="22"/>
        <v>N</v>
      </c>
      <c r="Z182" s="12" t="str">
        <f t="shared" si="23"/>
        <v>N</v>
      </c>
      <c r="AA182" s="12">
        <f t="shared" si="24"/>
        <v>1</v>
      </c>
      <c r="AB182" s="12" t="str">
        <f t="shared" si="25"/>
        <v>SINGLE-SIGNAL</v>
      </c>
      <c r="AC182" s="14" t="str">
        <f t="shared" si="26"/>
        <v>Settlement Authorization</v>
      </c>
    </row>
    <row r="183" spans="1:29" x14ac:dyDescent="0.45">
      <c r="A183" s="2" t="s">
        <v>616</v>
      </c>
      <c r="B183" s="2" t="s">
        <v>617</v>
      </c>
      <c r="C183" s="2" t="s">
        <v>119</v>
      </c>
      <c r="D183" s="2" t="s">
        <v>58</v>
      </c>
      <c r="E183" s="11">
        <v>45492</v>
      </c>
      <c r="F183" s="12" t="s">
        <v>53</v>
      </c>
      <c r="G183" s="13"/>
      <c r="H183" s="12"/>
      <c r="I183" s="11"/>
      <c r="J183" s="12" t="s">
        <v>53</v>
      </c>
      <c r="K183" s="11"/>
      <c r="L183" s="12"/>
      <c r="M183" s="12" t="s">
        <v>53</v>
      </c>
      <c r="N183" s="11"/>
      <c r="O183" s="12"/>
      <c r="P183" s="12" t="s">
        <v>53</v>
      </c>
      <c r="Q183" s="14"/>
      <c r="R183" s="14"/>
      <c r="S183" s="12" t="s">
        <v>51</v>
      </c>
      <c r="T183" s="11">
        <v>47440</v>
      </c>
      <c r="U183" s="12" t="str">
        <f t="shared" si="18"/>
        <v>N</v>
      </c>
      <c r="V183" s="12" t="str">
        <f t="shared" si="19"/>
        <v>N</v>
      </c>
      <c r="W183" s="12" t="str">
        <f t="shared" si="20"/>
        <v>N</v>
      </c>
      <c r="X183" s="12" t="str">
        <f t="shared" si="21"/>
        <v>N</v>
      </c>
      <c r="Y183" s="12" t="str">
        <f t="shared" si="22"/>
        <v>N</v>
      </c>
      <c r="Z183" s="12" t="str">
        <f t="shared" si="23"/>
        <v>N</v>
      </c>
      <c r="AA183" s="12">
        <f t="shared" si="24"/>
        <v>1</v>
      </c>
      <c r="AB183" s="12" t="str">
        <f t="shared" si="25"/>
        <v>SINGLE-SIGNAL</v>
      </c>
      <c r="AC183" s="14" t="str">
        <f t="shared" si="26"/>
        <v>Inactive Customer</v>
      </c>
    </row>
    <row r="184" spans="1:29" x14ac:dyDescent="0.45">
      <c r="A184" s="2" t="s">
        <v>618</v>
      </c>
      <c r="B184" s="2" t="s">
        <v>619</v>
      </c>
      <c r="C184" s="2" t="s">
        <v>119</v>
      </c>
      <c r="D184" s="2" t="s">
        <v>484</v>
      </c>
      <c r="E184" s="11">
        <v>44253</v>
      </c>
      <c r="F184" s="12" t="s">
        <v>51</v>
      </c>
      <c r="G184" s="13">
        <v>25250</v>
      </c>
      <c r="H184" s="12" t="s">
        <v>59</v>
      </c>
      <c r="I184" s="11">
        <v>45656</v>
      </c>
      <c r="J184" s="12" t="s">
        <v>51</v>
      </c>
      <c r="K184" s="11">
        <v>44687</v>
      </c>
      <c r="L184" s="12" t="s">
        <v>53</v>
      </c>
      <c r="M184" s="12" t="s">
        <v>53</v>
      </c>
      <c r="N184" s="11"/>
      <c r="O184" s="12"/>
      <c r="P184" s="12" t="s">
        <v>53</v>
      </c>
      <c r="Q184" s="14"/>
      <c r="R184" s="14"/>
      <c r="S184" s="12" t="s">
        <v>53</v>
      </c>
      <c r="T184" s="11"/>
      <c r="U184" s="12" t="str">
        <f t="shared" si="18"/>
        <v>N</v>
      </c>
      <c r="V184" s="12" t="str">
        <f t="shared" si="19"/>
        <v>N</v>
      </c>
      <c r="W184" s="12" t="str">
        <f t="shared" si="20"/>
        <v>N</v>
      </c>
      <c r="X184" s="12" t="str">
        <f t="shared" si="21"/>
        <v>N</v>
      </c>
      <c r="Y184" s="12" t="str">
        <f t="shared" si="22"/>
        <v>N</v>
      </c>
      <c r="Z184" s="12" t="str">
        <f t="shared" si="23"/>
        <v>N</v>
      </c>
      <c r="AA184" s="12">
        <f t="shared" si="24"/>
        <v>2</v>
      </c>
      <c r="AB184" s="12" t="str">
        <f t="shared" si="25"/>
        <v>MULTI-SIGNAL</v>
      </c>
      <c r="AC184" s="14" t="str">
        <f t="shared" si="26"/>
        <v>Settlement Authorization | Open Stipulation</v>
      </c>
    </row>
    <row r="185" spans="1:29" ht="28.5" x14ac:dyDescent="0.45">
      <c r="A185" s="2" t="s">
        <v>620</v>
      </c>
      <c r="B185" s="2" t="s">
        <v>621</v>
      </c>
      <c r="C185" s="2" t="s">
        <v>119</v>
      </c>
      <c r="D185" s="2" t="s">
        <v>622</v>
      </c>
      <c r="E185" s="11">
        <v>43104</v>
      </c>
      <c r="F185" s="12" t="s">
        <v>51</v>
      </c>
      <c r="G185" s="13">
        <v>169500</v>
      </c>
      <c r="H185" s="12" t="s">
        <v>89</v>
      </c>
      <c r="I185" s="11">
        <v>44588</v>
      </c>
      <c r="J185" s="12" t="s">
        <v>53</v>
      </c>
      <c r="K185" s="11"/>
      <c r="L185" s="12" t="s">
        <v>51</v>
      </c>
      <c r="M185" s="12" t="s">
        <v>53</v>
      </c>
      <c r="N185" s="11"/>
      <c r="O185" s="12"/>
      <c r="P185" s="12" t="s">
        <v>51</v>
      </c>
      <c r="Q185" s="14" t="s">
        <v>623</v>
      </c>
      <c r="R185" s="14"/>
      <c r="S185" s="12" t="s">
        <v>51</v>
      </c>
      <c r="T185" s="11">
        <v>45161</v>
      </c>
      <c r="U185" s="12" t="str">
        <f t="shared" si="18"/>
        <v>Y</v>
      </c>
      <c r="V185" s="12" t="str">
        <f t="shared" si="19"/>
        <v>Y</v>
      </c>
      <c r="W185" s="12" t="str">
        <f t="shared" si="20"/>
        <v>N</v>
      </c>
      <c r="X185" s="12" t="str">
        <f t="shared" si="21"/>
        <v>Y</v>
      </c>
      <c r="Y185" s="12" t="str">
        <f t="shared" si="22"/>
        <v>N</v>
      </c>
      <c r="Z185" s="12" t="str">
        <f t="shared" si="23"/>
        <v>N</v>
      </c>
      <c r="AA185" s="12">
        <f t="shared" si="24"/>
        <v>3</v>
      </c>
      <c r="AB185" s="12" t="str">
        <f t="shared" si="25"/>
        <v>ELEVATED MULTI-SIGNAL</v>
      </c>
      <c r="AC185" s="14" t="str">
        <f t="shared" si="26"/>
        <v>Settlement Authorization | Automated Claim Alert | Inactive Customer</v>
      </c>
    </row>
    <row r="186" spans="1:29" x14ac:dyDescent="0.45">
      <c r="A186" s="2" t="s">
        <v>624</v>
      </c>
      <c r="B186" s="2" t="s">
        <v>625</v>
      </c>
      <c r="C186" s="2" t="s">
        <v>119</v>
      </c>
      <c r="D186" s="2" t="s">
        <v>356</v>
      </c>
      <c r="E186" s="11">
        <v>44856</v>
      </c>
      <c r="F186" s="12" t="s">
        <v>51</v>
      </c>
      <c r="G186" s="13">
        <v>147500</v>
      </c>
      <c r="H186" s="12" t="s">
        <v>71</v>
      </c>
      <c r="I186" s="11">
        <v>45812</v>
      </c>
      <c r="J186" s="12" t="s">
        <v>53</v>
      </c>
      <c r="K186" s="11"/>
      <c r="L186" s="12" t="s">
        <v>51</v>
      </c>
      <c r="M186" s="12" t="s">
        <v>51</v>
      </c>
      <c r="N186" s="11">
        <v>45626</v>
      </c>
      <c r="O186" s="12" t="s">
        <v>388</v>
      </c>
      <c r="P186" s="12" t="s">
        <v>53</v>
      </c>
      <c r="Q186" s="14"/>
      <c r="R186" s="14"/>
      <c r="S186" s="12" t="s">
        <v>53</v>
      </c>
      <c r="T186" s="11"/>
      <c r="U186" s="12" t="str">
        <f t="shared" si="18"/>
        <v>N</v>
      </c>
      <c r="V186" s="12" t="str">
        <f t="shared" si="19"/>
        <v>N</v>
      </c>
      <c r="W186" s="12" t="str">
        <f t="shared" si="20"/>
        <v>N</v>
      </c>
      <c r="X186" s="12" t="str">
        <f t="shared" si="21"/>
        <v>N</v>
      </c>
      <c r="Y186" s="12" t="str">
        <f t="shared" si="22"/>
        <v>N</v>
      </c>
      <c r="Z186" s="12" t="str">
        <f t="shared" si="23"/>
        <v>N</v>
      </c>
      <c r="AA186" s="12">
        <f t="shared" si="24"/>
        <v>2</v>
      </c>
      <c r="AB186" s="12" t="str">
        <f t="shared" si="25"/>
        <v>MULTI-SIGNAL</v>
      </c>
      <c r="AC186" s="14" t="str">
        <f t="shared" si="26"/>
        <v>Settlement Authorization | Pending QME</v>
      </c>
    </row>
    <row r="187" spans="1:29" x14ac:dyDescent="0.45">
      <c r="A187" s="2" t="s">
        <v>626</v>
      </c>
      <c r="B187" s="2" t="s">
        <v>627</v>
      </c>
      <c r="C187" s="2" t="s">
        <v>119</v>
      </c>
      <c r="D187" s="2" t="s">
        <v>628</v>
      </c>
      <c r="E187" s="11">
        <v>45882</v>
      </c>
      <c r="F187" s="12" t="s">
        <v>51</v>
      </c>
      <c r="G187" s="13">
        <v>105000</v>
      </c>
      <c r="H187" s="12" t="s">
        <v>59</v>
      </c>
      <c r="I187" s="11">
        <v>47306</v>
      </c>
      <c r="J187" s="12" t="s">
        <v>53</v>
      </c>
      <c r="K187" s="11"/>
      <c r="L187" s="12" t="s">
        <v>51</v>
      </c>
      <c r="M187" s="12" t="s">
        <v>53</v>
      </c>
      <c r="N187" s="11"/>
      <c r="O187" s="12"/>
      <c r="P187" s="12" t="s">
        <v>53</v>
      </c>
      <c r="Q187" s="14"/>
      <c r="R187" s="14"/>
      <c r="S187" s="12" t="s">
        <v>53</v>
      </c>
      <c r="T187" s="11"/>
      <c r="U187" s="12" t="str">
        <f t="shared" si="18"/>
        <v>N</v>
      </c>
      <c r="V187" s="12" t="str">
        <f t="shared" si="19"/>
        <v>N</v>
      </c>
      <c r="W187" s="12" t="str">
        <f t="shared" si="20"/>
        <v>N</v>
      </c>
      <c r="X187" s="12" t="str">
        <f t="shared" si="21"/>
        <v>N</v>
      </c>
      <c r="Y187" s="12" t="str">
        <f t="shared" si="22"/>
        <v>N</v>
      </c>
      <c r="Z187" s="12" t="str">
        <f t="shared" si="23"/>
        <v>N</v>
      </c>
      <c r="AA187" s="12">
        <f t="shared" si="24"/>
        <v>1</v>
      </c>
      <c r="AB187" s="12" t="str">
        <f t="shared" si="25"/>
        <v>SINGLE-SIGNAL</v>
      </c>
      <c r="AC187" s="14" t="str">
        <f t="shared" si="26"/>
        <v>Settlement Authorization</v>
      </c>
    </row>
    <row r="188" spans="1:29" x14ac:dyDescent="0.45">
      <c r="A188" s="2" t="s">
        <v>629</v>
      </c>
      <c r="B188" s="2" t="s">
        <v>630</v>
      </c>
      <c r="C188" s="2" t="s">
        <v>119</v>
      </c>
      <c r="D188" s="2" t="s">
        <v>604</v>
      </c>
      <c r="E188" s="11">
        <v>43899</v>
      </c>
      <c r="F188" s="12" t="s">
        <v>51</v>
      </c>
      <c r="G188" s="13">
        <v>64250</v>
      </c>
      <c r="H188" s="12" t="s">
        <v>116</v>
      </c>
      <c r="I188" s="11">
        <v>45073</v>
      </c>
      <c r="J188" s="12" t="s">
        <v>53</v>
      </c>
      <c r="K188" s="11"/>
      <c r="L188" s="12" t="s">
        <v>53</v>
      </c>
      <c r="M188" s="12" t="s">
        <v>53</v>
      </c>
      <c r="N188" s="11"/>
      <c r="O188" s="12"/>
      <c r="P188" s="12" t="s">
        <v>53</v>
      </c>
      <c r="Q188" s="14"/>
      <c r="R188" s="14"/>
      <c r="S188" s="12" t="s">
        <v>53</v>
      </c>
      <c r="T188" s="11"/>
      <c r="U188" s="12" t="str">
        <f t="shared" si="18"/>
        <v>N</v>
      </c>
      <c r="V188" s="12" t="str">
        <f t="shared" si="19"/>
        <v>N</v>
      </c>
      <c r="W188" s="12" t="str">
        <f t="shared" si="20"/>
        <v>N</v>
      </c>
      <c r="X188" s="12" t="str">
        <f t="shared" si="21"/>
        <v>N</v>
      </c>
      <c r="Y188" s="12" t="str">
        <f t="shared" si="22"/>
        <v>N</v>
      </c>
      <c r="Z188" s="12" t="str">
        <f t="shared" si="23"/>
        <v>N</v>
      </c>
      <c r="AA188" s="12">
        <f t="shared" si="24"/>
        <v>1</v>
      </c>
      <c r="AB188" s="12" t="str">
        <f t="shared" si="25"/>
        <v>SINGLE-SIGNAL</v>
      </c>
      <c r="AC188" s="14" t="str">
        <f t="shared" si="26"/>
        <v>Settlement Authorization</v>
      </c>
    </row>
    <row r="189" spans="1:29" x14ac:dyDescent="0.45">
      <c r="A189" s="2" t="s">
        <v>631</v>
      </c>
      <c r="B189" s="2" t="s">
        <v>632</v>
      </c>
      <c r="C189" s="2" t="s">
        <v>119</v>
      </c>
      <c r="D189" s="2" t="s">
        <v>633</v>
      </c>
      <c r="E189" s="11">
        <v>43944</v>
      </c>
      <c r="F189" s="12" t="s">
        <v>53</v>
      </c>
      <c r="G189" s="13"/>
      <c r="H189" s="12"/>
      <c r="I189" s="11"/>
      <c r="J189" s="12" t="s">
        <v>53</v>
      </c>
      <c r="K189" s="11"/>
      <c r="L189" s="12"/>
      <c r="M189" s="12" t="s">
        <v>53</v>
      </c>
      <c r="N189" s="11"/>
      <c r="O189" s="12"/>
      <c r="P189" s="12" t="s">
        <v>53</v>
      </c>
      <c r="Q189" s="14"/>
      <c r="R189" s="14"/>
      <c r="S189" s="12" t="s">
        <v>51</v>
      </c>
      <c r="T189" s="11">
        <v>45982</v>
      </c>
      <c r="U189" s="12" t="str">
        <f t="shared" si="18"/>
        <v>N</v>
      </c>
      <c r="V189" s="12" t="str">
        <f t="shared" si="19"/>
        <v>N</v>
      </c>
      <c r="W189" s="12" t="str">
        <f t="shared" si="20"/>
        <v>N</v>
      </c>
      <c r="X189" s="12" t="str">
        <f t="shared" si="21"/>
        <v>N</v>
      </c>
      <c r="Y189" s="12" t="str">
        <f t="shared" si="22"/>
        <v>N</v>
      </c>
      <c r="Z189" s="12" t="str">
        <f t="shared" si="23"/>
        <v>N</v>
      </c>
      <c r="AA189" s="12">
        <f t="shared" si="24"/>
        <v>1</v>
      </c>
      <c r="AB189" s="12" t="str">
        <f t="shared" si="25"/>
        <v>SINGLE-SIGNAL</v>
      </c>
      <c r="AC189" s="14" t="str">
        <f t="shared" si="26"/>
        <v>Inactive Customer</v>
      </c>
    </row>
    <row r="190" spans="1:29" x14ac:dyDescent="0.45">
      <c r="A190" s="2" t="s">
        <v>634</v>
      </c>
      <c r="B190" s="2" t="s">
        <v>635</v>
      </c>
      <c r="C190" s="2" t="s">
        <v>119</v>
      </c>
      <c r="D190" s="2" t="s">
        <v>267</v>
      </c>
      <c r="E190" s="11">
        <v>43827</v>
      </c>
      <c r="F190" s="12" t="s">
        <v>53</v>
      </c>
      <c r="G190" s="13"/>
      <c r="H190" s="12"/>
      <c r="I190" s="11"/>
      <c r="J190" s="12" t="s">
        <v>53</v>
      </c>
      <c r="K190" s="11"/>
      <c r="L190" s="12"/>
      <c r="M190" s="12" t="s">
        <v>53</v>
      </c>
      <c r="N190" s="11"/>
      <c r="O190" s="12"/>
      <c r="P190" s="12" t="s">
        <v>51</v>
      </c>
      <c r="Q190" s="14" t="s">
        <v>149</v>
      </c>
      <c r="R190" s="14" t="s">
        <v>183</v>
      </c>
      <c r="S190" s="12" t="s">
        <v>53</v>
      </c>
      <c r="T190" s="11"/>
      <c r="U190" s="12" t="str">
        <f t="shared" si="18"/>
        <v>N</v>
      </c>
      <c r="V190" s="12" t="str">
        <f t="shared" si="19"/>
        <v>N</v>
      </c>
      <c r="W190" s="12" t="str">
        <f t="shared" si="20"/>
        <v>Y</v>
      </c>
      <c r="X190" s="12" t="str">
        <f t="shared" si="21"/>
        <v>N</v>
      </c>
      <c r="Y190" s="12" t="str">
        <f t="shared" si="22"/>
        <v>N</v>
      </c>
      <c r="Z190" s="12" t="str">
        <f t="shared" si="23"/>
        <v>Y</v>
      </c>
      <c r="AA190" s="12">
        <f t="shared" si="24"/>
        <v>1</v>
      </c>
      <c r="AB190" s="12" t="str">
        <f t="shared" si="25"/>
        <v>SINGLE-SIGNAL</v>
      </c>
      <c r="AC190" s="14" t="str">
        <f t="shared" si="26"/>
        <v>Automated Claim Alert</v>
      </c>
    </row>
    <row r="191" spans="1:29" x14ac:dyDescent="0.45">
      <c r="A191" s="2" t="s">
        <v>636</v>
      </c>
      <c r="B191" s="2" t="s">
        <v>637</v>
      </c>
      <c r="C191" s="2" t="s">
        <v>119</v>
      </c>
      <c r="D191" s="2" t="s">
        <v>601</v>
      </c>
      <c r="E191" s="11">
        <v>44453</v>
      </c>
      <c r="F191" s="12" t="s">
        <v>51</v>
      </c>
      <c r="G191" s="13">
        <v>114250</v>
      </c>
      <c r="H191" s="12" t="s">
        <v>71</v>
      </c>
      <c r="I191" s="11">
        <v>45138</v>
      </c>
      <c r="J191" s="12" t="s">
        <v>53</v>
      </c>
      <c r="K191" s="11"/>
      <c r="L191" s="12" t="s">
        <v>51</v>
      </c>
      <c r="M191" s="12" t="s">
        <v>53</v>
      </c>
      <c r="N191" s="11"/>
      <c r="O191" s="12"/>
      <c r="P191" s="12" t="s">
        <v>53</v>
      </c>
      <c r="Q191" s="14"/>
      <c r="R191" s="14"/>
      <c r="S191" s="12" t="s">
        <v>53</v>
      </c>
      <c r="T191" s="11"/>
      <c r="U191" s="12" t="str">
        <f t="shared" si="18"/>
        <v>N</v>
      </c>
      <c r="V191" s="12" t="str">
        <f t="shared" si="19"/>
        <v>N</v>
      </c>
      <c r="W191" s="12" t="str">
        <f t="shared" si="20"/>
        <v>N</v>
      </c>
      <c r="X191" s="12" t="str">
        <f t="shared" si="21"/>
        <v>N</v>
      </c>
      <c r="Y191" s="12" t="str">
        <f t="shared" si="22"/>
        <v>N</v>
      </c>
      <c r="Z191" s="12" t="str">
        <f t="shared" si="23"/>
        <v>N</v>
      </c>
      <c r="AA191" s="12">
        <f t="shared" si="24"/>
        <v>1</v>
      </c>
      <c r="AB191" s="12" t="str">
        <f t="shared" si="25"/>
        <v>SINGLE-SIGNAL</v>
      </c>
      <c r="AC191" s="14" t="str">
        <f t="shared" si="26"/>
        <v>Settlement Authorization</v>
      </c>
    </row>
    <row r="192" spans="1:29" ht="28.5" x14ac:dyDescent="0.45">
      <c r="A192" s="2" t="s">
        <v>638</v>
      </c>
      <c r="B192" s="2" t="s">
        <v>639</v>
      </c>
      <c r="C192" s="2" t="s">
        <v>119</v>
      </c>
      <c r="D192" s="2" t="s">
        <v>108</v>
      </c>
      <c r="E192" s="11">
        <v>44916</v>
      </c>
      <c r="F192" s="12" t="s">
        <v>51</v>
      </c>
      <c r="G192" s="13">
        <v>53750</v>
      </c>
      <c r="H192" s="12" t="s">
        <v>109</v>
      </c>
      <c r="I192" s="11">
        <v>45053</v>
      </c>
      <c r="J192" s="12" t="s">
        <v>51</v>
      </c>
      <c r="K192" s="11">
        <v>46128</v>
      </c>
      <c r="L192" s="12" t="s">
        <v>51</v>
      </c>
      <c r="M192" s="12" t="s">
        <v>53</v>
      </c>
      <c r="N192" s="11"/>
      <c r="O192" s="12"/>
      <c r="P192" s="12" t="s">
        <v>53</v>
      </c>
      <c r="Q192" s="14"/>
      <c r="R192" s="14"/>
      <c r="S192" s="12" t="s">
        <v>51</v>
      </c>
      <c r="T192" s="11">
        <v>45917</v>
      </c>
      <c r="U192" s="12" t="str">
        <f t="shared" si="18"/>
        <v>N</v>
      </c>
      <c r="V192" s="12" t="str">
        <f t="shared" si="19"/>
        <v>N</v>
      </c>
      <c r="W192" s="12" t="str">
        <f t="shared" si="20"/>
        <v>N</v>
      </c>
      <c r="X192" s="12" t="str">
        <f t="shared" si="21"/>
        <v>N</v>
      </c>
      <c r="Y192" s="12" t="str">
        <f t="shared" si="22"/>
        <v>N</v>
      </c>
      <c r="Z192" s="12" t="str">
        <f t="shared" si="23"/>
        <v>N</v>
      </c>
      <c r="AA192" s="12">
        <f t="shared" si="24"/>
        <v>3</v>
      </c>
      <c r="AB192" s="12" t="str">
        <f t="shared" si="25"/>
        <v>ELEVATED MULTI-SIGNAL</v>
      </c>
      <c r="AC192" s="14" t="str">
        <f t="shared" si="26"/>
        <v>Settlement Authorization | Open Stipulation | Inactive Customer</v>
      </c>
    </row>
    <row r="193" spans="1:29" x14ac:dyDescent="0.45">
      <c r="A193" s="2" t="s">
        <v>640</v>
      </c>
      <c r="B193" s="2" t="s">
        <v>641</v>
      </c>
      <c r="C193" s="2" t="s">
        <v>119</v>
      </c>
      <c r="D193" s="2" t="s">
        <v>642</v>
      </c>
      <c r="E193" s="11">
        <v>43212</v>
      </c>
      <c r="F193" s="12" t="s">
        <v>51</v>
      </c>
      <c r="G193" s="13">
        <v>126250</v>
      </c>
      <c r="H193" s="12" t="s">
        <v>89</v>
      </c>
      <c r="I193" s="11">
        <v>43826</v>
      </c>
      <c r="J193" s="12" t="s">
        <v>53</v>
      </c>
      <c r="K193" s="11"/>
      <c r="L193" s="12" t="s">
        <v>53</v>
      </c>
      <c r="M193" s="12" t="s">
        <v>51</v>
      </c>
      <c r="N193" s="11">
        <v>45084</v>
      </c>
      <c r="O193" s="12" t="s">
        <v>643</v>
      </c>
      <c r="P193" s="12" t="s">
        <v>53</v>
      </c>
      <c r="Q193" s="14"/>
      <c r="R193" s="14"/>
      <c r="S193" s="12" t="s">
        <v>53</v>
      </c>
      <c r="T193" s="11"/>
      <c r="U193" s="12" t="str">
        <f t="shared" si="18"/>
        <v>N</v>
      </c>
      <c r="V193" s="12" t="str">
        <f t="shared" si="19"/>
        <v>N</v>
      </c>
      <c r="W193" s="12" t="str">
        <f t="shared" si="20"/>
        <v>N</v>
      </c>
      <c r="X193" s="12" t="str">
        <f t="shared" si="21"/>
        <v>N</v>
      </c>
      <c r="Y193" s="12" t="str">
        <f t="shared" si="22"/>
        <v>N</v>
      </c>
      <c r="Z193" s="12" t="str">
        <f t="shared" si="23"/>
        <v>N</v>
      </c>
      <c r="AA193" s="12">
        <f t="shared" si="24"/>
        <v>2</v>
      </c>
      <c r="AB193" s="12" t="str">
        <f t="shared" si="25"/>
        <v>MULTI-SIGNAL</v>
      </c>
      <c r="AC193" s="14" t="str">
        <f t="shared" si="26"/>
        <v>Settlement Authorization | Pending QME</v>
      </c>
    </row>
    <row r="194" spans="1:29" ht="28.5" x14ac:dyDescent="0.45">
      <c r="A194" s="2" t="s">
        <v>644</v>
      </c>
      <c r="B194" s="2" t="s">
        <v>645</v>
      </c>
      <c r="C194" s="2" t="s">
        <v>119</v>
      </c>
      <c r="D194" s="2" t="s">
        <v>410</v>
      </c>
      <c r="E194" s="11">
        <v>45068</v>
      </c>
      <c r="F194" s="12" t="s">
        <v>51</v>
      </c>
      <c r="G194" s="13">
        <v>68250</v>
      </c>
      <c r="H194" s="12" t="s">
        <v>277</v>
      </c>
      <c r="I194" s="11">
        <v>45749</v>
      </c>
      <c r="J194" s="12" t="s">
        <v>53</v>
      </c>
      <c r="K194" s="11"/>
      <c r="L194" s="12" t="s">
        <v>51</v>
      </c>
      <c r="M194" s="12" t="s">
        <v>53</v>
      </c>
      <c r="N194" s="11"/>
      <c r="O194" s="12"/>
      <c r="P194" s="12" t="s">
        <v>51</v>
      </c>
      <c r="Q194" s="14" t="s">
        <v>646</v>
      </c>
      <c r="R194" s="14" t="s">
        <v>149</v>
      </c>
      <c r="S194" s="12" t="s">
        <v>53</v>
      </c>
      <c r="T194" s="11"/>
      <c r="U194" s="12" t="str">
        <f t="shared" ref="U194:U257" si="27">IF(ISNUMBER(SEARCH("SURGERY",Q194&amp;" "&amp;R194)),"Y","N")</f>
        <v>Y</v>
      </c>
      <c r="V194" s="12" t="str">
        <f t="shared" ref="V194:V257" si="28">IF(ISNUMBER(SEARCH("MMI",Q194&amp;" "&amp;R194)),"Y","N")</f>
        <v>Y</v>
      </c>
      <c r="W194" s="12" t="str">
        <f t="shared" ref="W194:W257" si="29">IF(ISNUMBER(SEARCH("DENIED TREATMENT",Q194&amp;" "&amp;R194)),"Y","N")</f>
        <v>Y</v>
      </c>
      <c r="X194" s="12" t="str">
        <f t="shared" ref="X194:X257" si="30">IF(ISNUMBER(SEARCH("SPECIALIST CONSULTATION",Q194&amp;" "&amp;R194)),"Y","N")</f>
        <v>N</v>
      </c>
      <c r="Y194" s="12" t="str">
        <f t="shared" ref="Y194:Y257" si="31">IF(ISNUMBER(SEARCH("NON-RENEWED ACCOUNT",Q194&amp;" "&amp;R194)),"Y","N")</f>
        <v>N</v>
      </c>
      <c r="Z194" s="12" t="str">
        <f t="shared" ref="Z194:Z257" si="32">IF(ISNUMBER(SEARCH("MSA ELIGIBLE",Q194&amp;" "&amp;R194)),"Y","N")</f>
        <v>Y</v>
      </c>
      <c r="AA194" s="12">
        <f t="shared" ref="AA194:AA257" si="33">COUNTIF(F194,"Y")+COUNTIF(J194,"Y")+COUNTIF(M194,"Y")+COUNTIF(P194,"Y")+COUNTIF(S194,"Y")</f>
        <v>2</v>
      </c>
      <c r="AB194" s="12" t="str">
        <f t="shared" ref="AB194:AB257" si="34">IF(AA194=5,"MAXIMUM MULTI-SIGNAL",IF(AA194=4,"HIGH MULTI-SIGNAL",IF(AA194=3,"ELEVATED MULTI-SIGNAL",IF(AA194=2,"MULTI-SIGNAL","SINGLE-SIGNAL"))))</f>
        <v>MULTI-SIGNAL</v>
      </c>
      <c r="AC194" s="14" t="str">
        <f t="shared" ref="AC194:AC257" si="35">IF(F194="Y","Settlement Authorization","")&amp;IF(J194="Y",IF(F194="Y"," | ","")&amp;"Open Stipulation","")&amp;IF(M194="Y",IF(OR(F194="Y",J194="Y")," | ","")&amp;"Pending QME","")&amp;IF(P194="Y",IF(OR(F194="Y",J194="Y",M194="Y")," | ","")&amp;"Automated Claim Alert","")&amp;IF(S194="Y",IF(OR(F194="Y",J194="Y",M194="Y",P194="Y")," | ","")&amp;"Inactive Customer","")</f>
        <v>Settlement Authorization | Automated Claim Alert</v>
      </c>
    </row>
    <row r="195" spans="1:29" x14ac:dyDescent="0.45">
      <c r="A195" s="2" t="s">
        <v>647</v>
      </c>
      <c r="B195" s="2" t="s">
        <v>648</v>
      </c>
      <c r="C195" s="2" t="s">
        <v>119</v>
      </c>
      <c r="D195" s="2" t="s">
        <v>649</v>
      </c>
      <c r="E195" s="11">
        <v>45174</v>
      </c>
      <c r="F195" s="12" t="s">
        <v>53</v>
      </c>
      <c r="G195" s="13"/>
      <c r="H195" s="12"/>
      <c r="I195" s="11"/>
      <c r="J195" s="12" t="s">
        <v>53</v>
      </c>
      <c r="K195" s="11"/>
      <c r="L195" s="12"/>
      <c r="M195" s="12" t="s">
        <v>53</v>
      </c>
      <c r="N195" s="11"/>
      <c r="O195" s="12"/>
      <c r="P195" s="12" t="s">
        <v>53</v>
      </c>
      <c r="Q195" s="14"/>
      <c r="R195" s="14"/>
      <c r="S195" s="12" t="s">
        <v>51</v>
      </c>
      <c r="T195" s="11">
        <v>45679</v>
      </c>
      <c r="U195" s="12" t="str">
        <f t="shared" si="27"/>
        <v>N</v>
      </c>
      <c r="V195" s="12" t="str">
        <f t="shared" si="28"/>
        <v>N</v>
      </c>
      <c r="W195" s="12" t="str">
        <f t="shared" si="29"/>
        <v>N</v>
      </c>
      <c r="X195" s="12" t="str">
        <f t="shared" si="30"/>
        <v>N</v>
      </c>
      <c r="Y195" s="12" t="str">
        <f t="shared" si="31"/>
        <v>N</v>
      </c>
      <c r="Z195" s="12" t="str">
        <f t="shared" si="32"/>
        <v>N</v>
      </c>
      <c r="AA195" s="12">
        <f t="shared" si="33"/>
        <v>1</v>
      </c>
      <c r="AB195" s="12" t="str">
        <f t="shared" si="34"/>
        <v>SINGLE-SIGNAL</v>
      </c>
      <c r="AC195" s="14" t="str">
        <f t="shared" si="35"/>
        <v>Inactive Customer</v>
      </c>
    </row>
    <row r="196" spans="1:29" x14ac:dyDescent="0.45">
      <c r="A196" s="2" t="s">
        <v>650</v>
      </c>
      <c r="B196" s="2" t="s">
        <v>651</v>
      </c>
      <c r="C196" s="2" t="s">
        <v>119</v>
      </c>
      <c r="D196" s="2" t="s">
        <v>652</v>
      </c>
      <c r="E196" s="11">
        <v>45898</v>
      </c>
      <c r="F196" s="12" t="s">
        <v>53</v>
      </c>
      <c r="G196" s="13"/>
      <c r="H196" s="12"/>
      <c r="I196" s="11"/>
      <c r="J196" s="12" t="s">
        <v>51</v>
      </c>
      <c r="K196" s="11">
        <v>47133</v>
      </c>
      <c r="L196" s="12" t="s">
        <v>51</v>
      </c>
      <c r="M196" s="12" t="s">
        <v>53</v>
      </c>
      <c r="N196" s="11"/>
      <c r="O196" s="12"/>
      <c r="P196" s="12" t="s">
        <v>53</v>
      </c>
      <c r="Q196" s="14"/>
      <c r="R196" s="14"/>
      <c r="S196" s="12" t="s">
        <v>53</v>
      </c>
      <c r="T196" s="11"/>
      <c r="U196" s="12" t="str">
        <f t="shared" si="27"/>
        <v>N</v>
      </c>
      <c r="V196" s="12" t="str">
        <f t="shared" si="28"/>
        <v>N</v>
      </c>
      <c r="W196" s="12" t="str">
        <f t="shared" si="29"/>
        <v>N</v>
      </c>
      <c r="X196" s="12" t="str">
        <f t="shared" si="30"/>
        <v>N</v>
      </c>
      <c r="Y196" s="12" t="str">
        <f t="shared" si="31"/>
        <v>N</v>
      </c>
      <c r="Z196" s="12" t="str">
        <f t="shared" si="32"/>
        <v>N</v>
      </c>
      <c r="AA196" s="12">
        <f t="shared" si="33"/>
        <v>1</v>
      </c>
      <c r="AB196" s="12" t="str">
        <f t="shared" si="34"/>
        <v>SINGLE-SIGNAL</v>
      </c>
      <c r="AC196" s="14" t="str">
        <f t="shared" si="35"/>
        <v>Open Stipulation</v>
      </c>
    </row>
    <row r="197" spans="1:29" x14ac:dyDescent="0.45">
      <c r="A197" s="2" t="s">
        <v>653</v>
      </c>
      <c r="B197" s="2" t="s">
        <v>654</v>
      </c>
      <c r="C197" s="2" t="s">
        <v>119</v>
      </c>
      <c r="D197" s="2" t="s">
        <v>419</v>
      </c>
      <c r="E197" s="11">
        <v>44141</v>
      </c>
      <c r="F197" s="12" t="s">
        <v>53</v>
      </c>
      <c r="G197" s="13"/>
      <c r="H197" s="12"/>
      <c r="I197" s="11"/>
      <c r="J197" s="12" t="s">
        <v>53</v>
      </c>
      <c r="K197" s="11"/>
      <c r="L197" s="12"/>
      <c r="M197" s="12" t="s">
        <v>53</v>
      </c>
      <c r="N197" s="11"/>
      <c r="O197" s="12"/>
      <c r="P197" s="12" t="s">
        <v>51</v>
      </c>
      <c r="Q197" s="14" t="s">
        <v>149</v>
      </c>
      <c r="R197" s="14"/>
      <c r="S197" s="12" t="s">
        <v>53</v>
      </c>
      <c r="T197" s="11"/>
      <c r="U197" s="12" t="str">
        <f t="shared" si="27"/>
        <v>N</v>
      </c>
      <c r="V197" s="12" t="str">
        <f t="shared" si="28"/>
        <v>N</v>
      </c>
      <c r="W197" s="12" t="str">
        <f t="shared" si="29"/>
        <v>N</v>
      </c>
      <c r="X197" s="12" t="str">
        <f t="shared" si="30"/>
        <v>N</v>
      </c>
      <c r="Y197" s="12" t="str">
        <f t="shared" si="31"/>
        <v>N</v>
      </c>
      <c r="Z197" s="12" t="str">
        <f t="shared" si="32"/>
        <v>Y</v>
      </c>
      <c r="AA197" s="12">
        <f t="shared" si="33"/>
        <v>1</v>
      </c>
      <c r="AB197" s="12" t="str">
        <f t="shared" si="34"/>
        <v>SINGLE-SIGNAL</v>
      </c>
      <c r="AC197" s="14" t="str">
        <f t="shared" si="35"/>
        <v>Automated Claim Alert</v>
      </c>
    </row>
    <row r="198" spans="1:29" ht="28.5" x14ac:dyDescent="0.45">
      <c r="A198" s="2" t="s">
        <v>655</v>
      </c>
      <c r="B198" s="2" t="s">
        <v>656</v>
      </c>
      <c r="C198" s="2" t="s">
        <v>119</v>
      </c>
      <c r="D198" s="2" t="s">
        <v>612</v>
      </c>
      <c r="E198" s="11">
        <v>43218</v>
      </c>
      <c r="F198" s="12" t="s">
        <v>53</v>
      </c>
      <c r="G198" s="13"/>
      <c r="H198" s="12"/>
      <c r="I198" s="11"/>
      <c r="J198" s="12" t="s">
        <v>53</v>
      </c>
      <c r="K198" s="11"/>
      <c r="L198" s="12"/>
      <c r="M198" s="12" t="s">
        <v>53</v>
      </c>
      <c r="N198" s="11"/>
      <c r="O198" s="12"/>
      <c r="P198" s="12" t="s">
        <v>51</v>
      </c>
      <c r="Q198" s="14" t="s">
        <v>657</v>
      </c>
      <c r="R198" s="14"/>
      <c r="S198" s="12" t="s">
        <v>51</v>
      </c>
      <c r="T198" s="11">
        <v>43848</v>
      </c>
      <c r="U198" s="12" t="str">
        <f t="shared" si="27"/>
        <v>Y</v>
      </c>
      <c r="V198" s="12" t="str">
        <f t="shared" si="28"/>
        <v>Y</v>
      </c>
      <c r="W198" s="12" t="str">
        <f t="shared" si="29"/>
        <v>Y</v>
      </c>
      <c r="X198" s="12" t="str">
        <f t="shared" si="30"/>
        <v>N</v>
      </c>
      <c r="Y198" s="12" t="str">
        <f t="shared" si="31"/>
        <v>N</v>
      </c>
      <c r="Z198" s="12" t="str">
        <f t="shared" si="32"/>
        <v>N</v>
      </c>
      <c r="AA198" s="12">
        <f t="shared" si="33"/>
        <v>2</v>
      </c>
      <c r="AB198" s="12" t="str">
        <f t="shared" si="34"/>
        <v>MULTI-SIGNAL</v>
      </c>
      <c r="AC198" s="14" t="str">
        <f t="shared" si="35"/>
        <v>Automated Claim Alert | Inactive Customer</v>
      </c>
    </row>
    <row r="199" spans="1:29" x14ac:dyDescent="0.45">
      <c r="A199" s="2" t="s">
        <v>658</v>
      </c>
      <c r="B199" s="2" t="s">
        <v>659</v>
      </c>
      <c r="C199" s="2" t="s">
        <v>119</v>
      </c>
      <c r="D199" s="2" t="s">
        <v>221</v>
      </c>
      <c r="E199" s="11">
        <v>44779</v>
      </c>
      <c r="F199" s="12" t="s">
        <v>51</v>
      </c>
      <c r="G199" s="13">
        <v>115500</v>
      </c>
      <c r="H199" s="12" t="s">
        <v>85</v>
      </c>
      <c r="I199" s="11">
        <v>45356</v>
      </c>
      <c r="J199" s="12" t="s">
        <v>51</v>
      </c>
      <c r="K199" s="11">
        <v>45912</v>
      </c>
      <c r="L199" s="12" t="s">
        <v>51</v>
      </c>
      <c r="M199" s="12" t="s">
        <v>53</v>
      </c>
      <c r="N199" s="11"/>
      <c r="O199" s="12"/>
      <c r="P199" s="12" t="s">
        <v>53</v>
      </c>
      <c r="Q199" s="14"/>
      <c r="R199" s="14"/>
      <c r="S199" s="12" t="s">
        <v>53</v>
      </c>
      <c r="T199" s="11"/>
      <c r="U199" s="12" t="str">
        <f t="shared" si="27"/>
        <v>N</v>
      </c>
      <c r="V199" s="12" t="str">
        <f t="shared" si="28"/>
        <v>N</v>
      </c>
      <c r="W199" s="12" t="str">
        <f t="shared" si="29"/>
        <v>N</v>
      </c>
      <c r="X199" s="12" t="str">
        <f t="shared" si="30"/>
        <v>N</v>
      </c>
      <c r="Y199" s="12" t="str">
        <f t="shared" si="31"/>
        <v>N</v>
      </c>
      <c r="Z199" s="12" t="str">
        <f t="shared" si="32"/>
        <v>N</v>
      </c>
      <c r="AA199" s="12">
        <f t="shared" si="33"/>
        <v>2</v>
      </c>
      <c r="AB199" s="12" t="str">
        <f t="shared" si="34"/>
        <v>MULTI-SIGNAL</v>
      </c>
      <c r="AC199" s="14" t="str">
        <f t="shared" si="35"/>
        <v>Settlement Authorization | Open Stipulation</v>
      </c>
    </row>
    <row r="200" spans="1:29" ht="28.5" x14ac:dyDescent="0.45">
      <c r="A200" s="2" t="s">
        <v>660</v>
      </c>
      <c r="B200" s="2" t="s">
        <v>661</v>
      </c>
      <c r="C200" s="2" t="s">
        <v>119</v>
      </c>
      <c r="D200" s="2" t="s">
        <v>662</v>
      </c>
      <c r="E200" s="11">
        <v>45233</v>
      </c>
      <c r="F200" s="12" t="s">
        <v>51</v>
      </c>
      <c r="G200" s="13">
        <v>166750</v>
      </c>
      <c r="H200" s="12" t="s">
        <v>66</v>
      </c>
      <c r="I200" s="11">
        <v>46898</v>
      </c>
      <c r="J200" s="12" t="s">
        <v>53</v>
      </c>
      <c r="K200" s="11"/>
      <c r="L200" s="12" t="s">
        <v>53</v>
      </c>
      <c r="M200" s="12" t="s">
        <v>51</v>
      </c>
      <c r="N200" s="11">
        <v>46473</v>
      </c>
      <c r="O200" s="12" t="s">
        <v>264</v>
      </c>
      <c r="P200" s="12" t="s">
        <v>53</v>
      </c>
      <c r="Q200" s="14"/>
      <c r="R200" s="14"/>
      <c r="S200" s="12" t="s">
        <v>51</v>
      </c>
      <c r="T200" s="11">
        <v>46651</v>
      </c>
      <c r="U200" s="12" t="str">
        <f t="shared" si="27"/>
        <v>N</v>
      </c>
      <c r="V200" s="12" t="str">
        <f t="shared" si="28"/>
        <v>N</v>
      </c>
      <c r="W200" s="12" t="str">
        <f t="shared" si="29"/>
        <v>N</v>
      </c>
      <c r="X200" s="12" t="str">
        <f t="shared" si="30"/>
        <v>N</v>
      </c>
      <c r="Y200" s="12" t="str">
        <f t="shared" si="31"/>
        <v>N</v>
      </c>
      <c r="Z200" s="12" t="str">
        <f t="shared" si="32"/>
        <v>N</v>
      </c>
      <c r="AA200" s="12">
        <f t="shared" si="33"/>
        <v>3</v>
      </c>
      <c r="AB200" s="12" t="str">
        <f t="shared" si="34"/>
        <v>ELEVATED MULTI-SIGNAL</v>
      </c>
      <c r="AC200" s="14" t="str">
        <f t="shared" si="35"/>
        <v>Settlement Authorization | Pending QME | Inactive Customer</v>
      </c>
    </row>
    <row r="201" spans="1:29" x14ac:dyDescent="0.45">
      <c r="A201" s="2" t="s">
        <v>663</v>
      </c>
      <c r="B201" s="2" t="s">
        <v>664</v>
      </c>
      <c r="C201" s="2" t="s">
        <v>119</v>
      </c>
      <c r="D201" s="2" t="s">
        <v>665</v>
      </c>
      <c r="E201" s="11">
        <v>44518</v>
      </c>
      <c r="F201" s="12" t="s">
        <v>51</v>
      </c>
      <c r="G201" s="13">
        <v>50500</v>
      </c>
      <c r="H201" s="12" t="s">
        <v>52</v>
      </c>
      <c r="I201" s="11">
        <v>46175</v>
      </c>
      <c r="J201" s="12" t="s">
        <v>53</v>
      </c>
      <c r="K201" s="11"/>
      <c r="L201" s="12" t="s">
        <v>53</v>
      </c>
      <c r="M201" s="12" t="s">
        <v>53</v>
      </c>
      <c r="N201" s="11"/>
      <c r="O201" s="12"/>
      <c r="P201" s="12" t="s">
        <v>53</v>
      </c>
      <c r="Q201" s="14"/>
      <c r="R201" s="14"/>
      <c r="S201" s="12" t="s">
        <v>53</v>
      </c>
      <c r="T201" s="11"/>
      <c r="U201" s="12" t="str">
        <f t="shared" si="27"/>
        <v>N</v>
      </c>
      <c r="V201" s="12" t="str">
        <f t="shared" si="28"/>
        <v>N</v>
      </c>
      <c r="W201" s="12" t="str">
        <f t="shared" si="29"/>
        <v>N</v>
      </c>
      <c r="X201" s="12" t="str">
        <f t="shared" si="30"/>
        <v>N</v>
      </c>
      <c r="Y201" s="12" t="str">
        <f t="shared" si="31"/>
        <v>N</v>
      </c>
      <c r="Z201" s="12" t="str">
        <f t="shared" si="32"/>
        <v>N</v>
      </c>
      <c r="AA201" s="12">
        <f t="shared" si="33"/>
        <v>1</v>
      </c>
      <c r="AB201" s="12" t="str">
        <f t="shared" si="34"/>
        <v>SINGLE-SIGNAL</v>
      </c>
      <c r="AC201" s="14" t="str">
        <f t="shared" si="35"/>
        <v>Settlement Authorization</v>
      </c>
    </row>
    <row r="202" spans="1:29" x14ac:dyDescent="0.45">
      <c r="A202" s="2" t="s">
        <v>666</v>
      </c>
      <c r="B202" s="2" t="s">
        <v>667</v>
      </c>
      <c r="C202" s="2" t="s">
        <v>119</v>
      </c>
      <c r="D202" s="2" t="s">
        <v>241</v>
      </c>
      <c r="E202" s="11">
        <v>44588</v>
      </c>
      <c r="F202" s="12" t="s">
        <v>53</v>
      </c>
      <c r="G202" s="13"/>
      <c r="H202" s="12"/>
      <c r="I202" s="11"/>
      <c r="J202" s="12" t="s">
        <v>53</v>
      </c>
      <c r="K202" s="11"/>
      <c r="L202" s="12"/>
      <c r="M202" s="12" t="s">
        <v>53</v>
      </c>
      <c r="N202" s="11"/>
      <c r="O202" s="12"/>
      <c r="P202" s="12" t="s">
        <v>53</v>
      </c>
      <c r="Q202" s="14"/>
      <c r="R202" s="14"/>
      <c r="S202" s="12" t="s">
        <v>51</v>
      </c>
      <c r="T202" s="11">
        <v>45651</v>
      </c>
      <c r="U202" s="12" t="str">
        <f t="shared" si="27"/>
        <v>N</v>
      </c>
      <c r="V202" s="12" t="str">
        <f t="shared" si="28"/>
        <v>N</v>
      </c>
      <c r="W202" s="12" t="str">
        <f t="shared" si="29"/>
        <v>N</v>
      </c>
      <c r="X202" s="12" t="str">
        <f t="shared" si="30"/>
        <v>N</v>
      </c>
      <c r="Y202" s="12" t="str">
        <f t="shared" si="31"/>
        <v>N</v>
      </c>
      <c r="Z202" s="12" t="str">
        <f t="shared" si="32"/>
        <v>N</v>
      </c>
      <c r="AA202" s="12">
        <f t="shared" si="33"/>
        <v>1</v>
      </c>
      <c r="AB202" s="12" t="str">
        <f t="shared" si="34"/>
        <v>SINGLE-SIGNAL</v>
      </c>
      <c r="AC202" s="14" t="str">
        <f t="shared" si="35"/>
        <v>Inactive Customer</v>
      </c>
    </row>
    <row r="203" spans="1:29" x14ac:dyDescent="0.45">
      <c r="A203" s="2" t="s">
        <v>668</v>
      </c>
      <c r="B203" s="2" t="s">
        <v>669</v>
      </c>
      <c r="C203" s="2" t="s">
        <v>119</v>
      </c>
      <c r="D203" s="2" t="s">
        <v>622</v>
      </c>
      <c r="E203" s="11">
        <v>43330</v>
      </c>
      <c r="F203" s="12" t="s">
        <v>51</v>
      </c>
      <c r="G203" s="13">
        <v>1000</v>
      </c>
      <c r="H203" s="12" t="s">
        <v>109</v>
      </c>
      <c r="I203" s="11">
        <v>44551</v>
      </c>
      <c r="J203" s="12" t="s">
        <v>53</v>
      </c>
      <c r="K203" s="11"/>
      <c r="L203" s="12" t="s">
        <v>53</v>
      </c>
      <c r="M203" s="12" t="s">
        <v>53</v>
      </c>
      <c r="N203" s="11"/>
      <c r="O203" s="12"/>
      <c r="P203" s="12" t="s">
        <v>53</v>
      </c>
      <c r="Q203" s="14"/>
      <c r="R203" s="14"/>
      <c r="S203" s="12" t="s">
        <v>53</v>
      </c>
      <c r="T203" s="11"/>
      <c r="U203" s="12" t="str">
        <f t="shared" si="27"/>
        <v>N</v>
      </c>
      <c r="V203" s="12" t="str">
        <f t="shared" si="28"/>
        <v>N</v>
      </c>
      <c r="W203" s="12" t="str">
        <f t="shared" si="29"/>
        <v>N</v>
      </c>
      <c r="X203" s="12" t="str">
        <f t="shared" si="30"/>
        <v>N</v>
      </c>
      <c r="Y203" s="12" t="str">
        <f t="shared" si="31"/>
        <v>N</v>
      </c>
      <c r="Z203" s="12" t="str">
        <f t="shared" si="32"/>
        <v>N</v>
      </c>
      <c r="AA203" s="12">
        <f t="shared" si="33"/>
        <v>1</v>
      </c>
      <c r="AB203" s="12" t="str">
        <f t="shared" si="34"/>
        <v>SINGLE-SIGNAL</v>
      </c>
      <c r="AC203" s="14" t="str">
        <f t="shared" si="35"/>
        <v>Settlement Authorization</v>
      </c>
    </row>
    <row r="204" spans="1:29" ht="28.5" x14ac:dyDescent="0.45">
      <c r="A204" s="2" t="s">
        <v>670</v>
      </c>
      <c r="B204" s="2" t="s">
        <v>671</v>
      </c>
      <c r="C204" s="2" t="s">
        <v>119</v>
      </c>
      <c r="D204" s="2" t="s">
        <v>181</v>
      </c>
      <c r="E204" s="11">
        <v>45584</v>
      </c>
      <c r="F204" s="12" t="s">
        <v>51</v>
      </c>
      <c r="G204" s="13">
        <v>77250</v>
      </c>
      <c r="H204" s="12" t="s">
        <v>277</v>
      </c>
      <c r="I204" s="11">
        <v>45703</v>
      </c>
      <c r="J204" s="12" t="s">
        <v>53</v>
      </c>
      <c r="K204" s="11"/>
      <c r="L204" s="12" t="s">
        <v>51</v>
      </c>
      <c r="M204" s="12" t="s">
        <v>53</v>
      </c>
      <c r="N204" s="11"/>
      <c r="O204" s="12"/>
      <c r="P204" s="12" t="s">
        <v>51</v>
      </c>
      <c r="Q204" s="14" t="s">
        <v>143</v>
      </c>
      <c r="R204" s="14"/>
      <c r="S204" s="12" t="s">
        <v>53</v>
      </c>
      <c r="T204" s="11"/>
      <c r="U204" s="12" t="str">
        <f t="shared" si="27"/>
        <v>N</v>
      </c>
      <c r="V204" s="12" t="str">
        <f t="shared" si="28"/>
        <v>N</v>
      </c>
      <c r="W204" s="12" t="str">
        <f t="shared" si="29"/>
        <v>Y</v>
      </c>
      <c r="X204" s="12" t="str">
        <f t="shared" si="30"/>
        <v>N</v>
      </c>
      <c r="Y204" s="12" t="str">
        <f t="shared" si="31"/>
        <v>Y</v>
      </c>
      <c r="Z204" s="12" t="str">
        <f t="shared" si="32"/>
        <v>Y</v>
      </c>
      <c r="AA204" s="12">
        <f t="shared" si="33"/>
        <v>2</v>
      </c>
      <c r="AB204" s="12" t="str">
        <f t="shared" si="34"/>
        <v>MULTI-SIGNAL</v>
      </c>
      <c r="AC204" s="14" t="str">
        <f t="shared" si="35"/>
        <v>Settlement Authorization | Automated Claim Alert</v>
      </c>
    </row>
    <row r="205" spans="1:29" ht="28.5" x14ac:dyDescent="0.45">
      <c r="A205" s="2" t="s">
        <v>672</v>
      </c>
      <c r="B205" s="2" t="s">
        <v>673</v>
      </c>
      <c r="C205" s="2" t="s">
        <v>119</v>
      </c>
      <c r="D205" s="2" t="s">
        <v>405</v>
      </c>
      <c r="E205" s="11">
        <v>45211</v>
      </c>
      <c r="F205" s="12" t="s">
        <v>51</v>
      </c>
      <c r="G205" s="13">
        <v>138750</v>
      </c>
      <c r="H205" s="12" t="s">
        <v>59</v>
      </c>
      <c r="I205" s="11">
        <v>46931</v>
      </c>
      <c r="J205" s="12" t="s">
        <v>51</v>
      </c>
      <c r="K205" s="11">
        <v>46063</v>
      </c>
      <c r="L205" s="12" t="s">
        <v>53</v>
      </c>
      <c r="M205" s="12" t="s">
        <v>53</v>
      </c>
      <c r="N205" s="11"/>
      <c r="O205" s="12"/>
      <c r="P205" s="12" t="s">
        <v>53</v>
      </c>
      <c r="Q205" s="14"/>
      <c r="R205" s="14"/>
      <c r="S205" s="12" t="s">
        <v>51</v>
      </c>
      <c r="T205" s="11">
        <v>47129</v>
      </c>
      <c r="U205" s="12" t="str">
        <f t="shared" si="27"/>
        <v>N</v>
      </c>
      <c r="V205" s="12" t="str">
        <f t="shared" si="28"/>
        <v>N</v>
      </c>
      <c r="W205" s="12" t="str">
        <f t="shared" si="29"/>
        <v>N</v>
      </c>
      <c r="X205" s="12" t="str">
        <f t="shared" si="30"/>
        <v>N</v>
      </c>
      <c r="Y205" s="12" t="str">
        <f t="shared" si="31"/>
        <v>N</v>
      </c>
      <c r="Z205" s="12" t="str">
        <f t="shared" si="32"/>
        <v>N</v>
      </c>
      <c r="AA205" s="12">
        <f t="shared" si="33"/>
        <v>3</v>
      </c>
      <c r="AB205" s="12" t="str">
        <f t="shared" si="34"/>
        <v>ELEVATED MULTI-SIGNAL</v>
      </c>
      <c r="AC205" s="14" t="str">
        <f t="shared" si="35"/>
        <v>Settlement Authorization | Open Stipulation | Inactive Customer</v>
      </c>
    </row>
    <row r="206" spans="1:29" x14ac:dyDescent="0.45">
      <c r="A206" s="2" t="s">
        <v>674</v>
      </c>
      <c r="B206" s="2" t="s">
        <v>675</v>
      </c>
      <c r="C206" s="2" t="s">
        <v>119</v>
      </c>
      <c r="D206" s="2" t="s">
        <v>298</v>
      </c>
      <c r="E206" s="11">
        <v>43820</v>
      </c>
      <c r="F206" s="12" t="s">
        <v>51</v>
      </c>
      <c r="G206" s="13">
        <v>8250</v>
      </c>
      <c r="H206" s="12" t="s">
        <v>59</v>
      </c>
      <c r="I206" s="11">
        <v>45042</v>
      </c>
      <c r="J206" s="12" t="s">
        <v>53</v>
      </c>
      <c r="K206" s="11"/>
      <c r="L206" s="12" t="s">
        <v>51</v>
      </c>
      <c r="M206" s="12" t="s">
        <v>51</v>
      </c>
      <c r="N206" s="11">
        <v>44346</v>
      </c>
      <c r="O206" s="12" t="s">
        <v>458</v>
      </c>
      <c r="P206" s="12" t="s">
        <v>53</v>
      </c>
      <c r="Q206" s="14"/>
      <c r="R206" s="14"/>
      <c r="S206" s="12" t="s">
        <v>53</v>
      </c>
      <c r="T206" s="11"/>
      <c r="U206" s="12" t="str">
        <f t="shared" si="27"/>
        <v>N</v>
      </c>
      <c r="V206" s="12" t="str">
        <f t="shared" si="28"/>
        <v>N</v>
      </c>
      <c r="W206" s="12" t="str">
        <f t="shared" si="29"/>
        <v>N</v>
      </c>
      <c r="X206" s="12" t="str">
        <f t="shared" si="30"/>
        <v>N</v>
      </c>
      <c r="Y206" s="12" t="str">
        <f t="shared" si="31"/>
        <v>N</v>
      </c>
      <c r="Z206" s="12" t="str">
        <f t="shared" si="32"/>
        <v>N</v>
      </c>
      <c r="AA206" s="12">
        <f t="shared" si="33"/>
        <v>2</v>
      </c>
      <c r="AB206" s="12" t="str">
        <f t="shared" si="34"/>
        <v>MULTI-SIGNAL</v>
      </c>
      <c r="AC206" s="14" t="str">
        <f t="shared" si="35"/>
        <v>Settlement Authorization | Pending QME</v>
      </c>
    </row>
    <row r="207" spans="1:29" x14ac:dyDescent="0.45">
      <c r="A207" s="2" t="s">
        <v>676</v>
      </c>
      <c r="B207" s="2" t="s">
        <v>677</v>
      </c>
      <c r="C207" s="2" t="s">
        <v>119</v>
      </c>
      <c r="D207" s="2" t="s">
        <v>353</v>
      </c>
      <c r="E207" s="11">
        <v>45551</v>
      </c>
      <c r="F207" s="12" t="s">
        <v>53</v>
      </c>
      <c r="G207" s="13"/>
      <c r="H207" s="12"/>
      <c r="I207" s="11"/>
      <c r="J207" s="12" t="s">
        <v>53</v>
      </c>
      <c r="K207" s="11"/>
      <c r="L207" s="12"/>
      <c r="M207" s="12" t="s">
        <v>53</v>
      </c>
      <c r="N207" s="11"/>
      <c r="O207" s="12"/>
      <c r="P207" s="12" t="s">
        <v>51</v>
      </c>
      <c r="Q207" s="14" t="s">
        <v>222</v>
      </c>
      <c r="R207" s="14"/>
      <c r="S207" s="12" t="s">
        <v>51</v>
      </c>
      <c r="T207" s="11">
        <v>47698</v>
      </c>
      <c r="U207" s="12" t="str">
        <f t="shared" si="27"/>
        <v>N</v>
      </c>
      <c r="V207" s="12" t="str">
        <f t="shared" si="28"/>
        <v>N</v>
      </c>
      <c r="W207" s="12" t="str">
        <f t="shared" si="29"/>
        <v>N</v>
      </c>
      <c r="X207" s="12" t="str">
        <f t="shared" si="30"/>
        <v>N</v>
      </c>
      <c r="Y207" s="12" t="str">
        <f t="shared" si="31"/>
        <v>Y</v>
      </c>
      <c r="Z207" s="12" t="str">
        <f t="shared" si="32"/>
        <v>N</v>
      </c>
      <c r="AA207" s="12">
        <f t="shared" si="33"/>
        <v>2</v>
      </c>
      <c r="AB207" s="12" t="str">
        <f t="shared" si="34"/>
        <v>MULTI-SIGNAL</v>
      </c>
      <c r="AC207" s="14" t="str">
        <f t="shared" si="35"/>
        <v>Automated Claim Alert | Inactive Customer</v>
      </c>
    </row>
    <row r="208" spans="1:29" x14ac:dyDescent="0.45">
      <c r="A208" s="2" t="s">
        <v>678</v>
      </c>
      <c r="B208" s="2" t="s">
        <v>679</v>
      </c>
      <c r="C208" s="2" t="s">
        <v>119</v>
      </c>
      <c r="D208" s="2" t="s">
        <v>680</v>
      </c>
      <c r="E208" s="11">
        <v>43284</v>
      </c>
      <c r="F208" s="12" t="s">
        <v>53</v>
      </c>
      <c r="G208" s="13"/>
      <c r="H208" s="12"/>
      <c r="I208" s="11"/>
      <c r="J208" s="12" t="s">
        <v>51</v>
      </c>
      <c r="K208" s="11">
        <v>43520</v>
      </c>
      <c r="L208" s="12" t="s">
        <v>53</v>
      </c>
      <c r="M208" s="12" t="s">
        <v>53</v>
      </c>
      <c r="N208" s="11"/>
      <c r="O208" s="12"/>
      <c r="P208" s="12" t="s">
        <v>53</v>
      </c>
      <c r="Q208" s="14"/>
      <c r="R208" s="14"/>
      <c r="S208" s="12" t="s">
        <v>53</v>
      </c>
      <c r="T208" s="11"/>
      <c r="U208" s="12" t="str">
        <f t="shared" si="27"/>
        <v>N</v>
      </c>
      <c r="V208" s="12" t="str">
        <f t="shared" si="28"/>
        <v>N</v>
      </c>
      <c r="W208" s="12" t="str">
        <f t="shared" si="29"/>
        <v>N</v>
      </c>
      <c r="X208" s="12" t="str">
        <f t="shared" si="30"/>
        <v>N</v>
      </c>
      <c r="Y208" s="12" t="str">
        <f t="shared" si="31"/>
        <v>N</v>
      </c>
      <c r="Z208" s="12" t="str">
        <f t="shared" si="32"/>
        <v>N</v>
      </c>
      <c r="AA208" s="12">
        <f t="shared" si="33"/>
        <v>1</v>
      </c>
      <c r="AB208" s="12" t="str">
        <f t="shared" si="34"/>
        <v>SINGLE-SIGNAL</v>
      </c>
      <c r="AC208" s="14" t="str">
        <f t="shared" si="35"/>
        <v>Open Stipulation</v>
      </c>
    </row>
    <row r="209" spans="1:29" x14ac:dyDescent="0.45">
      <c r="A209" s="2" t="s">
        <v>681</v>
      </c>
      <c r="B209" s="2" t="s">
        <v>682</v>
      </c>
      <c r="C209" s="2" t="s">
        <v>119</v>
      </c>
      <c r="D209" s="2" t="s">
        <v>510</v>
      </c>
      <c r="E209" s="11">
        <v>45121</v>
      </c>
      <c r="F209" s="12" t="s">
        <v>53</v>
      </c>
      <c r="G209" s="13"/>
      <c r="H209" s="12"/>
      <c r="I209" s="11"/>
      <c r="J209" s="12" t="s">
        <v>51</v>
      </c>
      <c r="K209" s="11">
        <v>45476</v>
      </c>
      <c r="L209" s="12" t="s">
        <v>51</v>
      </c>
      <c r="M209" s="12" t="s">
        <v>53</v>
      </c>
      <c r="N209" s="11"/>
      <c r="O209" s="12"/>
      <c r="P209" s="12" t="s">
        <v>53</v>
      </c>
      <c r="Q209" s="14"/>
      <c r="R209" s="14"/>
      <c r="S209" s="12" t="s">
        <v>53</v>
      </c>
      <c r="T209" s="11"/>
      <c r="U209" s="12" t="str">
        <f t="shared" si="27"/>
        <v>N</v>
      </c>
      <c r="V209" s="12" t="str">
        <f t="shared" si="28"/>
        <v>N</v>
      </c>
      <c r="W209" s="12" t="str">
        <f t="shared" si="29"/>
        <v>N</v>
      </c>
      <c r="X209" s="12" t="str">
        <f t="shared" si="30"/>
        <v>N</v>
      </c>
      <c r="Y209" s="12" t="str">
        <f t="shared" si="31"/>
        <v>N</v>
      </c>
      <c r="Z209" s="12" t="str">
        <f t="shared" si="32"/>
        <v>N</v>
      </c>
      <c r="AA209" s="12">
        <f t="shared" si="33"/>
        <v>1</v>
      </c>
      <c r="AB209" s="12" t="str">
        <f t="shared" si="34"/>
        <v>SINGLE-SIGNAL</v>
      </c>
      <c r="AC209" s="14" t="str">
        <f t="shared" si="35"/>
        <v>Open Stipulation</v>
      </c>
    </row>
    <row r="210" spans="1:29" x14ac:dyDescent="0.45">
      <c r="A210" s="2" t="s">
        <v>683</v>
      </c>
      <c r="B210" s="2" t="s">
        <v>684</v>
      </c>
      <c r="C210" s="2" t="s">
        <v>119</v>
      </c>
      <c r="D210" s="2" t="s">
        <v>642</v>
      </c>
      <c r="E210" s="11">
        <v>43341</v>
      </c>
      <c r="F210" s="12" t="s">
        <v>53</v>
      </c>
      <c r="G210" s="13"/>
      <c r="H210" s="12"/>
      <c r="I210" s="11"/>
      <c r="J210" s="12" t="s">
        <v>53</v>
      </c>
      <c r="K210" s="11"/>
      <c r="L210" s="12"/>
      <c r="M210" s="12" t="s">
        <v>53</v>
      </c>
      <c r="N210" s="11"/>
      <c r="O210" s="12"/>
      <c r="P210" s="12" t="s">
        <v>51</v>
      </c>
      <c r="Q210" s="14" t="s">
        <v>183</v>
      </c>
      <c r="R210" s="14"/>
      <c r="S210" s="12" t="s">
        <v>53</v>
      </c>
      <c r="T210" s="11"/>
      <c r="U210" s="12" t="str">
        <f t="shared" si="27"/>
        <v>N</v>
      </c>
      <c r="V210" s="12" t="str">
        <f t="shared" si="28"/>
        <v>N</v>
      </c>
      <c r="W210" s="12" t="str">
        <f t="shared" si="29"/>
        <v>Y</v>
      </c>
      <c r="X210" s="12" t="str">
        <f t="shared" si="30"/>
        <v>N</v>
      </c>
      <c r="Y210" s="12" t="str">
        <f t="shared" si="31"/>
        <v>N</v>
      </c>
      <c r="Z210" s="12" t="str">
        <f t="shared" si="32"/>
        <v>N</v>
      </c>
      <c r="AA210" s="12">
        <f t="shared" si="33"/>
        <v>1</v>
      </c>
      <c r="AB210" s="12" t="str">
        <f t="shared" si="34"/>
        <v>SINGLE-SIGNAL</v>
      </c>
      <c r="AC210" s="14" t="str">
        <f t="shared" si="35"/>
        <v>Automated Claim Alert</v>
      </c>
    </row>
    <row r="211" spans="1:29" ht="28.5" x14ac:dyDescent="0.45">
      <c r="A211" s="2" t="s">
        <v>685</v>
      </c>
      <c r="B211" s="2" t="s">
        <v>686</v>
      </c>
      <c r="C211" s="2" t="s">
        <v>119</v>
      </c>
      <c r="D211" s="2" t="s">
        <v>687</v>
      </c>
      <c r="E211" s="11">
        <v>45562</v>
      </c>
      <c r="F211" s="12" t="s">
        <v>51</v>
      </c>
      <c r="G211" s="13">
        <v>64500</v>
      </c>
      <c r="H211" s="12" t="s">
        <v>71</v>
      </c>
      <c r="I211" s="11">
        <v>47276</v>
      </c>
      <c r="J211" s="12" t="s">
        <v>53</v>
      </c>
      <c r="K211" s="11"/>
      <c r="L211" s="12" t="s">
        <v>51</v>
      </c>
      <c r="M211" s="12" t="s">
        <v>53</v>
      </c>
      <c r="N211" s="11"/>
      <c r="O211" s="12"/>
      <c r="P211" s="12" t="s">
        <v>51</v>
      </c>
      <c r="Q211" s="14" t="s">
        <v>402</v>
      </c>
      <c r="R211" s="14" t="s">
        <v>222</v>
      </c>
      <c r="S211" s="12" t="s">
        <v>53</v>
      </c>
      <c r="T211" s="11"/>
      <c r="U211" s="12" t="str">
        <f t="shared" si="27"/>
        <v>N</v>
      </c>
      <c r="V211" s="12" t="str">
        <f t="shared" si="28"/>
        <v>Y</v>
      </c>
      <c r="W211" s="12" t="str">
        <f t="shared" si="29"/>
        <v>N</v>
      </c>
      <c r="X211" s="12" t="str">
        <f t="shared" si="30"/>
        <v>Y</v>
      </c>
      <c r="Y211" s="12" t="str">
        <f t="shared" si="31"/>
        <v>Y</v>
      </c>
      <c r="Z211" s="12" t="str">
        <f t="shared" si="32"/>
        <v>N</v>
      </c>
      <c r="AA211" s="12">
        <f t="shared" si="33"/>
        <v>2</v>
      </c>
      <c r="AB211" s="12" t="str">
        <f t="shared" si="34"/>
        <v>MULTI-SIGNAL</v>
      </c>
      <c r="AC211" s="14" t="str">
        <f t="shared" si="35"/>
        <v>Settlement Authorization | Automated Claim Alert</v>
      </c>
    </row>
    <row r="212" spans="1:29" x14ac:dyDescent="0.45">
      <c r="A212" s="2" t="s">
        <v>688</v>
      </c>
      <c r="B212" s="2" t="s">
        <v>689</v>
      </c>
      <c r="C212" s="2" t="s">
        <v>119</v>
      </c>
      <c r="D212" s="2" t="s">
        <v>230</v>
      </c>
      <c r="E212" s="11">
        <v>45296</v>
      </c>
      <c r="F212" s="12" t="s">
        <v>51</v>
      </c>
      <c r="G212" s="13">
        <v>157000</v>
      </c>
      <c r="H212" s="12" t="s">
        <v>59</v>
      </c>
      <c r="I212" s="11">
        <v>45559</v>
      </c>
      <c r="J212" s="12" t="s">
        <v>53</v>
      </c>
      <c r="K212" s="11"/>
      <c r="L212" s="12" t="s">
        <v>53</v>
      </c>
      <c r="M212" s="12" t="s">
        <v>53</v>
      </c>
      <c r="N212" s="11"/>
      <c r="O212" s="12"/>
      <c r="P212" s="12" t="s">
        <v>53</v>
      </c>
      <c r="Q212" s="14"/>
      <c r="R212" s="14"/>
      <c r="S212" s="12" t="s">
        <v>53</v>
      </c>
      <c r="T212" s="11"/>
      <c r="U212" s="12" t="str">
        <f t="shared" si="27"/>
        <v>N</v>
      </c>
      <c r="V212" s="12" t="str">
        <f t="shared" si="28"/>
        <v>N</v>
      </c>
      <c r="W212" s="12" t="str">
        <f t="shared" si="29"/>
        <v>N</v>
      </c>
      <c r="X212" s="12" t="str">
        <f t="shared" si="30"/>
        <v>N</v>
      </c>
      <c r="Y212" s="12" t="str">
        <f t="shared" si="31"/>
        <v>N</v>
      </c>
      <c r="Z212" s="12" t="str">
        <f t="shared" si="32"/>
        <v>N</v>
      </c>
      <c r="AA212" s="12">
        <f t="shared" si="33"/>
        <v>1</v>
      </c>
      <c r="AB212" s="12" t="str">
        <f t="shared" si="34"/>
        <v>SINGLE-SIGNAL</v>
      </c>
      <c r="AC212" s="14" t="str">
        <f t="shared" si="35"/>
        <v>Settlement Authorization</v>
      </c>
    </row>
    <row r="213" spans="1:29" x14ac:dyDescent="0.45">
      <c r="A213" s="2" t="s">
        <v>690</v>
      </c>
      <c r="B213" s="2" t="s">
        <v>691</v>
      </c>
      <c r="C213" s="2" t="s">
        <v>119</v>
      </c>
      <c r="D213" s="2" t="s">
        <v>649</v>
      </c>
      <c r="E213" s="11">
        <v>45607</v>
      </c>
      <c r="F213" s="12" t="s">
        <v>51</v>
      </c>
      <c r="G213" s="13">
        <v>60000</v>
      </c>
      <c r="H213" s="12" t="s">
        <v>59</v>
      </c>
      <c r="I213" s="11">
        <v>46632</v>
      </c>
      <c r="J213" s="12" t="s">
        <v>51</v>
      </c>
      <c r="K213" s="11">
        <v>46074</v>
      </c>
      <c r="L213" s="12" t="s">
        <v>51</v>
      </c>
      <c r="M213" s="12" t="s">
        <v>53</v>
      </c>
      <c r="N213" s="11"/>
      <c r="O213" s="12"/>
      <c r="P213" s="12" t="s">
        <v>53</v>
      </c>
      <c r="Q213" s="14"/>
      <c r="R213" s="14"/>
      <c r="S213" s="12" t="s">
        <v>53</v>
      </c>
      <c r="T213" s="11"/>
      <c r="U213" s="12" t="str">
        <f t="shared" si="27"/>
        <v>N</v>
      </c>
      <c r="V213" s="12" t="str">
        <f t="shared" si="28"/>
        <v>N</v>
      </c>
      <c r="W213" s="12" t="str">
        <f t="shared" si="29"/>
        <v>N</v>
      </c>
      <c r="X213" s="12" t="str">
        <f t="shared" si="30"/>
        <v>N</v>
      </c>
      <c r="Y213" s="12" t="str">
        <f t="shared" si="31"/>
        <v>N</v>
      </c>
      <c r="Z213" s="12" t="str">
        <f t="shared" si="32"/>
        <v>N</v>
      </c>
      <c r="AA213" s="12">
        <f t="shared" si="33"/>
        <v>2</v>
      </c>
      <c r="AB213" s="12" t="str">
        <f t="shared" si="34"/>
        <v>MULTI-SIGNAL</v>
      </c>
      <c r="AC213" s="14" t="str">
        <f t="shared" si="35"/>
        <v>Settlement Authorization | Open Stipulation</v>
      </c>
    </row>
    <row r="214" spans="1:29" x14ac:dyDescent="0.45">
      <c r="A214" s="2" t="s">
        <v>692</v>
      </c>
      <c r="B214" s="2" t="s">
        <v>693</v>
      </c>
      <c r="C214" s="2" t="s">
        <v>119</v>
      </c>
      <c r="D214" s="2" t="s">
        <v>201</v>
      </c>
      <c r="E214" s="11">
        <v>43573</v>
      </c>
      <c r="F214" s="12" t="s">
        <v>51</v>
      </c>
      <c r="G214" s="13">
        <v>66000</v>
      </c>
      <c r="H214" s="12" t="s">
        <v>93</v>
      </c>
      <c r="I214" s="11">
        <v>44119</v>
      </c>
      <c r="J214" s="12" t="s">
        <v>53</v>
      </c>
      <c r="K214" s="11"/>
      <c r="L214" s="12" t="s">
        <v>51</v>
      </c>
      <c r="M214" s="12" t="s">
        <v>53</v>
      </c>
      <c r="N214" s="11"/>
      <c r="O214" s="12"/>
      <c r="P214" s="12" t="s">
        <v>53</v>
      </c>
      <c r="Q214" s="14"/>
      <c r="R214" s="14"/>
      <c r="S214" s="12" t="s">
        <v>53</v>
      </c>
      <c r="T214" s="11"/>
      <c r="U214" s="12" t="str">
        <f t="shared" si="27"/>
        <v>N</v>
      </c>
      <c r="V214" s="12" t="str">
        <f t="shared" si="28"/>
        <v>N</v>
      </c>
      <c r="W214" s="12" t="str">
        <f t="shared" si="29"/>
        <v>N</v>
      </c>
      <c r="X214" s="12" t="str">
        <f t="shared" si="30"/>
        <v>N</v>
      </c>
      <c r="Y214" s="12" t="str">
        <f t="shared" si="31"/>
        <v>N</v>
      </c>
      <c r="Z214" s="12" t="str">
        <f t="shared" si="32"/>
        <v>N</v>
      </c>
      <c r="AA214" s="12">
        <f t="shared" si="33"/>
        <v>1</v>
      </c>
      <c r="AB214" s="12" t="str">
        <f t="shared" si="34"/>
        <v>SINGLE-SIGNAL</v>
      </c>
      <c r="AC214" s="14" t="str">
        <f t="shared" si="35"/>
        <v>Settlement Authorization</v>
      </c>
    </row>
    <row r="215" spans="1:29" x14ac:dyDescent="0.45">
      <c r="A215" s="2" t="s">
        <v>694</v>
      </c>
      <c r="B215" s="2" t="s">
        <v>695</v>
      </c>
      <c r="C215" s="2" t="s">
        <v>119</v>
      </c>
      <c r="D215" s="2" t="s">
        <v>516</v>
      </c>
      <c r="E215" s="11">
        <v>43472</v>
      </c>
      <c r="F215" s="12" t="s">
        <v>51</v>
      </c>
      <c r="G215" s="13">
        <v>117000</v>
      </c>
      <c r="H215" s="12" t="s">
        <v>78</v>
      </c>
      <c r="I215" s="11">
        <v>44216</v>
      </c>
      <c r="J215" s="12" t="s">
        <v>53</v>
      </c>
      <c r="K215" s="11"/>
      <c r="L215" s="12" t="s">
        <v>53</v>
      </c>
      <c r="M215" s="12" t="s">
        <v>53</v>
      </c>
      <c r="N215" s="11"/>
      <c r="O215" s="12"/>
      <c r="P215" s="12" t="s">
        <v>53</v>
      </c>
      <c r="Q215" s="14"/>
      <c r="R215" s="14"/>
      <c r="S215" s="12" t="s">
        <v>53</v>
      </c>
      <c r="T215" s="11"/>
      <c r="U215" s="12" t="str">
        <f t="shared" si="27"/>
        <v>N</v>
      </c>
      <c r="V215" s="12" t="str">
        <f t="shared" si="28"/>
        <v>N</v>
      </c>
      <c r="W215" s="12" t="str">
        <f t="shared" si="29"/>
        <v>N</v>
      </c>
      <c r="X215" s="12" t="str">
        <f t="shared" si="30"/>
        <v>N</v>
      </c>
      <c r="Y215" s="12" t="str">
        <f t="shared" si="31"/>
        <v>N</v>
      </c>
      <c r="Z215" s="12" t="str">
        <f t="shared" si="32"/>
        <v>N</v>
      </c>
      <c r="AA215" s="12">
        <f t="shared" si="33"/>
        <v>1</v>
      </c>
      <c r="AB215" s="12" t="str">
        <f t="shared" si="34"/>
        <v>SINGLE-SIGNAL</v>
      </c>
      <c r="AC215" s="14" t="str">
        <f t="shared" si="35"/>
        <v>Settlement Authorization</v>
      </c>
    </row>
    <row r="216" spans="1:29" x14ac:dyDescent="0.45">
      <c r="A216" s="2" t="s">
        <v>696</v>
      </c>
      <c r="B216" s="2" t="s">
        <v>697</v>
      </c>
      <c r="C216" s="2" t="s">
        <v>119</v>
      </c>
      <c r="D216" s="2" t="s">
        <v>138</v>
      </c>
      <c r="E216" s="11">
        <v>43318</v>
      </c>
      <c r="F216" s="12" t="s">
        <v>51</v>
      </c>
      <c r="G216" s="13">
        <v>87250</v>
      </c>
      <c r="H216" s="12" t="s">
        <v>52</v>
      </c>
      <c r="I216" s="11">
        <v>43792</v>
      </c>
      <c r="J216" s="12" t="s">
        <v>53</v>
      </c>
      <c r="K216" s="11"/>
      <c r="L216" s="12" t="s">
        <v>53</v>
      </c>
      <c r="M216" s="12" t="s">
        <v>53</v>
      </c>
      <c r="N216" s="11"/>
      <c r="O216" s="12"/>
      <c r="P216" s="12" t="s">
        <v>53</v>
      </c>
      <c r="Q216" s="14"/>
      <c r="R216" s="14"/>
      <c r="S216" s="12" t="s">
        <v>53</v>
      </c>
      <c r="T216" s="11"/>
      <c r="U216" s="12" t="str">
        <f t="shared" si="27"/>
        <v>N</v>
      </c>
      <c r="V216" s="12" t="str">
        <f t="shared" si="28"/>
        <v>N</v>
      </c>
      <c r="W216" s="12" t="str">
        <f t="shared" si="29"/>
        <v>N</v>
      </c>
      <c r="X216" s="12" t="str">
        <f t="shared" si="30"/>
        <v>N</v>
      </c>
      <c r="Y216" s="12" t="str">
        <f t="shared" si="31"/>
        <v>N</v>
      </c>
      <c r="Z216" s="12" t="str">
        <f t="shared" si="32"/>
        <v>N</v>
      </c>
      <c r="AA216" s="12">
        <f t="shared" si="33"/>
        <v>1</v>
      </c>
      <c r="AB216" s="12" t="str">
        <f t="shared" si="34"/>
        <v>SINGLE-SIGNAL</v>
      </c>
      <c r="AC216" s="14" t="str">
        <f t="shared" si="35"/>
        <v>Settlement Authorization</v>
      </c>
    </row>
    <row r="217" spans="1:29" x14ac:dyDescent="0.45">
      <c r="A217" s="2" t="s">
        <v>698</v>
      </c>
      <c r="B217" s="2" t="s">
        <v>699</v>
      </c>
      <c r="C217" s="2" t="s">
        <v>119</v>
      </c>
      <c r="D217" s="2" t="s">
        <v>161</v>
      </c>
      <c r="E217" s="11">
        <v>44022</v>
      </c>
      <c r="F217" s="12" t="s">
        <v>53</v>
      </c>
      <c r="G217" s="13"/>
      <c r="H217" s="12"/>
      <c r="I217" s="11"/>
      <c r="J217" s="12" t="s">
        <v>53</v>
      </c>
      <c r="K217" s="11"/>
      <c r="L217" s="12"/>
      <c r="M217" s="12" t="s">
        <v>53</v>
      </c>
      <c r="N217" s="11"/>
      <c r="O217" s="12"/>
      <c r="P217" s="12" t="s">
        <v>53</v>
      </c>
      <c r="Q217" s="14"/>
      <c r="R217" s="14"/>
      <c r="S217" s="12" t="s">
        <v>51</v>
      </c>
      <c r="T217" s="11">
        <v>45901</v>
      </c>
      <c r="U217" s="12" t="str">
        <f t="shared" si="27"/>
        <v>N</v>
      </c>
      <c r="V217" s="12" t="str">
        <f t="shared" si="28"/>
        <v>N</v>
      </c>
      <c r="W217" s="12" t="str">
        <f t="shared" si="29"/>
        <v>N</v>
      </c>
      <c r="X217" s="12" t="str">
        <f t="shared" si="30"/>
        <v>N</v>
      </c>
      <c r="Y217" s="12" t="str">
        <f t="shared" si="31"/>
        <v>N</v>
      </c>
      <c r="Z217" s="12" t="str">
        <f t="shared" si="32"/>
        <v>N</v>
      </c>
      <c r="AA217" s="12">
        <f t="shared" si="33"/>
        <v>1</v>
      </c>
      <c r="AB217" s="12" t="str">
        <f t="shared" si="34"/>
        <v>SINGLE-SIGNAL</v>
      </c>
      <c r="AC217" s="14" t="str">
        <f t="shared" si="35"/>
        <v>Inactive Customer</v>
      </c>
    </row>
    <row r="218" spans="1:29" x14ac:dyDescent="0.45">
      <c r="A218" s="2" t="s">
        <v>700</v>
      </c>
      <c r="B218" s="2" t="s">
        <v>701</v>
      </c>
      <c r="C218" s="2" t="s">
        <v>119</v>
      </c>
      <c r="D218" s="2" t="s">
        <v>120</v>
      </c>
      <c r="E218" s="11">
        <v>43120</v>
      </c>
      <c r="F218" s="12" t="s">
        <v>51</v>
      </c>
      <c r="G218" s="13">
        <v>69250</v>
      </c>
      <c r="H218" s="12" t="s">
        <v>59</v>
      </c>
      <c r="I218" s="11">
        <v>43872</v>
      </c>
      <c r="J218" s="12" t="s">
        <v>53</v>
      </c>
      <c r="K218" s="11"/>
      <c r="L218" s="12" t="s">
        <v>51</v>
      </c>
      <c r="M218" s="12" t="s">
        <v>53</v>
      </c>
      <c r="N218" s="11"/>
      <c r="O218" s="12"/>
      <c r="P218" s="12" t="s">
        <v>53</v>
      </c>
      <c r="Q218" s="14"/>
      <c r="R218" s="14"/>
      <c r="S218" s="12" t="s">
        <v>53</v>
      </c>
      <c r="T218" s="11"/>
      <c r="U218" s="12" t="str">
        <f t="shared" si="27"/>
        <v>N</v>
      </c>
      <c r="V218" s="12" t="str">
        <f t="shared" si="28"/>
        <v>N</v>
      </c>
      <c r="W218" s="12" t="str">
        <f t="shared" si="29"/>
        <v>N</v>
      </c>
      <c r="X218" s="12" t="str">
        <f t="shared" si="30"/>
        <v>N</v>
      </c>
      <c r="Y218" s="12" t="str">
        <f t="shared" si="31"/>
        <v>N</v>
      </c>
      <c r="Z218" s="12" t="str">
        <f t="shared" si="32"/>
        <v>N</v>
      </c>
      <c r="AA218" s="12">
        <f t="shared" si="33"/>
        <v>1</v>
      </c>
      <c r="AB218" s="12" t="str">
        <f t="shared" si="34"/>
        <v>SINGLE-SIGNAL</v>
      </c>
      <c r="AC218" s="14" t="str">
        <f t="shared" si="35"/>
        <v>Settlement Authorization</v>
      </c>
    </row>
    <row r="219" spans="1:29" x14ac:dyDescent="0.45">
      <c r="A219" s="2" t="s">
        <v>702</v>
      </c>
      <c r="B219" s="2" t="s">
        <v>703</v>
      </c>
      <c r="C219" s="2" t="s">
        <v>167</v>
      </c>
      <c r="D219" s="2" t="s">
        <v>289</v>
      </c>
      <c r="E219" s="11">
        <v>45231</v>
      </c>
      <c r="F219" s="12" t="s">
        <v>51</v>
      </c>
      <c r="G219" s="13">
        <v>65500</v>
      </c>
      <c r="H219" s="12" t="s">
        <v>78</v>
      </c>
      <c r="I219" s="11">
        <v>46255</v>
      </c>
      <c r="J219" s="12" t="s">
        <v>53</v>
      </c>
      <c r="K219" s="11"/>
      <c r="L219" s="12" t="s">
        <v>53</v>
      </c>
      <c r="M219" s="12" t="s">
        <v>53</v>
      </c>
      <c r="N219" s="11"/>
      <c r="O219" s="12"/>
      <c r="P219" s="12" t="s">
        <v>53</v>
      </c>
      <c r="Q219" s="14"/>
      <c r="R219" s="14"/>
      <c r="S219" s="12" t="s">
        <v>53</v>
      </c>
      <c r="T219" s="11"/>
      <c r="U219" s="12" t="str">
        <f t="shared" si="27"/>
        <v>N</v>
      </c>
      <c r="V219" s="12" t="str">
        <f t="shared" si="28"/>
        <v>N</v>
      </c>
      <c r="W219" s="12" t="str">
        <f t="shared" si="29"/>
        <v>N</v>
      </c>
      <c r="X219" s="12" t="str">
        <f t="shared" si="30"/>
        <v>N</v>
      </c>
      <c r="Y219" s="12" t="str">
        <f t="shared" si="31"/>
        <v>N</v>
      </c>
      <c r="Z219" s="12" t="str">
        <f t="shared" si="32"/>
        <v>N</v>
      </c>
      <c r="AA219" s="12">
        <f t="shared" si="33"/>
        <v>1</v>
      </c>
      <c r="AB219" s="12" t="str">
        <f t="shared" si="34"/>
        <v>SINGLE-SIGNAL</v>
      </c>
      <c r="AC219" s="14" t="str">
        <f t="shared" si="35"/>
        <v>Settlement Authorization</v>
      </c>
    </row>
    <row r="220" spans="1:29" x14ac:dyDescent="0.45">
      <c r="A220" s="2" t="s">
        <v>704</v>
      </c>
      <c r="B220" s="2" t="s">
        <v>705</v>
      </c>
      <c r="C220" s="2" t="s">
        <v>167</v>
      </c>
      <c r="D220" s="2" t="s">
        <v>687</v>
      </c>
      <c r="E220" s="11">
        <v>46043</v>
      </c>
      <c r="F220" s="12" t="s">
        <v>51</v>
      </c>
      <c r="G220" s="13">
        <v>101000</v>
      </c>
      <c r="H220" s="12" t="s">
        <v>116</v>
      </c>
      <c r="I220" s="11">
        <v>47107</v>
      </c>
      <c r="J220" s="12" t="s">
        <v>53</v>
      </c>
      <c r="K220" s="11"/>
      <c r="L220" s="12" t="s">
        <v>51</v>
      </c>
      <c r="M220" s="12" t="s">
        <v>53</v>
      </c>
      <c r="N220" s="11"/>
      <c r="O220" s="12"/>
      <c r="P220" s="12" t="s">
        <v>53</v>
      </c>
      <c r="Q220" s="14"/>
      <c r="R220" s="14"/>
      <c r="S220" s="12" t="s">
        <v>53</v>
      </c>
      <c r="T220" s="11"/>
      <c r="U220" s="12" t="str">
        <f t="shared" si="27"/>
        <v>N</v>
      </c>
      <c r="V220" s="12" t="str">
        <f t="shared" si="28"/>
        <v>N</v>
      </c>
      <c r="W220" s="12" t="str">
        <f t="shared" si="29"/>
        <v>N</v>
      </c>
      <c r="X220" s="12" t="str">
        <f t="shared" si="30"/>
        <v>N</v>
      </c>
      <c r="Y220" s="12" t="str">
        <f t="shared" si="31"/>
        <v>N</v>
      </c>
      <c r="Z220" s="12" t="str">
        <f t="shared" si="32"/>
        <v>N</v>
      </c>
      <c r="AA220" s="12">
        <f t="shared" si="33"/>
        <v>1</v>
      </c>
      <c r="AB220" s="12" t="str">
        <f t="shared" si="34"/>
        <v>SINGLE-SIGNAL</v>
      </c>
      <c r="AC220" s="14" t="str">
        <f t="shared" si="35"/>
        <v>Settlement Authorization</v>
      </c>
    </row>
    <row r="221" spans="1:29" x14ac:dyDescent="0.45">
      <c r="A221" s="2" t="s">
        <v>706</v>
      </c>
      <c r="B221" s="2" t="s">
        <v>707</v>
      </c>
      <c r="C221" s="2" t="s">
        <v>167</v>
      </c>
      <c r="D221" s="2" t="s">
        <v>230</v>
      </c>
      <c r="E221" s="11">
        <v>44257</v>
      </c>
      <c r="F221" s="12" t="s">
        <v>53</v>
      </c>
      <c r="G221" s="13"/>
      <c r="H221" s="12"/>
      <c r="I221" s="11"/>
      <c r="J221" s="12" t="s">
        <v>53</v>
      </c>
      <c r="K221" s="11"/>
      <c r="L221" s="12"/>
      <c r="M221" s="12" t="s">
        <v>53</v>
      </c>
      <c r="N221" s="11"/>
      <c r="O221" s="12"/>
      <c r="P221" s="12" t="s">
        <v>53</v>
      </c>
      <c r="Q221" s="14"/>
      <c r="R221" s="14"/>
      <c r="S221" s="12" t="s">
        <v>51</v>
      </c>
      <c r="T221" s="11">
        <v>46149</v>
      </c>
      <c r="U221" s="12" t="str">
        <f t="shared" si="27"/>
        <v>N</v>
      </c>
      <c r="V221" s="12" t="str">
        <f t="shared" si="28"/>
        <v>N</v>
      </c>
      <c r="W221" s="12" t="str">
        <f t="shared" si="29"/>
        <v>N</v>
      </c>
      <c r="X221" s="12" t="str">
        <f t="shared" si="30"/>
        <v>N</v>
      </c>
      <c r="Y221" s="12" t="str">
        <f t="shared" si="31"/>
        <v>N</v>
      </c>
      <c r="Z221" s="12" t="str">
        <f t="shared" si="32"/>
        <v>N</v>
      </c>
      <c r="AA221" s="12">
        <f t="shared" si="33"/>
        <v>1</v>
      </c>
      <c r="AB221" s="12" t="str">
        <f t="shared" si="34"/>
        <v>SINGLE-SIGNAL</v>
      </c>
      <c r="AC221" s="14" t="str">
        <f t="shared" si="35"/>
        <v>Inactive Customer</v>
      </c>
    </row>
    <row r="222" spans="1:29" x14ac:dyDescent="0.45">
      <c r="A222" s="2" t="s">
        <v>708</v>
      </c>
      <c r="B222" s="2" t="s">
        <v>709</v>
      </c>
      <c r="C222" s="2" t="s">
        <v>167</v>
      </c>
      <c r="D222" s="2" t="s">
        <v>125</v>
      </c>
      <c r="E222" s="11">
        <v>45770</v>
      </c>
      <c r="F222" s="12" t="s">
        <v>51</v>
      </c>
      <c r="G222" s="13">
        <v>79000</v>
      </c>
      <c r="H222" s="12" t="s">
        <v>85</v>
      </c>
      <c r="I222" s="11">
        <v>47088</v>
      </c>
      <c r="J222" s="12" t="s">
        <v>53</v>
      </c>
      <c r="K222" s="11"/>
      <c r="L222" s="12" t="s">
        <v>53</v>
      </c>
      <c r="M222" s="12" t="s">
        <v>53</v>
      </c>
      <c r="N222" s="11"/>
      <c r="O222" s="12"/>
      <c r="P222" s="12" t="s">
        <v>53</v>
      </c>
      <c r="Q222" s="14"/>
      <c r="R222" s="14"/>
      <c r="S222" s="12" t="s">
        <v>53</v>
      </c>
      <c r="T222" s="11"/>
      <c r="U222" s="12" t="str">
        <f t="shared" si="27"/>
        <v>N</v>
      </c>
      <c r="V222" s="12" t="str">
        <f t="shared" si="28"/>
        <v>N</v>
      </c>
      <c r="W222" s="12" t="str">
        <f t="shared" si="29"/>
        <v>N</v>
      </c>
      <c r="X222" s="12" t="str">
        <f t="shared" si="30"/>
        <v>N</v>
      </c>
      <c r="Y222" s="12" t="str">
        <f t="shared" si="31"/>
        <v>N</v>
      </c>
      <c r="Z222" s="12" t="str">
        <f t="shared" si="32"/>
        <v>N</v>
      </c>
      <c r="AA222" s="12">
        <f t="shared" si="33"/>
        <v>1</v>
      </c>
      <c r="AB222" s="12" t="str">
        <f t="shared" si="34"/>
        <v>SINGLE-SIGNAL</v>
      </c>
      <c r="AC222" s="14" t="str">
        <f t="shared" si="35"/>
        <v>Settlement Authorization</v>
      </c>
    </row>
    <row r="223" spans="1:29" x14ac:dyDescent="0.45">
      <c r="A223" s="2" t="s">
        <v>710</v>
      </c>
      <c r="B223" s="2" t="s">
        <v>711</v>
      </c>
      <c r="C223" s="2" t="s">
        <v>167</v>
      </c>
      <c r="D223" s="2" t="s">
        <v>186</v>
      </c>
      <c r="E223" s="11">
        <v>43575</v>
      </c>
      <c r="F223" s="12" t="s">
        <v>51</v>
      </c>
      <c r="G223" s="13">
        <v>158000</v>
      </c>
      <c r="H223" s="12" t="s">
        <v>242</v>
      </c>
      <c r="I223" s="11">
        <v>44148</v>
      </c>
      <c r="J223" s="12" t="s">
        <v>51</v>
      </c>
      <c r="K223" s="11">
        <v>43616</v>
      </c>
      <c r="L223" s="12" t="s">
        <v>53</v>
      </c>
      <c r="M223" s="12" t="s">
        <v>53</v>
      </c>
      <c r="N223" s="11"/>
      <c r="O223" s="12"/>
      <c r="P223" s="12" t="s">
        <v>53</v>
      </c>
      <c r="Q223" s="14"/>
      <c r="R223" s="14"/>
      <c r="S223" s="12" t="s">
        <v>53</v>
      </c>
      <c r="T223" s="11"/>
      <c r="U223" s="12" t="str">
        <f t="shared" si="27"/>
        <v>N</v>
      </c>
      <c r="V223" s="12" t="str">
        <f t="shared" si="28"/>
        <v>N</v>
      </c>
      <c r="W223" s="12" t="str">
        <f t="shared" si="29"/>
        <v>N</v>
      </c>
      <c r="X223" s="12" t="str">
        <f t="shared" si="30"/>
        <v>N</v>
      </c>
      <c r="Y223" s="12" t="str">
        <f t="shared" si="31"/>
        <v>N</v>
      </c>
      <c r="Z223" s="12" t="str">
        <f t="shared" si="32"/>
        <v>N</v>
      </c>
      <c r="AA223" s="12">
        <f t="shared" si="33"/>
        <v>2</v>
      </c>
      <c r="AB223" s="12" t="str">
        <f t="shared" si="34"/>
        <v>MULTI-SIGNAL</v>
      </c>
      <c r="AC223" s="14" t="str">
        <f t="shared" si="35"/>
        <v>Settlement Authorization | Open Stipulation</v>
      </c>
    </row>
    <row r="224" spans="1:29" x14ac:dyDescent="0.45">
      <c r="A224" s="2" t="s">
        <v>712</v>
      </c>
      <c r="B224" s="2" t="s">
        <v>713</v>
      </c>
      <c r="C224" s="2" t="s">
        <v>167</v>
      </c>
      <c r="D224" s="2" t="s">
        <v>714</v>
      </c>
      <c r="E224" s="11">
        <v>44151</v>
      </c>
      <c r="F224" s="12" t="s">
        <v>51</v>
      </c>
      <c r="G224" s="13">
        <v>165750</v>
      </c>
      <c r="H224" s="12" t="s">
        <v>89</v>
      </c>
      <c r="I224" s="11">
        <v>45156</v>
      </c>
      <c r="J224" s="12" t="s">
        <v>53</v>
      </c>
      <c r="K224" s="11"/>
      <c r="L224" s="12" t="s">
        <v>53</v>
      </c>
      <c r="M224" s="12" t="s">
        <v>53</v>
      </c>
      <c r="N224" s="11"/>
      <c r="O224" s="12"/>
      <c r="P224" s="12" t="s">
        <v>53</v>
      </c>
      <c r="Q224" s="14"/>
      <c r="R224" s="14"/>
      <c r="S224" s="12" t="s">
        <v>53</v>
      </c>
      <c r="T224" s="11"/>
      <c r="U224" s="12" t="str">
        <f t="shared" si="27"/>
        <v>N</v>
      </c>
      <c r="V224" s="12" t="str">
        <f t="shared" si="28"/>
        <v>N</v>
      </c>
      <c r="W224" s="12" t="str">
        <f t="shared" si="29"/>
        <v>N</v>
      </c>
      <c r="X224" s="12" t="str">
        <f t="shared" si="30"/>
        <v>N</v>
      </c>
      <c r="Y224" s="12" t="str">
        <f t="shared" si="31"/>
        <v>N</v>
      </c>
      <c r="Z224" s="12" t="str">
        <f t="shared" si="32"/>
        <v>N</v>
      </c>
      <c r="AA224" s="12">
        <f t="shared" si="33"/>
        <v>1</v>
      </c>
      <c r="AB224" s="12" t="str">
        <f t="shared" si="34"/>
        <v>SINGLE-SIGNAL</v>
      </c>
      <c r="AC224" s="14" t="str">
        <f t="shared" si="35"/>
        <v>Settlement Authorization</v>
      </c>
    </row>
    <row r="225" spans="1:29" x14ac:dyDescent="0.45">
      <c r="A225" s="2" t="s">
        <v>715</v>
      </c>
      <c r="B225" s="2" t="s">
        <v>716</v>
      </c>
      <c r="C225" s="2" t="s">
        <v>167</v>
      </c>
      <c r="D225" s="2" t="s">
        <v>717</v>
      </c>
      <c r="E225" s="11">
        <v>43562</v>
      </c>
      <c r="F225" s="12" t="s">
        <v>51</v>
      </c>
      <c r="G225" s="13">
        <v>138500</v>
      </c>
      <c r="H225" s="12" t="s">
        <v>78</v>
      </c>
      <c r="I225" s="11">
        <v>44961</v>
      </c>
      <c r="J225" s="12" t="s">
        <v>53</v>
      </c>
      <c r="K225" s="11"/>
      <c r="L225" s="12" t="s">
        <v>53</v>
      </c>
      <c r="M225" s="12" t="s">
        <v>53</v>
      </c>
      <c r="N225" s="11"/>
      <c r="O225" s="12"/>
      <c r="P225" s="12" t="s">
        <v>53</v>
      </c>
      <c r="Q225" s="14"/>
      <c r="R225" s="14"/>
      <c r="S225" s="12" t="s">
        <v>51</v>
      </c>
      <c r="T225" s="11">
        <v>45252</v>
      </c>
      <c r="U225" s="12" t="str">
        <f t="shared" si="27"/>
        <v>N</v>
      </c>
      <c r="V225" s="12" t="str">
        <f t="shared" si="28"/>
        <v>N</v>
      </c>
      <c r="W225" s="12" t="str">
        <f t="shared" si="29"/>
        <v>N</v>
      </c>
      <c r="X225" s="12" t="str">
        <f t="shared" si="30"/>
        <v>N</v>
      </c>
      <c r="Y225" s="12" t="str">
        <f t="shared" si="31"/>
        <v>N</v>
      </c>
      <c r="Z225" s="12" t="str">
        <f t="shared" si="32"/>
        <v>N</v>
      </c>
      <c r="AA225" s="12">
        <f t="shared" si="33"/>
        <v>2</v>
      </c>
      <c r="AB225" s="12" t="str">
        <f t="shared" si="34"/>
        <v>MULTI-SIGNAL</v>
      </c>
      <c r="AC225" s="14" t="str">
        <f t="shared" si="35"/>
        <v>Settlement Authorization | Inactive Customer</v>
      </c>
    </row>
    <row r="226" spans="1:29" x14ac:dyDescent="0.45">
      <c r="A226" s="2" t="s">
        <v>718</v>
      </c>
      <c r="B226" s="2" t="s">
        <v>719</v>
      </c>
      <c r="C226" s="2" t="s">
        <v>167</v>
      </c>
      <c r="D226" s="2" t="s">
        <v>720</v>
      </c>
      <c r="E226" s="11">
        <v>45528</v>
      </c>
      <c r="F226" s="12" t="s">
        <v>53</v>
      </c>
      <c r="G226" s="13"/>
      <c r="H226" s="12"/>
      <c r="I226" s="11"/>
      <c r="J226" s="12" t="s">
        <v>53</v>
      </c>
      <c r="K226" s="11"/>
      <c r="L226" s="12"/>
      <c r="M226" s="12" t="s">
        <v>53</v>
      </c>
      <c r="N226" s="11"/>
      <c r="O226" s="12"/>
      <c r="P226" s="12" t="s">
        <v>51</v>
      </c>
      <c r="Q226" s="14" t="s">
        <v>149</v>
      </c>
      <c r="R226" s="14" t="s">
        <v>209</v>
      </c>
      <c r="S226" s="12" t="s">
        <v>53</v>
      </c>
      <c r="T226" s="11"/>
      <c r="U226" s="12" t="str">
        <f t="shared" si="27"/>
        <v>Y</v>
      </c>
      <c r="V226" s="12" t="str">
        <f t="shared" si="28"/>
        <v>N</v>
      </c>
      <c r="W226" s="12" t="str">
        <f t="shared" si="29"/>
        <v>N</v>
      </c>
      <c r="X226" s="12" t="str">
        <f t="shared" si="30"/>
        <v>N</v>
      </c>
      <c r="Y226" s="12" t="str">
        <f t="shared" si="31"/>
        <v>N</v>
      </c>
      <c r="Z226" s="12" t="str">
        <f t="shared" si="32"/>
        <v>Y</v>
      </c>
      <c r="AA226" s="12">
        <f t="shared" si="33"/>
        <v>1</v>
      </c>
      <c r="AB226" s="12" t="str">
        <f t="shared" si="34"/>
        <v>SINGLE-SIGNAL</v>
      </c>
      <c r="AC226" s="14" t="str">
        <f t="shared" si="35"/>
        <v>Automated Claim Alert</v>
      </c>
    </row>
    <row r="227" spans="1:29" x14ac:dyDescent="0.45">
      <c r="A227" s="2" t="s">
        <v>721</v>
      </c>
      <c r="B227" s="2" t="s">
        <v>722</v>
      </c>
      <c r="C227" s="2" t="s">
        <v>167</v>
      </c>
      <c r="D227" s="2" t="s">
        <v>500</v>
      </c>
      <c r="E227" s="11">
        <v>44452</v>
      </c>
      <c r="F227" s="12" t="s">
        <v>51</v>
      </c>
      <c r="G227" s="13">
        <v>111500</v>
      </c>
      <c r="H227" s="12" t="s">
        <v>71</v>
      </c>
      <c r="I227" s="11">
        <v>45169</v>
      </c>
      <c r="J227" s="12" t="s">
        <v>53</v>
      </c>
      <c r="K227" s="11"/>
      <c r="L227" s="12" t="s">
        <v>53</v>
      </c>
      <c r="M227" s="12" t="s">
        <v>53</v>
      </c>
      <c r="N227" s="11"/>
      <c r="O227" s="12"/>
      <c r="P227" s="12" t="s">
        <v>53</v>
      </c>
      <c r="Q227" s="14"/>
      <c r="R227" s="14"/>
      <c r="S227" s="12" t="s">
        <v>53</v>
      </c>
      <c r="T227" s="11"/>
      <c r="U227" s="12" t="str">
        <f t="shared" si="27"/>
        <v>N</v>
      </c>
      <c r="V227" s="12" t="str">
        <f t="shared" si="28"/>
        <v>N</v>
      </c>
      <c r="W227" s="12" t="str">
        <f t="shared" si="29"/>
        <v>N</v>
      </c>
      <c r="X227" s="12" t="str">
        <f t="shared" si="30"/>
        <v>N</v>
      </c>
      <c r="Y227" s="12" t="str">
        <f t="shared" si="31"/>
        <v>N</v>
      </c>
      <c r="Z227" s="12" t="str">
        <f t="shared" si="32"/>
        <v>N</v>
      </c>
      <c r="AA227" s="12">
        <f t="shared" si="33"/>
        <v>1</v>
      </c>
      <c r="AB227" s="12" t="str">
        <f t="shared" si="34"/>
        <v>SINGLE-SIGNAL</v>
      </c>
      <c r="AC227" s="14" t="str">
        <f t="shared" si="35"/>
        <v>Settlement Authorization</v>
      </c>
    </row>
    <row r="228" spans="1:29" x14ac:dyDescent="0.45">
      <c r="A228" s="2" t="s">
        <v>723</v>
      </c>
      <c r="B228" s="2" t="s">
        <v>724</v>
      </c>
      <c r="C228" s="2" t="s">
        <v>167</v>
      </c>
      <c r="D228" s="2" t="s">
        <v>725</v>
      </c>
      <c r="E228" s="11">
        <v>45050</v>
      </c>
      <c r="F228" s="12" t="s">
        <v>51</v>
      </c>
      <c r="G228" s="13">
        <v>166750</v>
      </c>
      <c r="H228" s="12" t="s">
        <v>71</v>
      </c>
      <c r="I228" s="11">
        <v>46088</v>
      </c>
      <c r="J228" s="12" t="s">
        <v>53</v>
      </c>
      <c r="K228" s="11"/>
      <c r="L228" s="12" t="s">
        <v>53</v>
      </c>
      <c r="M228" s="12" t="s">
        <v>53</v>
      </c>
      <c r="N228" s="11"/>
      <c r="O228" s="12"/>
      <c r="P228" s="12" t="s">
        <v>53</v>
      </c>
      <c r="Q228" s="14"/>
      <c r="R228" s="14"/>
      <c r="S228" s="12" t="s">
        <v>53</v>
      </c>
      <c r="T228" s="11"/>
      <c r="U228" s="12" t="str">
        <f t="shared" si="27"/>
        <v>N</v>
      </c>
      <c r="V228" s="12" t="str">
        <f t="shared" si="28"/>
        <v>N</v>
      </c>
      <c r="W228" s="12" t="str">
        <f t="shared" si="29"/>
        <v>N</v>
      </c>
      <c r="X228" s="12" t="str">
        <f t="shared" si="30"/>
        <v>N</v>
      </c>
      <c r="Y228" s="12" t="str">
        <f t="shared" si="31"/>
        <v>N</v>
      </c>
      <c r="Z228" s="12" t="str">
        <f t="shared" si="32"/>
        <v>N</v>
      </c>
      <c r="AA228" s="12">
        <f t="shared" si="33"/>
        <v>1</v>
      </c>
      <c r="AB228" s="12" t="str">
        <f t="shared" si="34"/>
        <v>SINGLE-SIGNAL</v>
      </c>
      <c r="AC228" s="14" t="str">
        <f t="shared" si="35"/>
        <v>Settlement Authorization</v>
      </c>
    </row>
    <row r="229" spans="1:29" x14ac:dyDescent="0.45">
      <c r="A229" s="2" t="s">
        <v>726</v>
      </c>
      <c r="B229" s="2" t="s">
        <v>727</v>
      </c>
      <c r="C229" s="2" t="s">
        <v>167</v>
      </c>
      <c r="D229" s="2" t="s">
        <v>422</v>
      </c>
      <c r="E229" s="11">
        <v>45723</v>
      </c>
      <c r="F229" s="12" t="s">
        <v>51</v>
      </c>
      <c r="G229" s="13">
        <v>94000</v>
      </c>
      <c r="H229" s="12" t="s">
        <v>116</v>
      </c>
      <c r="I229" s="11">
        <v>46760</v>
      </c>
      <c r="J229" s="12" t="s">
        <v>53</v>
      </c>
      <c r="K229" s="11"/>
      <c r="L229" s="12" t="s">
        <v>51</v>
      </c>
      <c r="M229" s="12" t="s">
        <v>53</v>
      </c>
      <c r="N229" s="11"/>
      <c r="O229" s="12"/>
      <c r="P229" s="12" t="s">
        <v>53</v>
      </c>
      <c r="Q229" s="14"/>
      <c r="R229" s="14"/>
      <c r="S229" s="12" t="s">
        <v>51</v>
      </c>
      <c r="T229" s="11">
        <v>47757</v>
      </c>
      <c r="U229" s="12" t="str">
        <f t="shared" si="27"/>
        <v>N</v>
      </c>
      <c r="V229" s="12" t="str">
        <f t="shared" si="28"/>
        <v>N</v>
      </c>
      <c r="W229" s="12" t="str">
        <f t="shared" si="29"/>
        <v>N</v>
      </c>
      <c r="X229" s="12" t="str">
        <f t="shared" si="30"/>
        <v>N</v>
      </c>
      <c r="Y229" s="12" t="str">
        <f t="shared" si="31"/>
        <v>N</v>
      </c>
      <c r="Z229" s="12" t="str">
        <f t="shared" si="32"/>
        <v>N</v>
      </c>
      <c r="AA229" s="12">
        <f t="shared" si="33"/>
        <v>2</v>
      </c>
      <c r="AB229" s="12" t="str">
        <f t="shared" si="34"/>
        <v>MULTI-SIGNAL</v>
      </c>
      <c r="AC229" s="14" t="str">
        <f t="shared" si="35"/>
        <v>Settlement Authorization | Inactive Customer</v>
      </c>
    </row>
    <row r="230" spans="1:29" x14ac:dyDescent="0.45">
      <c r="A230" s="2" t="s">
        <v>728</v>
      </c>
      <c r="B230" s="2" t="s">
        <v>729</v>
      </c>
      <c r="C230" s="2" t="s">
        <v>167</v>
      </c>
      <c r="D230" s="2" t="s">
        <v>730</v>
      </c>
      <c r="E230" s="11">
        <v>43402</v>
      </c>
      <c r="F230" s="12" t="s">
        <v>51</v>
      </c>
      <c r="G230" s="13">
        <v>104500</v>
      </c>
      <c r="H230" s="12" t="s">
        <v>78</v>
      </c>
      <c r="I230" s="11">
        <v>44651</v>
      </c>
      <c r="J230" s="12" t="s">
        <v>53</v>
      </c>
      <c r="K230" s="11"/>
      <c r="L230" s="12" t="s">
        <v>53</v>
      </c>
      <c r="M230" s="12" t="s">
        <v>53</v>
      </c>
      <c r="N230" s="11"/>
      <c r="O230" s="12"/>
      <c r="P230" s="12" t="s">
        <v>53</v>
      </c>
      <c r="Q230" s="14"/>
      <c r="R230" s="14"/>
      <c r="S230" s="12" t="s">
        <v>53</v>
      </c>
      <c r="T230" s="11"/>
      <c r="U230" s="12" t="str">
        <f t="shared" si="27"/>
        <v>N</v>
      </c>
      <c r="V230" s="12" t="str">
        <f t="shared" si="28"/>
        <v>N</v>
      </c>
      <c r="W230" s="12" t="str">
        <f t="shared" si="29"/>
        <v>N</v>
      </c>
      <c r="X230" s="12" t="str">
        <f t="shared" si="30"/>
        <v>N</v>
      </c>
      <c r="Y230" s="12" t="str">
        <f t="shared" si="31"/>
        <v>N</v>
      </c>
      <c r="Z230" s="12" t="str">
        <f t="shared" si="32"/>
        <v>N</v>
      </c>
      <c r="AA230" s="12">
        <f t="shared" si="33"/>
        <v>1</v>
      </c>
      <c r="AB230" s="12" t="str">
        <f t="shared" si="34"/>
        <v>SINGLE-SIGNAL</v>
      </c>
      <c r="AC230" s="14" t="str">
        <f t="shared" si="35"/>
        <v>Settlement Authorization</v>
      </c>
    </row>
    <row r="231" spans="1:29" x14ac:dyDescent="0.45">
      <c r="A231" s="2" t="s">
        <v>731</v>
      </c>
      <c r="B231" s="2" t="s">
        <v>732</v>
      </c>
      <c r="C231" s="2" t="s">
        <v>167</v>
      </c>
      <c r="D231" s="2" t="s">
        <v>720</v>
      </c>
      <c r="E231" s="11">
        <v>45808</v>
      </c>
      <c r="F231" s="12" t="s">
        <v>53</v>
      </c>
      <c r="G231" s="13"/>
      <c r="H231" s="12"/>
      <c r="I231" s="11"/>
      <c r="J231" s="12" t="s">
        <v>51</v>
      </c>
      <c r="K231" s="11">
        <v>46778</v>
      </c>
      <c r="L231" s="12" t="s">
        <v>51</v>
      </c>
      <c r="M231" s="12" t="s">
        <v>53</v>
      </c>
      <c r="N231" s="11"/>
      <c r="O231" s="12"/>
      <c r="P231" s="12" t="s">
        <v>53</v>
      </c>
      <c r="Q231" s="14"/>
      <c r="R231" s="14"/>
      <c r="S231" s="12" t="s">
        <v>53</v>
      </c>
      <c r="T231" s="11"/>
      <c r="U231" s="12" t="str">
        <f t="shared" si="27"/>
        <v>N</v>
      </c>
      <c r="V231" s="12" t="str">
        <f t="shared" si="28"/>
        <v>N</v>
      </c>
      <c r="W231" s="12" t="str">
        <f t="shared" si="29"/>
        <v>N</v>
      </c>
      <c r="X231" s="12" t="str">
        <f t="shared" si="30"/>
        <v>N</v>
      </c>
      <c r="Y231" s="12" t="str">
        <f t="shared" si="31"/>
        <v>N</v>
      </c>
      <c r="Z231" s="12" t="str">
        <f t="shared" si="32"/>
        <v>N</v>
      </c>
      <c r="AA231" s="12">
        <f t="shared" si="33"/>
        <v>1</v>
      </c>
      <c r="AB231" s="12" t="str">
        <f t="shared" si="34"/>
        <v>SINGLE-SIGNAL</v>
      </c>
      <c r="AC231" s="14" t="str">
        <f t="shared" si="35"/>
        <v>Open Stipulation</v>
      </c>
    </row>
    <row r="232" spans="1:29" x14ac:dyDescent="0.45">
      <c r="A232" s="2" t="s">
        <v>733</v>
      </c>
      <c r="B232" s="2" t="s">
        <v>734</v>
      </c>
      <c r="C232" s="2" t="s">
        <v>167</v>
      </c>
      <c r="D232" s="2" t="s">
        <v>720</v>
      </c>
      <c r="E232" s="11">
        <v>45491</v>
      </c>
      <c r="F232" s="12" t="s">
        <v>51</v>
      </c>
      <c r="G232" s="13">
        <v>115500</v>
      </c>
      <c r="H232" s="12" t="s">
        <v>71</v>
      </c>
      <c r="I232" s="11">
        <v>46731</v>
      </c>
      <c r="J232" s="12" t="s">
        <v>53</v>
      </c>
      <c r="K232" s="11"/>
      <c r="L232" s="12" t="s">
        <v>51</v>
      </c>
      <c r="M232" s="12" t="s">
        <v>53</v>
      </c>
      <c r="N232" s="11"/>
      <c r="O232" s="12"/>
      <c r="P232" s="12" t="s">
        <v>53</v>
      </c>
      <c r="Q232" s="14"/>
      <c r="R232" s="14"/>
      <c r="S232" s="12" t="s">
        <v>53</v>
      </c>
      <c r="T232" s="11"/>
      <c r="U232" s="12" t="str">
        <f t="shared" si="27"/>
        <v>N</v>
      </c>
      <c r="V232" s="12" t="str">
        <f t="shared" si="28"/>
        <v>N</v>
      </c>
      <c r="W232" s="12" t="str">
        <f t="shared" si="29"/>
        <v>N</v>
      </c>
      <c r="X232" s="12" t="str">
        <f t="shared" si="30"/>
        <v>N</v>
      </c>
      <c r="Y232" s="12" t="str">
        <f t="shared" si="31"/>
        <v>N</v>
      </c>
      <c r="Z232" s="12" t="str">
        <f t="shared" si="32"/>
        <v>N</v>
      </c>
      <c r="AA232" s="12">
        <f t="shared" si="33"/>
        <v>1</v>
      </c>
      <c r="AB232" s="12" t="str">
        <f t="shared" si="34"/>
        <v>SINGLE-SIGNAL</v>
      </c>
      <c r="AC232" s="14" t="str">
        <f t="shared" si="35"/>
        <v>Settlement Authorization</v>
      </c>
    </row>
    <row r="233" spans="1:29" x14ac:dyDescent="0.45">
      <c r="A233" s="2" t="s">
        <v>735</v>
      </c>
      <c r="B233" s="2" t="s">
        <v>736</v>
      </c>
      <c r="C233" s="2" t="s">
        <v>167</v>
      </c>
      <c r="D233" s="2" t="s">
        <v>99</v>
      </c>
      <c r="E233" s="11">
        <v>45925</v>
      </c>
      <c r="F233" s="12" t="s">
        <v>51</v>
      </c>
      <c r="G233" s="13">
        <v>101000</v>
      </c>
      <c r="H233" s="12" t="s">
        <v>109</v>
      </c>
      <c r="I233" s="11">
        <v>47110</v>
      </c>
      <c r="J233" s="12" t="s">
        <v>53</v>
      </c>
      <c r="K233" s="11"/>
      <c r="L233" s="12" t="s">
        <v>53</v>
      </c>
      <c r="M233" s="12" t="s">
        <v>53</v>
      </c>
      <c r="N233" s="11"/>
      <c r="O233" s="12"/>
      <c r="P233" s="12" t="s">
        <v>53</v>
      </c>
      <c r="Q233" s="14"/>
      <c r="R233" s="14"/>
      <c r="S233" s="12" t="s">
        <v>53</v>
      </c>
      <c r="T233" s="11"/>
      <c r="U233" s="12" t="str">
        <f t="shared" si="27"/>
        <v>N</v>
      </c>
      <c r="V233" s="12" t="str">
        <f t="shared" si="28"/>
        <v>N</v>
      </c>
      <c r="W233" s="12" t="str">
        <f t="shared" si="29"/>
        <v>N</v>
      </c>
      <c r="X233" s="12" t="str">
        <f t="shared" si="30"/>
        <v>N</v>
      </c>
      <c r="Y233" s="12" t="str">
        <f t="shared" si="31"/>
        <v>N</v>
      </c>
      <c r="Z233" s="12" t="str">
        <f t="shared" si="32"/>
        <v>N</v>
      </c>
      <c r="AA233" s="12">
        <f t="shared" si="33"/>
        <v>1</v>
      </c>
      <c r="AB233" s="12" t="str">
        <f t="shared" si="34"/>
        <v>SINGLE-SIGNAL</v>
      </c>
      <c r="AC233" s="14" t="str">
        <f t="shared" si="35"/>
        <v>Settlement Authorization</v>
      </c>
    </row>
    <row r="234" spans="1:29" x14ac:dyDescent="0.45">
      <c r="A234" s="2" t="s">
        <v>737</v>
      </c>
      <c r="B234" s="2" t="s">
        <v>738</v>
      </c>
      <c r="C234" s="2" t="s">
        <v>167</v>
      </c>
      <c r="D234" s="2" t="s">
        <v>739</v>
      </c>
      <c r="E234" s="11">
        <v>45763</v>
      </c>
      <c r="F234" s="12" t="s">
        <v>51</v>
      </c>
      <c r="G234" s="13">
        <v>35000</v>
      </c>
      <c r="H234" s="12" t="s">
        <v>71</v>
      </c>
      <c r="I234" s="11">
        <v>46521</v>
      </c>
      <c r="J234" s="12" t="s">
        <v>53</v>
      </c>
      <c r="K234" s="11"/>
      <c r="L234" s="12" t="s">
        <v>53</v>
      </c>
      <c r="M234" s="12" t="s">
        <v>53</v>
      </c>
      <c r="N234" s="11"/>
      <c r="O234" s="12"/>
      <c r="P234" s="12" t="s">
        <v>53</v>
      </c>
      <c r="Q234" s="14"/>
      <c r="R234" s="14"/>
      <c r="S234" s="12" t="s">
        <v>53</v>
      </c>
      <c r="T234" s="11"/>
      <c r="U234" s="12" t="str">
        <f t="shared" si="27"/>
        <v>N</v>
      </c>
      <c r="V234" s="12" t="str">
        <f t="shared" si="28"/>
        <v>N</v>
      </c>
      <c r="W234" s="12" t="str">
        <f t="shared" si="29"/>
        <v>N</v>
      </c>
      <c r="X234" s="12" t="str">
        <f t="shared" si="30"/>
        <v>N</v>
      </c>
      <c r="Y234" s="12" t="str">
        <f t="shared" si="31"/>
        <v>N</v>
      </c>
      <c r="Z234" s="12" t="str">
        <f t="shared" si="32"/>
        <v>N</v>
      </c>
      <c r="AA234" s="12">
        <f t="shared" si="33"/>
        <v>1</v>
      </c>
      <c r="AB234" s="12" t="str">
        <f t="shared" si="34"/>
        <v>SINGLE-SIGNAL</v>
      </c>
      <c r="AC234" s="14" t="str">
        <f t="shared" si="35"/>
        <v>Settlement Authorization</v>
      </c>
    </row>
    <row r="235" spans="1:29" x14ac:dyDescent="0.45">
      <c r="A235" s="2" t="s">
        <v>740</v>
      </c>
      <c r="B235" s="2" t="s">
        <v>741</v>
      </c>
      <c r="C235" s="2" t="s">
        <v>170</v>
      </c>
      <c r="D235" s="2" t="s">
        <v>742</v>
      </c>
      <c r="E235" s="11">
        <v>44724</v>
      </c>
      <c r="F235" s="12" t="s">
        <v>51</v>
      </c>
      <c r="G235" s="13">
        <v>107500</v>
      </c>
      <c r="H235" s="12" t="s">
        <v>242</v>
      </c>
      <c r="I235" s="11">
        <v>46388</v>
      </c>
      <c r="J235" s="12" t="s">
        <v>53</v>
      </c>
      <c r="K235" s="11"/>
      <c r="L235" s="12" t="s">
        <v>51</v>
      </c>
      <c r="M235" s="12" t="s">
        <v>53</v>
      </c>
      <c r="N235" s="11"/>
      <c r="O235" s="12"/>
      <c r="P235" s="12" t="s">
        <v>53</v>
      </c>
      <c r="Q235" s="14"/>
      <c r="R235" s="14"/>
      <c r="S235" s="12" t="s">
        <v>53</v>
      </c>
      <c r="T235" s="11"/>
      <c r="U235" s="12" t="str">
        <f t="shared" si="27"/>
        <v>N</v>
      </c>
      <c r="V235" s="12" t="str">
        <f t="shared" si="28"/>
        <v>N</v>
      </c>
      <c r="W235" s="12" t="str">
        <f t="shared" si="29"/>
        <v>N</v>
      </c>
      <c r="X235" s="12" t="str">
        <f t="shared" si="30"/>
        <v>N</v>
      </c>
      <c r="Y235" s="12" t="str">
        <f t="shared" si="31"/>
        <v>N</v>
      </c>
      <c r="Z235" s="12" t="str">
        <f t="shared" si="32"/>
        <v>N</v>
      </c>
      <c r="AA235" s="12">
        <f t="shared" si="33"/>
        <v>1</v>
      </c>
      <c r="AB235" s="12" t="str">
        <f t="shared" si="34"/>
        <v>SINGLE-SIGNAL</v>
      </c>
      <c r="AC235" s="14" t="str">
        <f t="shared" si="35"/>
        <v>Settlement Authorization</v>
      </c>
    </row>
    <row r="236" spans="1:29" x14ac:dyDescent="0.45">
      <c r="A236" s="2" t="s">
        <v>743</v>
      </c>
      <c r="B236" s="2" t="s">
        <v>744</v>
      </c>
      <c r="C236" s="2" t="s">
        <v>170</v>
      </c>
      <c r="D236" s="2" t="s">
        <v>326</v>
      </c>
      <c r="E236" s="11">
        <v>44785</v>
      </c>
      <c r="F236" s="12" t="s">
        <v>51</v>
      </c>
      <c r="G236" s="13">
        <v>56500</v>
      </c>
      <c r="H236" s="12" t="s">
        <v>59</v>
      </c>
      <c r="I236" s="11">
        <v>45409</v>
      </c>
      <c r="J236" s="12" t="s">
        <v>53</v>
      </c>
      <c r="K236" s="11"/>
      <c r="L236" s="12" t="s">
        <v>53</v>
      </c>
      <c r="M236" s="12" t="s">
        <v>51</v>
      </c>
      <c r="N236" s="11">
        <v>45239</v>
      </c>
      <c r="O236" s="12" t="s">
        <v>271</v>
      </c>
      <c r="P236" s="12" t="s">
        <v>53</v>
      </c>
      <c r="Q236" s="14"/>
      <c r="R236" s="14"/>
      <c r="S236" s="12" t="s">
        <v>53</v>
      </c>
      <c r="T236" s="11"/>
      <c r="U236" s="12" t="str">
        <f t="shared" si="27"/>
        <v>N</v>
      </c>
      <c r="V236" s="12" t="str">
        <f t="shared" si="28"/>
        <v>N</v>
      </c>
      <c r="W236" s="12" t="str">
        <f t="shared" si="29"/>
        <v>N</v>
      </c>
      <c r="X236" s="12" t="str">
        <f t="shared" si="30"/>
        <v>N</v>
      </c>
      <c r="Y236" s="12" t="str">
        <f t="shared" si="31"/>
        <v>N</v>
      </c>
      <c r="Z236" s="12" t="str">
        <f t="shared" si="32"/>
        <v>N</v>
      </c>
      <c r="AA236" s="12">
        <f t="shared" si="33"/>
        <v>2</v>
      </c>
      <c r="AB236" s="12" t="str">
        <f t="shared" si="34"/>
        <v>MULTI-SIGNAL</v>
      </c>
      <c r="AC236" s="14" t="str">
        <f t="shared" si="35"/>
        <v>Settlement Authorization | Pending QME</v>
      </c>
    </row>
    <row r="237" spans="1:29" x14ac:dyDescent="0.45">
      <c r="A237" s="2" t="s">
        <v>745</v>
      </c>
      <c r="B237" s="2" t="s">
        <v>746</v>
      </c>
      <c r="C237" s="2" t="s">
        <v>170</v>
      </c>
      <c r="D237" s="2" t="s">
        <v>747</v>
      </c>
      <c r="E237" s="11">
        <v>43782</v>
      </c>
      <c r="F237" s="12" t="s">
        <v>51</v>
      </c>
      <c r="G237" s="13">
        <v>55500</v>
      </c>
      <c r="H237" s="12" t="s">
        <v>59</v>
      </c>
      <c r="I237" s="11">
        <v>43988</v>
      </c>
      <c r="J237" s="12" t="s">
        <v>53</v>
      </c>
      <c r="K237" s="11"/>
      <c r="L237" s="12" t="s">
        <v>53</v>
      </c>
      <c r="M237" s="12" t="s">
        <v>53</v>
      </c>
      <c r="N237" s="11"/>
      <c r="O237" s="12"/>
      <c r="P237" s="12" t="s">
        <v>53</v>
      </c>
      <c r="Q237" s="14"/>
      <c r="R237" s="14"/>
      <c r="S237" s="12" t="s">
        <v>53</v>
      </c>
      <c r="T237" s="11"/>
      <c r="U237" s="12" t="str">
        <f t="shared" si="27"/>
        <v>N</v>
      </c>
      <c r="V237" s="12" t="str">
        <f t="shared" si="28"/>
        <v>N</v>
      </c>
      <c r="W237" s="12" t="str">
        <f t="shared" si="29"/>
        <v>N</v>
      </c>
      <c r="X237" s="12" t="str">
        <f t="shared" si="30"/>
        <v>N</v>
      </c>
      <c r="Y237" s="12" t="str">
        <f t="shared" si="31"/>
        <v>N</v>
      </c>
      <c r="Z237" s="12" t="str">
        <f t="shared" si="32"/>
        <v>N</v>
      </c>
      <c r="AA237" s="12">
        <f t="shared" si="33"/>
        <v>1</v>
      </c>
      <c r="AB237" s="12" t="str">
        <f t="shared" si="34"/>
        <v>SINGLE-SIGNAL</v>
      </c>
      <c r="AC237" s="14" t="str">
        <f t="shared" si="35"/>
        <v>Settlement Authorization</v>
      </c>
    </row>
    <row r="238" spans="1:29" ht="28.5" x14ac:dyDescent="0.45">
      <c r="A238" s="2" t="s">
        <v>748</v>
      </c>
      <c r="B238" s="2" t="s">
        <v>749</v>
      </c>
      <c r="C238" s="2" t="s">
        <v>170</v>
      </c>
      <c r="D238" s="2" t="s">
        <v>405</v>
      </c>
      <c r="E238" s="11">
        <v>43813</v>
      </c>
      <c r="F238" s="12" t="s">
        <v>51</v>
      </c>
      <c r="G238" s="13">
        <v>111500</v>
      </c>
      <c r="H238" s="12" t="s">
        <v>71</v>
      </c>
      <c r="I238" s="11">
        <v>43866</v>
      </c>
      <c r="J238" s="12" t="s">
        <v>53</v>
      </c>
      <c r="K238" s="11"/>
      <c r="L238" s="12" t="s">
        <v>51</v>
      </c>
      <c r="M238" s="12" t="s">
        <v>53</v>
      </c>
      <c r="N238" s="11"/>
      <c r="O238" s="12"/>
      <c r="P238" s="12" t="s">
        <v>51</v>
      </c>
      <c r="Q238" s="14" t="s">
        <v>209</v>
      </c>
      <c r="R238" s="14"/>
      <c r="S238" s="12" t="s">
        <v>53</v>
      </c>
      <c r="T238" s="11"/>
      <c r="U238" s="12" t="str">
        <f t="shared" si="27"/>
        <v>Y</v>
      </c>
      <c r="V238" s="12" t="str">
        <f t="shared" si="28"/>
        <v>N</v>
      </c>
      <c r="W238" s="12" t="str">
        <f t="shared" si="29"/>
        <v>N</v>
      </c>
      <c r="X238" s="12" t="str">
        <f t="shared" si="30"/>
        <v>N</v>
      </c>
      <c r="Y238" s="12" t="str">
        <f t="shared" si="31"/>
        <v>N</v>
      </c>
      <c r="Z238" s="12" t="str">
        <f t="shared" si="32"/>
        <v>N</v>
      </c>
      <c r="AA238" s="12">
        <f t="shared" si="33"/>
        <v>2</v>
      </c>
      <c r="AB238" s="12" t="str">
        <f t="shared" si="34"/>
        <v>MULTI-SIGNAL</v>
      </c>
      <c r="AC238" s="14" t="str">
        <f t="shared" si="35"/>
        <v>Settlement Authorization | Automated Claim Alert</v>
      </c>
    </row>
    <row r="239" spans="1:29" x14ac:dyDescent="0.45">
      <c r="A239" s="2" t="s">
        <v>750</v>
      </c>
      <c r="B239" s="2" t="s">
        <v>751</v>
      </c>
      <c r="C239" s="2" t="s">
        <v>170</v>
      </c>
      <c r="D239" s="2" t="s">
        <v>125</v>
      </c>
      <c r="E239" s="11">
        <v>45334</v>
      </c>
      <c r="F239" s="12" t="s">
        <v>51</v>
      </c>
      <c r="G239" s="13">
        <v>48000</v>
      </c>
      <c r="H239" s="12" t="s">
        <v>116</v>
      </c>
      <c r="I239" s="11">
        <v>45436</v>
      </c>
      <c r="J239" s="12" t="s">
        <v>53</v>
      </c>
      <c r="K239" s="11"/>
      <c r="L239" s="12" t="s">
        <v>53</v>
      </c>
      <c r="M239" s="12" t="s">
        <v>53</v>
      </c>
      <c r="N239" s="11"/>
      <c r="O239" s="12"/>
      <c r="P239" s="12" t="s">
        <v>53</v>
      </c>
      <c r="Q239" s="14"/>
      <c r="R239" s="14"/>
      <c r="S239" s="12" t="s">
        <v>51</v>
      </c>
      <c r="T239" s="11">
        <v>47448</v>
      </c>
      <c r="U239" s="12" t="str">
        <f t="shared" si="27"/>
        <v>N</v>
      </c>
      <c r="V239" s="12" t="str">
        <f t="shared" si="28"/>
        <v>N</v>
      </c>
      <c r="W239" s="12" t="str">
        <f t="shared" si="29"/>
        <v>N</v>
      </c>
      <c r="X239" s="12" t="str">
        <f t="shared" si="30"/>
        <v>N</v>
      </c>
      <c r="Y239" s="12" t="str">
        <f t="shared" si="31"/>
        <v>N</v>
      </c>
      <c r="Z239" s="12" t="str">
        <f t="shared" si="32"/>
        <v>N</v>
      </c>
      <c r="AA239" s="12">
        <f t="shared" si="33"/>
        <v>2</v>
      </c>
      <c r="AB239" s="12" t="str">
        <f t="shared" si="34"/>
        <v>MULTI-SIGNAL</v>
      </c>
      <c r="AC239" s="14" t="str">
        <f t="shared" si="35"/>
        <v>Settlement Authorization | Inactive Customer</v>
      </c>
    </row>
    <row r="240" spans="1:29" ht="28.5" x14ac:dyDescent="0.45">
      <c r="A240" s="2" t="s">
        <v>752</v>
      </c>
      <c r="B240" s="2" t="s">
        <v>753</v>
      </c>
      <c r="C240" s="2" t="s">
        <v>170</v>
      </c>
      <c r="D240" s="2" t="s">
        <v>344</v>
      </c>
      <c r="E240" s="11">
        <v>45127</v>
      </c>
      <c r="F240" s="12" t="s">
        <v>53</v>
      </c>
      <c r="G240" s="13"/>
      <c r="H240" s="12"/>
      <c r="I240" s="11"/>
      <c r="J240" s="12" t="s">
        <v>53</v>
      </c>
      <c r="K240" s="11"/>
      <c r="L240" s="12"/>
      <c r="M240" s="12" t="s">
        <v>53</v>
      </c>
      <c r="N240" s="11"/>
      <c r="O240" s="12"/>
      <c r="P240" s="12" t="s">
        <v>51</v>
      </c>
      <c r="Q240" s="14" t="s">
        <v>754</v>
      </c>
      <c r="R240" s="14" t="s">
        <v>209</v>
      </c>
      <c r="S240" s="12" t="s">
        <v>53</v>
      </c>
      <c r="T240" s="11"/>
      <c r="U240" s="12" t="str">
        <f t="shared" si="27"/>
        <v>Y</v>
      </c>
      <c r="V240" s="12" t="str">
        <f t="shared" si="28"/>
        <v>Y</v>
      </c>
      <c r="W240" s="12" t="str">
        <f t="shared" si="29"/>
        <v>Y</v>
      </c>
      <c r="X240" s="12" t="str">
        <f t="shared" si="30"/>
        <v>N</v>
      </c>
      <c r="Y240" s="12" t="str">
        <f t="shared" si="31"/>
        <v>N</v>
      </c>
      <c r="Z240" s="12" t="str">
        <f t="shared" si="32"/>
        <v>Y</v>
      </c>
      <c r="AA240" s="12">
        <f t="shared" si="33"/>
        <v>1</v>
      </c>
      <c r="AB240" s="12" t="str">
        <f t="shared" si="34"/>
        <v>SINGLE-SIGNAL</v>
      </c>
      <c r="AC240" s="14" t="str">
        <f t="shared" si="35"/>
        <v>Automated Claim Alert</v>
      </c>
    </row>
    <row r="241" spans="1:29" x14ac:dyDescent="0.45">
      <c r="A241" s="2" t="s">
        <v>755</v>
      </c>
      <c r="B241" s="2" t="s">
        <v>756</v>
      </c>
      <c r="C241" s="2" t="s">
        <v>170</v>
      </c>
      <c r="D241" s="2" t="s">
        <v>757</v>
      </c>
      <c r="E241" s="11">
        <v>45588</v>
      </c>
      <c r="F241" s="12" t="s">
        <v>53</v>
      </c>
      <c r="G241" s="13"/>
      <c r="H241" s="12"/>
      <c r="I241" s="11"/>
      <c r="J241" s="12" t="s">
        <v>53</v>
      </c>
      <c r="K241" s="11"/>
      <c r="L241" s="12"/>
      <c r="M241" s="12" t="s">
        <v>51</v>
      </c>
      <c r="N241" s="11">
        <v>46523</v>
      </c>
      <c r="O241" s="12" t="s">
        <v>286</v>
      </c>
      <c r="P241" s="12" t="s">
        <v>53</v>
      </c>
      <c r="Q241" s="14"/>
      <c r="R241" s="14"/>
      <c r="S241" s="12" t="s">
        <v>53</v>
      </c>
      <c r="T241" s="11"/>
      <c r="U241" s="12" t="str">
        <f t="shared" si="27"/>
        <v>N</v>
      </c>
      <c r="V241" s="12" t="str">
        <f t="shared" si="28"/>
        <v>N</v>
      </c>
      <c r="W241" s="12" t="str">
        <f t="shared" si="29"/>
        <v>N</v>
      </c>
      <c r="X241" s="12" t="str">
        <f t="shared" si="30"/>
        <v>N</v>
      </c>
      <c r="Y241" s="12" t="str">
        <f t="shared" si="31"/>
        <v>N</v>
      </c>
      <c r="Z241" s="12" t="str">
        <f t="shared" si="32"/>
        <v>N</v>
      </c>
      <c r="AA241" s="12">
        <f t="shared" si="33"/>
        <v>1</v>
      </c>
      <c r="AB241" s="12" t="str">
        <f t="shared" si="34"/>
        <v>SINGLE-SIGNAL</v>
      </c>
      <c r="AC241" s="14" t="str">
        <f t="shared" si="35"/>
        <v>Pending QME</v>
      </c>
    </row>
    <row r="242" spans="1:29" x14ac:dyDescent="0.45">
      <c r="A242" s="2" t="s">
        <v>758</v>
      </c>
      <c r="B242" s="2" t="s">
        <v>759</v>
      </c>
      <c r="C242" s="2" t="s">
        <v>170</v>
      </c>
      <c r="D242" s="2" t="s">
        <v>760</v>
      </c>
      <c r="E242" s="11">
        <v>45645</v>
      </c>
      <c r="F242" s="12" t="s">
        <v>53</v>
      </c>
      <c r="G242" s="13"/>
      <c r="H242" s="12"/>
      <c r="I242" s="11"/>
      <c r="J242" s="12" t="s">
        <v>53</v>
      </c>
      <c r="K242" s="11"/>
      <c r="L242" s="12"/>
      <c r="M242" s="12" t="s">
        <v>51</v>
      </c>
      <c r="N242" s="11">
        <v>47239</v>
      </c>
      <c r="O242" s="12" t="s">
        <v>573</v>
      </c>
      <c r="P242" s="12" t="s">
        <v>53</v>
      </c>
      <c r="Q242" s="14"/>
      <c r="R242" s="14"/>
      <c r="S242" s="12" t="s">
        <v>53</v>
      </c>
      <c r="T242" s="11"/>
      <c r="U242" s="12" t="str">
        <f t="shared" si="27"/>
        <v>N</v>
      </c>
      <c r="V242" s="12" t="str">
        <f t="shared" si="28"/>
        <v>N</v>
      </c>
      <c r="W242" s="12" t="str">
        <f t="shared" si="29"/>
        <v>N</v>
      </c>
      <c r="X242" s="12" t="str">
        <f t="shared" si="30"/>
        <v>N</v>
      </c>
      <c r="Y242" s="12" t="str">
        <f t="shared" si="31"/>
        <v>N</v>
      </c>
      <c r="Z242" s="12" t="str">
        <f t="shared" si="32"/>
        <v>N</v>
      </c>
      <c r="AA242" s="12">
        <f t="shared" si="33"/>
        <v>1</v>
      </c>
      <c r="AB242" s="12" t="str">
        <f t="shared" si="34"/>
        <v>SINGLE-SIGNAL</v>
      </c>
      <c r="AC242" s="14" t="str">
        <f t="shared" si="35"/>
        <v>Pending QME</v>
      </c>
    </row>
    <row r="243" spans="1:29" x14ac:dyDescent="0.45">
      <c r="A243" s="2" t="s">
        <v>761</v>
      </c>
      <c r="B243" s="2" t="s">
        <v>762</v>
      </c>
      <c r="C243" s="2" t="s">
        <v>170</v>
      </c>
      <c r="D243" s="2" t="s">
        <v>437</v>
      </c>
      <c r="E243" s="11">
        <v>44429</v>
      </c>
      <c r="F243" s="12" t="s">
        <v>53</v>
      </c>
      <c r="G243" s="13"/>
      <c r="H243" s="12"/>
      <c r="I243" s="11"/>
      <c r="J243" s="12" t="s">
        <v>53</v>
      </c>
      <c r="K243" s="11"/>
      <c r="L243" s="12"/>
      <c r="M243" s="12" t="s">
        <v>51</v>
      </c>
      <c r="N243" s="11">
        <v>44689</v>
      </c>
      <c r="O243" s="12" t="s">
        <v>763</v>
      </c>
      <c r="P243" s="12" t="s">
        <v>53</v>
      </c>
      <c r="Q243" s="14"/>
      <c r="R243" s="14"/>
      <c r="S243" s="12" t="s">
        <v>53</v>
      </c>
      <c r="T243" s="11"/>
      <c r="U243" s="12" t="str">
        <f t="shared" si="27"/>
        <v>N</v>
      </c>
      <c r="V243" s="12" t="str">
        <f t="shared" si="28"/>
        <v>N</v>
      </c>
      <c r="W243" s="12" t="str">
        <f t="shared" si="29"/>
        <v>N</v>
      </c>
      <c r="X243" s="12" t="str">
        <f t="shared" si="30"/>
        <v>N</v>
      </c>
      <c r="Y243" s="12" t="str">
        <f t="shared" si="31"/>
        <v>N</v>
      </c>
      <c r="Z243" s="12" t="str">
        <f t="shared" si="32"/>
        <v>N</v>
      </c>
      <c r="AA243" s="12">
        <f t="shared" si="33"/>
        <v>1</v>
      </c>
      <c r="AB243" s="12" t="str">
        <f t="shared" si="34"/>
        <v>SINGLE-SIGNAL</v>
      </c>
      <c r="AC243" s="14" t="str">
        <f t="shared" si="35"/>
        <v>Pending QME</v>
      </c>
    </row>
    <row r="244" spans="1:29" x14ac:dyDescent="0.45">
      <c r="A244" s="2" t="s">
        <v>764</v>
      </c>
      <c r="B244" s="2" t="s">
        <v>765</v>
      </c>
      <c r="C244" s="2" t="s">
        <v>170</v>
      </c>
      <c r="D244" s="2" t="s">
        <v>766</v>
      </c>
      <c r="E244" s="11">
        <v>46084</v>
      </c>
      <c r="F244" s="12" t="s">
        <v>53</v>
      </c>
      <c r="G244" s="13"/>
      <c r="H244" s="12"/>
      <c r="I244" s="11"/>
      <c r="J244" s="12" t="s">
        <v>53</v>
      </c>
      <c r="K244" s="11"/>
      <c r="L244" s="12"/>
      <c r="M244" s="12" t="s">
        <v>53</v>
      </c>
      <c r="N244" s="11"/>
      <c r="O244" s="12"/>
      <c r="P244" s="12" t="s">
        <v>53</v>
      </c>
      <c r="Q244" s="14"/>
      <c r="R244" s="14"/>
      <c r="S244" s="12" t="s">
        <v>51</v>
      </c>
      <c r="T244" s="11">
        <v>47552</v>
      </c>
      <c r="U244" s="12" t="str">
        <f t="shared" si="27"/>
        <v>N</v>
      </c>
      <c r="V244" s="12" t="str">
        <f t="shared" si="28"/>
        <v>N</v>
      </c>
      <c r="W244" s="12" t="str">
        <f t="shared" si="29"/>
        <v>N</v>
      </c>
      <c r="X244" s="12" t="str">
        <f t="shared" si="30"/>
        <v>N</v>
      </c>
      <c r="Y244" s="12" t="str">
        <f t="shared" si="31"/>
        <v>N</v>
      </c>
      <c r="Z244" s="12" t="str">
        <f t="shared" si="32"/>
        <v>N</v>
      </c>
      <c r="AA244" s="12">
        <f t="shared" si="33"/>
        <v>1</v>
      </c>
      <c r="AB244" s="12" t="str">
        <f t="shared" si="34"/>
        <v>SINGLE-SIGNAL</v>
      </c>
      <c r="AC244" s="14" t="str">
        <f t="shared" si="35"/>
        <v>Inactive Customer</v>
      </c>
    </row>
    <row r="245" spans="1:29" x14ac:dyDescent="0.45">
      <c r="A245" s="2" t="s">
        <v>767</v>
      </c>
      <c r="B245" s="2" t="s">
        <v>768</v>
      </c>
      <c r="C245" s="2" t="s">
        <v>170</v>
      </c>
      <c r="D245" s="2" t="s">
        <v>132</v>
      </c>
      <c r="E245" s="11">
        <v>43604</v>
      </c>
      <c r="F245" s="12" t="s">
        <v>51</v>
      </c>
      <c r="G245" s="13">
        <v>76000</v>
      </c>
      <c r="H245" s="12" t="s">
        <v>85</v>
      </c>
      <c r="I245" s="11">
        <v>45318</v>
      </c>
      <c r="J245" s="12" t="s">
        <v>53</v>
      </c>
      <c r="K245" s="11"/>
      <c r="L245" s="12" t="s">
        <v>53</v>
      </c>
      <c r="M245" s="12" t="s">
        <v>53</v>
      </c>
      <c r="N245" s="11"/>
      <c r="O245" s="12"/>
      <c r="P245" s="12" t="s">
        <v>53</v>
      </c>
      <c r="Q245" s="14"/>
      <c r="R245" s="14"/>
      <c r="S245" s="12" t="s">
        <v>53</v>
      </c>
      <c r="T245" s="11"/>
      <c r="U245" s="12" t="str">
        <f t="shared" si="27"/>
        <v>N</v>
      </c>
      <c r="V245" s="12" t="str">
        <f t="shared" si="28"/>
        <v>N</v>
      </c>
      <c r="W245" s="12" t="str">
        <f t="shared" si="29"/>
        <v>N</v>
      </c>
      <c r="X245" s="12" t="str">
        <f t="shared" si="30"/>
        <v>N</v>
      </c>
      <c r="Y245" s="12" t="str">
        <f t="shared" si="31"/>
        <v>N</v>
      </c>
      <c r="Z245" s="12" t="str">
        <f t="shared" si="32"/>
        <v>N</v>
      </c>
      <c r="AA245" s="12">
        <f t="shared" si="33"/>
        <v>1</v>
      </c>
      <c r="AB245" s="12" t="str">
        <f t="shared" si="34"/>
        <v>SINGLE-SIGNAL</v>
      </c>
      <c r="AC245" s="14" t="str">
        <f t="shared" si="35"/>
        <v>Settlement Authorization</v>
      </c>
    </row>
    <row r="246" spans="1:29" x14ac:dyDescent="0.45">
      <c r="A246" s="2" t="s">
        <v>769</v>
      </c>
      <c r="B246" s="2" t="s">
        <v>770</v>
      </c>
      <c r="C246" s="2" t="s">
        <v>170</v>
      </c>
      <c r="D246" s="2" t="s">
        <v>510</v>
      </c>
      <c r="E246" s="11">
        <v>45867</v>
      </c>
      <c r="F246" s="12" t="s">
        <v>53</v>
      </c>
      <c r="G246" s="13"/>
      <c r="H246" s="12"/>
      <c r="I246" s="11"/>
      <c r="J246" s="12" t="s">
        <v>51</v>
      </c>
      <c r="K246" s="11">
        <v>46367</v>
      </c>
      <c r="L246" s="12" t="s">
        <v>51</v>
      </c>
      <c r="M246" s="12" t="s">
        <v>53</v>
      </c>
      <c r="N246" s="11"/>
      <c r="O246" s="12"/>
      <c r="P246" s="12" t="s">
        <v>53</v>
      </c>
      <c r="Q246" s="14"/>
      <c r="R246" s="14"/>
      <c r="S246" s="12" t="s">
        <v>53</v>
      </c>
      <c r="T246" s="11"/>
      <c r="U246" s="12" t="str">
        <f t="shared" si="27"/>
        <v>N</v>
      </c>
      <c r="V246" s="12" t="str">
        <f t="shared" si="28"/>
        <v>N</v>
      </c>
      <c r="W246" s="12" t="str">
        <f t="shared" si="29"/>
        <v>N</v>
      </c>
      <c r="X246" s="12" t="str">
        <f t="shared" si="30"/>
        <v>N</v>
      </c>
      <c r="Y246" s="12" t="str">
        <f t="shared" si="31"/>
        <v>N</v>
      </c>
      <c r="Z246" s="12" t="str">
        <f t="shared" si="32"/>
        <v>N</v>
      </c>
      <c r="AA246" s="12">
        <f t="shared" si="33"/>
        <v>1</v>
      </c>
      <c r="AB246" s="12" t="str">
        <f t="shared" si="34"/>
        <v>SINGLE-SIGNAL</v>
      </c>
      <c r="AC246" s="14" t="str">
        <f t="shared" si="35"/>
        <v>Open Stipulation</v>
      </c>
    </row>
    <row r="247" spans="1:29" x14ac:dyDescent="0.45">
      <c r="A247" s="2" t="s">
        <v>771</v>
      </c>
      <c r="B247" s="2" t="s">
        <v>772</v>
      </c>
      <c r="C247" s="2" t="s">
        <v>170</v>
      </c>
      <c r="D247" s="2" t="s">
        <v>58</v>
      </c>
      <c r="E247" s="11">
        <v>43999</v>
      </c>
      <c r="F247" s="12" t="s">
        <v>53</v>
      </c>
      <c r="G247" s="13"/>
      <c r="H247" s="12"/>
      <c r="I247" s="11"/>
      <c r="J247" s="12" t="s">
        <v>51</v>
      </c>
      <c r="K247" s="11">
        <v>44408</v>
      </c>
      <c r="L247" s="12" t="s">
        <v>53</v>
      </c>
      <c r="M247" s="12" t="s">
        <v>53</v>
      </c>
      <c r="N247" s="11"/>
      <c r="O247" s="12"/>
      <c r="P247" s="12" t="s">
        <v>53</v>
      </c>
      <c r="Q247" s="14"/>
      <c r="R247" s="14"/>
      <c r="S247" s="12" t="s">
        <v>53</v>
      </c>
      <c r="T247" s="11"/>
      <c r="U247" s="12" t="str">
        <f t="shared" si="27"/>
        <v>N</v>
      </c>
      <c r="V247" s="12" t="str">
        <f t="shared" si="28"/>
        <v>N</v>
      </c>
      <c r="W247" s="12" t="str">
        <f t="shared" si="29"/>
        <v>N</v>
      </c>
      <c r="X247" s="12" t="str">
        <f t="shared" si="30"/>
        <v>N</v>
      </c>
      <c r="Y247" s="12" t="str">
        <f t="shared" si="31"/>
        <v>N</v>
      </c>
      <c r="Z247" s="12" t="str">
        <f t="shared" si="32"/>
        <v>N</v>
      </c>
      <c r="AA247" s="12">
        <f t="shared" si="33"/>
        <v>1</v>
      </c>
      <c r="AB247" s="12" t="str">
        <f t="shared" si="34"/>
        <v>SINGLE-SIGNAL</v>
      </c>
      <c r="AC247" s="14" t="str">
        <f t="shared" si="35"/>
        <v>Open Stipulation</v>
      </c>
    </row>
    <row r="248" spans="1:29" x14ac:dyDescent="0.45">
      <c r="A248" s="2" t="s">
        <v>773</v>
      </c>
      <c r="B248" s="2" t="s">
        <v>774</v>
      </c>
      <c r="C248" s="2" t="s">
        <v>170</v>
      </c>
      <c r="D248" s="2" t="s">
        <v>500</v>
      </c>
      <c r="E248" s="11">
        <v>44189</v>
      </c>
      <c r="F248" s="12" t="s">
        <v>53</v>
      </c>
      <c r="G248" s="13"/>
      <c r="H248" s="12"/>
      <c r="I248" s="11"/>
      <c r="J248" s="12" t="s">
        <v>51</v>
      </c>
      <c r="K248" s="11">
        <v>45575</v>
      </c>
      <c r="L248" s="12" t="s">
        <v>51</v>
      </c>
      <c r="M248" s="12" t="s">
        <v>53</v>
      </c>
      <c r="N248" s="11"/>
      <c r="O248" s="12"/>
      <c r="P248" s="12" t="s">
        <v>53</v>
      </c>
      <c r="Q248" s="14"/>
      <c r="R248" s="14"/>
      <c r="S248" s="12" t="s">
        <v>53</v>
      </c>
      <c r="T248" s="11"/>
      <c r="U248" s="12" t="str">
        <f t="shared" si="27"/>
        <v>N</v>
      </c>
      <c r="V248" s="12" t="str">
        <f t="shared" si="28"/>
        <v>N</v>
      </c>
      <c r="W248" s="12" t="str">
        <f t="shared" si="29"/>
        <v>N</v>
      </c>
      <c r="X248" s="12" t="str">
        <f t="shared" si="30"/>
        <v>N</v>
      </c>
      <c r="Y248" s="12" t="str">
        <f t="shared" si="31"/>
        <v>N</v>
      </c>
      <c r="Z248" s="12" t="str">
        <f t="shared" si="32"/>
        <v>N</v>
      </c>
      <c r="AA248" s="12">
        <f t="shared" si="33"/>
        <v>1</v>
      </c>
      <c r="AB248" s="12" t="str">
        <f t="shared" si="34"/>
        <v>SINGLE-SIGNAL</v>
      </c>
      <c r="AC248" s="14" t="str">
        <f t="shared" si="35"/>
        <v>Open Stipulation</v>
      </c>
    </row>
    <row r="249" spans="1:29" ht="28.5" x14ac:dyDescent="0.45">
      <c r="A249" s="2" t="s">
        <v>775</v>
      </c>
      <c r="B249" s="2" t="s">
        <v>776</v>
      </c>
      <c r="C249" s="2" t="s">
        <v>170</v>
      </c>
      <c r="D249" s="2" t="s">
        <v>347</v>
      </c>
      <c r="E249" s="11">
        <v>44885</v>
      </c>
      <c r="F249" s="12" t="s">
        <v>53</v>
      </c>
      <c r="G249" s="13"/>
      <c r="H249" s="12"/>
      <c r="I249" s="11"/>
      <c r="J249" s="12" t="s">
        <v>53</v>
      </c>
      <c r="K249" s="11"/>
      <c r="L249" s="12"/>
      <c r="M249" s="12" t="s">
        <v>53</v>
      </c>
      <c r="N249" s="11"/>
      <c r="O249" s="12"/>
      <c r="P249" s="12" t="s">
        <v>51</v>
      </c>
      <c r="Q249" s="14" t="s">
        <v>777</v>
      </c>
      <c r="R249" s="14" t="s">
        <v>222</v>
      </c>
      <c r="S249" s="12" t="s">
        <v>53</v>
      </c>
      <c r="T249" s="11"/>
      <c r="U249" s="12" t="str">
        <f t="shared" si="27"/>
        <v>N</v>
      </c>
      <c r="V249" s="12" t="str">
        <f t="shared" si="28"/>
        <v>Y</v>
      </c>
      <c r="W249" s="12" t="str">
        <f t="shared" si="29"/>
        <v>N</v>
      </c>
      <c r="X249" s="12" t="str">
        <f t="shared" si="30"/>
        <v>Y</v>
      </c>
      <c r="Y249" s="12" t="str">
        <f t="shared" si="31"/>
        <v>Y</v>
      </c>
      <c r="Z249" s="12" t="str">
        <f t="shared" si="32"/>
        <v>N</v>
      </c>
      <c r="AA249" s="12">
        <f t="shared" si="33"/>
        <v>1</v>
      </c>
      <c r="AB249" s="12" t="str">
        <f t="shared" si="34"/>
        <v>SINGLE-SIGNAL</v>
      </c>
      <c r="AC249" s="14" t="str">
        <f t="shared" si="35"/>
        <v>Automated Claim Alert</v>
      </c>
    </row>
    <row r="250" spans="1:29" ht="28.5" x14ac:dyDescent="0.45">
      <c r="A250" s="2" t="s">
        <v>778</v>
      </c>
      <c r="B250" s="2" t="s">
        <v>779</v>
      </c>
      <c r="C250" s="2" t="s">
        <v>170</v>
      </c>
      <c r="D250" s="2" t="s">
        <v>519</v>
      </c>
      <c r="E250" s="11">
        <v>44886</v>
      </c>
      <c r="F250" s="12" t="s">
        <v>53</v>
      </c>
      <c r="G250" s="13"/>
      <c r="H250" s="12"/>
      <c r="I250" s="11"/>
      <c r="J250" s="12" t="s">
        <v>53</v>
      </c>
      <c r="K250" s="11"/>
      <c r="L250" s="12"/>
      <c r="M250" s="12" t="s">
        <v>53</v>
      </c>
      <c r="N250" s="11"/>
      <c r="O250" s="12"/>
      <c r="P250" s="12" t="s">
        <v>51</v>
      </c>
      <c r="Q250" s="14" t="s">
        <v>462</v>
      </c>
      <c r="R250" s="14" t="s">
        <v>461</v>
      </c>
      <c r="S250" s="12" t="s">
        <v>51</v>
      </c>
      <c r="T250" s="11">
        <v>46991</v>
      </c>
      <c r="U250" s="12" t="str">
        <f t="shared" si="27"/>
        <v>Y</v>
      </c>
      <c r="V250" s="12" t="str">
        <f t="shared" si="28"/>
        <v>Y</v>
      </c>
      <c r="W250" s="12" t="str">
        <f t="shared" si="29"/>
        <v>N</v>
      </c>
      <c r="X250" s="12" t="str">
        <f t="shared" si="30"/>
        <v>N</v>
      </c>
      <c r="Y250" s="12" t="str">
        <f t="shared" si="31"/>
        <v>Y</v>
      </c>
      <c r="Z250" s="12" t="str">
        <f t="shared" si="32"/>
        <v>Y</v>
      </c>
      <c r="AA250" s="12">
        <f t="shared" si="33"/>
        <v>2</v>
      </c>
      <c r="AB250" s="12" t="str">
        <f t="shared" si="34"/>
        <v>MULTI-SIGNAL</v>
      </c>
      <c r="AC250" s="14" t="str">
        <f t="shared" si="35"/>
        <v>Automated Claim Alert | Inactive Customer</v>
      </c>
    </row>
    <row r="251" spans="1:29" x14ac:dyDescent="0.45">
      <c r="A251" s="2" t="s">
        <v>780</v>
      </c>
      <c r="B251" s="2" t="s">
        <v>781</v>
      </c>
      <c r="C251" s="2" t="s">
        <v>170</v>
      </c>
      <c r="D251" s="2" t="s">
        <v>173</v>
      </c>
      <c r="E251" s="11">
        <v>44142</v>
      </c>
      <c r="F251" s="12" t="s">
        <v>51</v>
      </c>
      <c r="G251" s="13">
        <v>52500</v>
      </c>
      <c r="H251" s="12" t="s">
        <v>242</v>
      </c>
      <c r="I251" s="11">
        <v>44416</v>
      </c>
      <c r="J251" s="12" t="s">
        <v>53</v>
      </c>
      <c r="K251" s="11"/>
      <c r="L251" s="12" t="s">
        <v>53</v>
      </c>
      <c r="M251" s="12" t="s">
        <v>53</v>
      </c>
      <c r="N251" s="11"/>
      <c r="O251" s="12"/>
      <c r="P251" s="12" t="s">
        <v>53</v>
      </c>
      <c r="Q251" s="14"/>
      <c r="R251" s="14"/>
      <c r="S251" s="12" t="s">
        <v>53</v>
      </c>
      <c r="T251" s="11"/>
      <c r="U251" s="12" t="str">
        <f t="shared" si="27"/>
        <v>N</v>
      </c>
      <c r="V251" s="12" t="str">
        <f t="shared" si="28"/>
        <v>N</v>
      </c>
      <c r="W251" s="12" t="str">
        <f t="shared" si="29"/>
        <v>N</v>
      </c>
      <c r="X251" s="12" t="str">
        <f t="shared" si="30"/>
        <v>N</v>
      </c>
      <c r="Y251" s="12" t="str">
        <f t="shared" si="31"/>
        <v>N</v>
      </c>
      <c r="Z251" s="12" t="str">
        <f t="shared" si="32"/>
        <v>N</v>
      </c>
      <c r="AA251" s="12">
        <f t="shared" si="33"/>
        <v>1</v>
      </c>
      <c r="AB251" s="12" t="str">
        <f t="shared" si="34"/>
        <v>SINGLE-SIGNAL</v>
      </c>
      <c r="AC251" s="14" t="str">
        <f t="shared" si="35"/>
        <v>Settlement Authorization</v>
      </c>
    </row>
    <row r="252" spans="1:29" x14ac:dyDescent="0.45">
      <c r="A252" s="2" t="s">
        <v>782</v>
      </c>
      <c r="B252" s="2" t="s">
        <v>783</v>
      </c>
      <c r="C252" s="2" t="s">
        <v>170</v>
      </c>
      <c r="D252" s="2" t="s">
        <v>189</v>
      </c>
      <c r="E252" s="11">
        <v>45091</v>
      </c>
      <c r="F252" s="12" t="s">
        <v>53</v>
      </c>
      <c r="G252" s="13"/>
      <c r="H252" s="12"/>
      <c r="I252" s="11"/>
      <c r="J252" s="12" t="s">
        <v>53</v>
      </c>
      <c r="K252" s="11"/>
      <c r="L252" s="12"/>
      <c r="M252" s="12" t="s">
        <v>53</v>
      </c>
      <c r="N252" s="11"/>
      <c r="O252" s="12"/>
      <c r="P252" s="12" t="s">
        <v>51</v>
      </c>
      <c r="Q252" s="14" t="s">
        <v>149</v>
      </c>
      <c r="R252" s="14"/>
      <c r="S252" s="12" t="s">
        <v>53</v>
      </c>
      <c r="T252" s="11"/>
      <c r="U252" s="12" t="str">
        <f t="shared" si="27"/>
        <v>N</v>
      </c>
      <c r="V252" s="12" t="str">
        <f t="shared" si="28"/>
        <v>N</v>
      </c>
      <c r="W252" s="12" t="str">
        <f t="shared" si="29"/>
        <v>N</v>
      </c>
      <c r="X252" s="12" t="str">
        <f t="shared" si="30"/>
        <v>N</v>
      </c>
      <c r="Y252" s="12" t="str">
        <f t="shared" si="31"/>
        <v>N</v>
      </c>
      <c r="Z252" s="12" t="str">
        <f t="shared" si="32"/>
        <v>Y</v>
      </c>
      <c r="AA252" s="12">
        <f t="shared" si="33"/>
        <v>1</v>
      </c>
      <c r="AB252" s="12" t="str">
        <f t="shared" si="34"/>
        <v>SINGLE-SIGNAL</v>
      </c>
      <c r="AC252" s="14" t="str">
        <f t="shared" si="35"/>
        <v>Automated Claim Alert</v>
      </c>
    </row>
    <row r="253" spans="1:29" x14ac:dyDescent="0.45">
      <c r="A253" s="2" t="s">
        <v>784</v>
      </c>
      <c r="B253" s="2" t="s">
        <v>785</v>
      </c>
      <c r="C253" s="2" t="s">
        <v>170</v>
      </c>
      <c r="D253" s="2" t="s">
        <v>739</v>
      </c>
      <c r="E253" s="11">
        <v>43686</v>
      </c>
      <c r="F253" s="12" t="s">
        <v>51</v>
      </c>
      <c r="G253" s="13">
        <v>104750</v>
      </c>
      <c r="H253" s="12" t="s">
        <v>66</v>
      </c>
      <c r="I253" s="11">
        <v>44398</v>
      </c>
      <c r="J253" s="12" t="s">
        <v>53</v>
      </c>
      <c r="K253" s="11"/>
      <c r="L253" s="12" t="s">
        <v>51</v>
      </c>
      <c r="M253" s="12" t="s">
        <v>53</v>
      </c>
      <c r="N253" s="11"/>
      <c r="O253" s="12"/>
      <c r="P253" s="12" t="s">
        <v>53</v>
      </c>
      <c r="Q253" s="14"/>
      <c r="R253" s="14"/>
      <c r="S253" s="12" t="s">
        <v>53</v>
      </c>
      <c r="T253" s="11"/>
      <c r="U253" s="12" t="str">
        <f t="shared" si="27"/>
        <v>N</v>
      </c>
      <c r="V253" s="12" t="str">
        <f t="shared" si="28"/>
        <v>N</v>
      </c>
      <c r="W253" s="12" t="str">
        <f t="shared" si="29"/>
        <v>N</v>
      </c>
      <c r="X253" s="12" t="str">
        <f t="shared" si="30"/>
        <v>N</v>
      </c>
      <c r="Y253" s="12" t="str">
        <f t="shared" si="31"/>
        <v>N</v>
      </c>
      <c r="Z253" s="12" t="str">
        <f t="shared" si="32"/>
        <v>N</v>
      </c>
      <c r="AA253" s="12">
        <f t="shared" si="33"/>
        <v>1</v>
      </c>
      <c r="AB253" s="12" t="str">
        <f t="shared" si="34"/>
        <v>SINGLE-SIGNAL</v>
      </c>
      <c r="AC253" s="14" t="str">
        <f t="shared" si="35"/>
        <v>Settlement Authorization</v>
      </c>
    </row>
    <row r="254" spans="1:29" x14ac:dyDescent="0.45">
      <c r="A254" s="2" t="s">
        <v>786</v>
      </c>
      <c r="B254" s="2" t="s">
        <v>787</v>
      </c>
      <c r="C254" s="2" t="s">
        <v>170</v>
      </c>
      <c r="D254" s="2" t="s">
        <v>788</v>
      </c>
      <c r="E254" s="11">
        <v>45508</v>
      </c>
      <c r="F254" s="12" t="s">
        <v>51</v>
      </c>
      <c r="G254" s="13">
        <v>143000</v>
      </c>
      <c r="H254" s="12" t="s">
        <v>277</v>
      </c>
      <c r="I254" s="11">
        <v>45755</v>
      </c>
      <c r="J254" s="12" t="s">
        <v>53</v>
      </c>
      <c r="K254" s="11"/>
      <c r="L254" s="12" t="s">
        <v>51</v>
      </c>
      <c r="M254" s="12" t="s">
        <v>53</v>
      </c>
      <c r="N254" s="11"/>
      <c r="O254" s="12"/>
      <c r="P254" s="12" t="s">
        <v>53</v>
      </c>
      <c r="Q254" s="14"/>
      <c r="R254" s="14"/>
      <c r="S254" s="12" t="s">
        <v>53</v>
      </c>
      <c r="T254" s="11"/>
      <c r="U254" s="12" t="str">
        <f t="shared" si="27"/>
        <v>N</v>
      </c>
      <c r="V254" s="12" t="str">
        <f t="shared" si="28"/>
        <v>N</v>
      </c>
      <c r="W254" s="12" t="str">
        <f t="shared" si="29"/>
        <v>N</v>
      </c>
      <c r="X254" s="12" t="str">
        <f t="shared" si="30"/>
        <v>N</v>
      </c>
      <c r="Y254" s="12" t="str">
        <f t="shared" si="31"/>
        <v>N</v>
      </c>
      <c r="Z254" s="12" t="str">
        <f t="shared" si="32"/>
        <v>N</v>
      </c>
      <c r="AA254" s="12">
        <f t="shared" si="33"/>
        <v>1</v>
      </c>
      <c r="AB254" s="12" t="str">
        <f t="shared" si="34"/>
        <v>SINGLE-SIGNAL</v>
      </c>
      <c r="AC254" s="14" t="str">
        <f t="shared" si="35"/>
        <v>Settlement Authorization</v>
      </c>
    </row>
    <row r="255" spans="1:29" x14ac:dyDescent="0.45">
      <c r="A255" s="2" t="s">
        <v>789</v>
      </c>
      <c r="B255" s="2" t="s">
        <v>790</v>
      </c>
      <c r="C255" s="2" t="s">
        <v>170</v>
      </c>
      <c r="D255" s="2" t="s">
        <v>88</v>
      </c>
      <c r="E255" s="11">
        <v>44648</v>
      </c>
      <c r="F255" s="12" t="s">
        <v>51</v>
      </c>
      <c r="G255" s="13">
        <v>35500</v>
      </c>
      <c r="H255" s="12" t="s">
        <v>116</v>
      </c>
      <c r="I255" s="11">
        <v>45046</v>
      </c>
      <c r="J255" s="12" t="s">
        <v>53</v>
      </c>
      <c r="K255" s="11"/>
      <c r="L255" s="12" t="s">
        <v>51</v>
      </c>
      <c r="M255" s="12" t="s">
        <v>53</v>
      </c>
      <c r="N255" s="11"/>
      <c r="O255" s="12"/>
      <c r="P255" s="12" t="s">
        <v>53</v>
      </c>
      <c r="Q255" s="14"/>
      <c r="R255" s="14"/>
      <c r="S255" s="12" t="s">
        <v>51</v>
      </c>
      <c r="T255" s="11">
        <v>46509</v>
      </c>
      <c r="U255" s="12" t="str">
        <f t="shared" si="27"/>
        <v>N</v>
      </c>
      <c r="V255" s="12" t="str">
        <f t="shared" si="28"/>
        <v>N</v>
      </c>
      <c r="W255" s="12" t="str">
        <f t="shared" si="29"/>
        <v>N</v>
      </c>
      <c r="X255" s="12" t="str">
        <f t="shared" si="30"/>
        <v>N</v>
      </c>
      <c r="Y255" s="12" t="str">
        <f t="shared" si="31"/>
        <v>N</v>
      </c>
      <c r="Z255" s="12" t="str">
        <f t="shared" si="32"/>
        <v>N</v>
      </c>
      <c r="AA255" s="12">
        <f t="shared" si="33"/>
        <v>2</v>
      </c>
      <c r="AB255" s="12" t="str">
        <f t="shared" si="34"/>
        <v>MULTI-SIGNAL</v>
      </c>
      <c r="AC255" s="14" t="str">
        <f t="shared" si="35"/>
        <v>Settlement Authorization | Inactive Customer</v>
      </c>
    </row>
    <row r="256" spans="1:29" x14ac:dyDescent="0.45">
      <c r="A256" s="2" t="s">
        <v>791</v>
      </c>
      <c r="B256" s="2" t="s">
        <v>792</v>
      </c>
      <c r="C256" s="2" t="s">
        <v>170</v>
      </c>
      <c r="D256" s="2" t="s">
        <v>757</v>
      </c>
      <c r="E256" s="11">
        <v>44731</v>
      </c>
      <c r="F256" s="12" t="s">
        <v>51</v>
      </c>
      <c r="G256" s="13">
        <v>34000</v>
      </c>
      <c r="H256" s="12" t="s">
        <v>85</v>
      </c>
      <c r="I256" s="11">
        <v>45319</v>
      </c>
      <c r="J256" s="12" t="s">
        <v>53</v>
      </c>
      <c r="K256" s="11"/>
      <c r="L256" s="12" t="s">
        <v>51</v>
      </c>
      <c r="M256" s="12" t="s">
        <v>53</v>
      </c>
      <c r="N256" s="11"/>
      <c r="O256" s="12"/>
      <c r="P256" s="12" t="s">
        <v>53</v>
      </c>
      <c r="Q256" s="14"/>
      <c r="R256" s="14"/>
      <c r="S256" s="12" t="s">
        <v>53</v>
      </c>
      <c r="T256" s="11"/>
      <c r="U256" s="12" t="str">
        <f t="shared" si="27"/>
        <v>N</v>
      </c>
      <c r="V256" s="12" t="str">
        <f t="shared" si="28"/>
        <v>N</v>
      </c>
      <c r="W256" s="12" t="str">
        <f t="shared" si="29"/>
        <v>N</v>
      </c>
      <c r="X256" s="12" t="str">
        <f t="shared" si="30"/>
        <v>N</v>
      </c>
      <c r="Y256" s="12" t="str">
        <f t="shared" si="31"/>
        <v>N</v>
      </c>
      <c r="Z256" s="12" t="str">
        <f t="shared" si="32"/>
        <v>N</v>
      </c>
      <c r="AA256" s="12">
        <f t="shared" si="33"/>
        <v>1</v>
      </c>
      <c r="AB256" s="12" t="str">
        <f t="shared" si="34"/>
        <v>SINGLE-SIGNAL</v>
      </c>
      <c r="AC256" s="14" t="str">
        <f t="shared" si="35"/>
        <v>Settlement Authorization</v>
      </c>
    </row>
    <row r="257" spans="1:29" ht="28.5" x14ac:dyDescent="0.45">
      <c r="A257" s="2" t="s">
        <v>793</v>
      </c>
      <c r="B257" s="2" t="s">
        <v>794</v>
      </c>
      <c r="C257" s="2" t="s">
        <v>170</v>
      </c>
      <c r="D257" s="2" t="s">
        <v>551</v>
      </c>
      <c r="E257" s="11">
        <v>43518</v>
      </c>
      <c r="F257" s="12" t="s">
        <v>51</v>
      </c>
      <c r="G257" s="13">
        <v>96000</v>
      </c>
      <c r="H257" s="12" t="s">
        <v>277</v>
      </c>
      <c r="I257" s="11">
        <v>44166</v>
      </c>
      <c r="J257" s="12" t="s">
        <v>53</v>
      </c>
      <c r="K257" s="11"/>
      <c r="L257" s="12" t="s">
        <v>51</v>
      </c>
      <c r="M257" s="12" t="s">
        <v>53</v>
      </c>
      <c r="N257" s="11"/>
      <c r="O257" s="12"/>
      <c r="P257" s="12" t="s">
        <v>51</v>
      </c>
      <c r="Q257" s="14" t="s">
        <v>795</v>
      </c>
      <c r="R257" s="14" t="s">
        <v>227</v>
      </c>
      <c r="S257" s="12" t="s">
        <v>51</v>
      </c>
      <c r="T257" s="11">
        <v>45426</v>
      </c>
      <c r="U257" s="12" t="str">
        <f t="shared" si="27"/>
        <v>Y</v>
      </c>
      <c r="V257" s="12" t="str">
        <f t="shared" si="28"/>
        <v>Y</v>
      </c>
      <c r="W257" s="12" t="str">
        <f t="shared" si="29"/>
        <v>Y</v>
      </c>
      <c r="X257" s="12" t="str">
        <f t="shared" si="30"/>
        <v>N</v>
      </c>
      <c r="Y257" s="12" t="str">
        <f t="shared" si="31"/>
        <v>N</v>
      </c>
      <c r="Z257" s="12" t="str">
        <f t="shared" si="32"/>
        <v>Y</v>
      </c>
      <c r="AA257" s="12">
        <f t="shared" si="33"/>
        <v>3</v>
      </c>
      <c r="AB257" s="12" t="str">
        <f t="shared" si="34"/>
        <v>ELEVATED MULTI-SIGNAL</v>
      </c>
      <c r="AC257" s="14" t="str">
        <f t="shared" si="35"/>
        <v>Settlement Authorization | Automated Claim Alert | Inactive Customer</v>
      </c>
    </row>
    <row r="258" spans="1:29" x14ac:dyDescent="0.45">
      <c r="A258" s="2" t="s">
        <v>796</v>
      </c>
      <c r="B258" s="2" t="s">
        <v>797</v>
      </c>
      <c r="C258" s="2" t="s">
        <v>170</v>
      </c>
      <c r="D258" s="2" t="s">
        <v>519</v>
      </c>
      <c r="E258" s="11">
        <v>44360</v>
      </c>
      <c r="F258" s="12" t="s">
        <v>51</v>
      </c>
      <c r="G258" s="13">
        <v>41750</v>
      </c>
      <c r="H258" s="12" t="s">
        <v>71</v>
      </c>
      <c r="I258" s="11">
        <v>44407</v>
      </c>
      <c r="J258" s="12" t="s">
        <v>53</v>
      </c>
      <c r="K258" s="11"/>
      <c r="L258" s="12" t="s">
        <v>51</v>
      </c>
      <c r="M258" s="12" t="s">
        <v>53</v>
      </c>
      <c r="N258" s="11"/>
      <c r="O258" s="12"/>
      <c r="P258" s="12" t="s">
        <v>53</v>
      </c>
      <c r="Q258" s="14"/>
      <c r="R258" s="14"/>
      <c r="S258" s="12" t="s">
        <v>53</v>
      </c>
      <c r="T258" s="11"/>
      <c r="U258" s="12" t="str">
        <f t="shared" ref="U258:U321" si="36">IF(ISNUMBER(SEARCH("SURGERY",Q258&amp;" "&amp;R258)),"Y","N")</f>
        <v>N</v>
      </c>
      <c r="V258" s="12" t="str">
        <f t="shared" ref="V258:V321" si="37">IF(ISNUMBER(SEARCH("MMI",Q258&amp;" "&amp;R258)),"Y","N")</f>
        <v>N</v>
      </c>
      <c r="W258" s="12" t="str">
        <f t="shared" ref="W258:W321" si="38">IF(ISNUMBER(SEARCH("DENIED TREATMENT",Q258&amp;" "&amp;R258)),"Y","N")</f>
        <v>N</v>
      </c>
      <c r="X258" s="12" t="str">
        <f t="shared" ref="X258:X321" si="39">IF(ISNUMBER(SEARCH("SPECIALIST CONSULTATION",Q258&amp;" "&amp;R258)),"Y","N")</f>
        <v>N</v>
      </c>
      <c r="Y258" s="12" t="str">
        <f t="shared" ref="Y258:Y321" si="40">IF(ISNUMBER(SEARCH("NON-RENEWED ACCOUNT",Q258&amp;" "&amp;R258)),"Y","N")</f>
        <v>N</v>
      </c>
      <c r="Z258" s="12" t="str">
        <f t="shared" ref="Z258:Z321" si="41">IF(ISNUMBER(SEARCH("MSA ELIGIBLE",Q258&amp;" "&amp;R258)),"Y","N")</f>
        <v>N</v>
      </c>
      <c r="AA258" s="12">
        <f t="shared" ref="AA258:AA321" si="42">COUNTIF(F258,"Y")+COUNTIF(J258,"Y")+COUNTIF(M258,"Y")+COUNTIF(P258,"Y")+COUNTIF(S258,"Y")</f>
        <v>1</v>
      </c>
      <c r="AB258" s="12" t="str">
        <f t="shared" ref="AB258:AB321" si="43">IF(AA258=5,"MAXIMUM MULTI-SIGNAL",IF(AA258=4,"HIGH MULTI-SIGNAL",IF(AA258=3,"ELEVATED MULTI-SIGNAL",IF(AA258=2,"MULTI-SIGNAL","SINGLE-SIGNAL"))))</f>
        <v>SINGLE-SIGNAL</v>
      </c>
      <c r="AC258" s="14" t="str">
        <f t="shared" ref="AC258:AC321" si="44">IF(F258="Y","Settlement Authorization","")&amp;IF(J258="Y",IF(F258="Y"," | ","")&amp;"Open Stipulation","")&amp;IF(M258="Y",IF(OR(F258="Y",J258="Y")," | ","")&amp;"Pending QME","")&amp;IF(P258="Y",IF(OR(F258="Y",J258="Y",M258="Y")," | ","")&amp;"Automated Claim Alert","")&amp;IF(S258="Y",IF(OR(F258="Y",J258="Y",M258="Y",P258="Y")," | ","")&amp;"Inactive Customer","")</f>
        <v>Settlement Authorization</v>
      </c>
    </row>
    <row r="259" spans="1:29" x14ac:dyDescent="0.45">
      <c r="A259" s="2" t="s">
        <v>798</v>
      </c>
      <c r="B259" s="2" t="s">
        <v>799</v>
      </c>
      <c r="C259" s="2" t="s">
        <v>170</v>
      </c>
      <c r="D259" s="2" t="s">
        <v>760</v>
      </c>
      <c r="E259" s="11">
        <v>43271</v>
      </c>
      <c r="F259" s="12" t="s">
        <v>53</v>
      </c>
      <c r="G259" s="13"/>
      <c r="H259" s="12"/>
      <c r="I259" s="11"/>
      <c r="J259" s="12" t="s">
        <v>51</v>
      </c>
      <c r="K259" s="11">
        <v>43840</v>
      </c>
      <c r="L259" s="12" t="s">
        <v>51</v>
      </c>
      <c r="M259" s="12" t="s">
        <v>53</v>
      </c>
      <c r="N259" s="11"/>
      <c r="O259" s="12"/>
      <c r="P259" s="12" t="s">
        <v>53</v>
      </c>
      <c r="Q259" s="14"/>
      <c r="R259" s="14"/>
      <c r="S259" s="12" t="s">
        <v>53</v>
      </c>
      <c r="T259" s="11"/>
      <c r="U259" s="12" t="str">
        <f t="shared" si="36"/>
        <v>N</v>
      </c>
      <c r="V259" s="12" t="str">
        <f t="shared" si="37"/>
        <v>N</v>
      </c>
      <c r="W259" s="12" t="str">
        <f t="shared" si="38"/>
        <v>N</v>
      </c>
      <c r="X259" s="12" t="str">
        <f t="shared" si="39"/>
        <v>N</v>
      </c>
      <c r="Y259" s="12" t="str">
        <f t="shared" si="40"/>
        <v>N</v>
      </c>
      <c r="Z259" s="12" t="str">
        <f t="shared" si="41"/>
        <v>N</v>
      </c>
      <c r="AA259" s="12">
        <f t="shared" si="42"/>
        <v>1</v>
      </c>
      <c r="AB259" s="12" t="str">
        <f t="shared" si="43"/>
        <v>SINGLE-SIGNAL</v>
      </c>
      <c r="AC259" s="14" t="str">
        <f t="shared" si="44"/>
        <v>Open Stipulation</v>
      </c>
    </row>
    <row r="260" spans="1:29" ht="28.5" x14ac:dyDescent="0.45">
      <c r="A260" s="2" t="s">
        <v>800</v>
      </c>
      <c r="B260" s="2" t="s">
        <v>801</v>
      </c>
      <c r="C260" s="2" t="s">
        <v>170</v>
      </c>
      <c r="D260" s="2" t="s">
        <v>70</v>
      </c>
      <c r="E260" s="11">
        <v>43156</v>
      </c>
      <c r="F260" s="12" t="s">
        <v>53</v>
      </c>
      <c r="G260" s="13"/>
      <c r="H260" s="12"/>
      <c r="I260" s="11"/>
      <c r="J260" s="12" t="s">
        <v>51</v>
      </c>
      <c r="K260" s="11">
        <v>43188</v>
      </c>
      <c r="L260" s="12" t="s">
        <v>53</v>
      </c>
      <c r="M260" s="12" t="s">
        <v>53</v>
      </c>
      <c r="N260" s="11"/>
      <c r="O260" s="12"/>
      <c r="P260" s="12" t="s">
        <v>51</v>
      </c>
      <c r="Q260" s="14" t="s">
        <v>374</v>
      </c>
      <c r="R260" s="14" t="s">
        <v>802</v>
      </c>
      <c r="S260" s="12" t="s">
        <v>53</v>
      </c>
      <c r="T260" s="11"/>
      <c r="U260" s="12" t="str">
        <f t="shared" si="36"/>
        <v>Y</v>
      </c>
      <c r="V260" s="12" t="str">
        <f t="shared" si="37"/>
        <v>N</v>
      </c>
      <c r="W260" s="12" t="str">
        <f t="shared" si="38"/>
        <v>N</v>
      </c>
      <c r="X260" s="12" t="str">
        <f t="shared" si="39"/>
        <v>Y</v>
      </c>
      <c r="Y260" s="12" t="str">
        <f t="shared" si="40"/>
        <v>Y</v>
      </c>
      <c r="Z260" s="12" t="str">
        <f t="shared" si="41"/>
        <v>Y</v>
      </c>
      <c r="AA260" s="12">
        <f t="shared" si="42"/>
        <v>2</v>
      </c>
      <c r="AB260" s="12" t="str">
        <f t="shared" si="43"/>
        <v>MULTI-SIGNAL</v>
      </c>
      <c r="AC260" s="14" t="str">
        <f t="shared" si="44"/>
        <v>Open Stipulation | Automated Claim Alert</v>
      </c>
    </row>
    <row r="261" spans="1:29" x14ac:dyDescent="0.45">
      <c r="A261" s="2" t="s">
        <v>803</v>
      </c>
      <c r="B261" s="2" t="s">
        <v>804</v>
      </c>
      <c r="C261" s="2" t="s">
        <v>57</v>
      </c>
      <c r="D261" s="2" t="s">
        <v>747</v>
      </c>
      <c r="E261" s="11">
        <v>44247</v>
      </c>
      <c r="F261" s="12" t="s">
        <v>53</v>
      </c>
      <c r="G261" s="13"/>
      <c r="H261" s="12"/>
      <c r="I261" s="11"/>
      <c r="J261" s="12" t="s">
        <v>53</v>
      </c>
      <c r="K261" s="11"/>
      <c r="L261" s="12"/>
      <c r="M261" s="12" t="s">
        <v>53</v>
      </c>
      <c r="N261" s="11"/>
      <c r="O261" s="12"/>
      <c r="P261" s="12" t="s">
        <v>53</v>
      </c>
      <c r="Q261" s="14"/>
      <c r="R261" s="14"/>
      <c r="S261" s="12" t="s">
        <v>51</v>
      </c>
      <c r="T261" s="11">
        <v>44944</v>
      </c>
      <c r="U261" s="12" t="str">
        <f t="shared" si="36"/>
        <v>N</v>
      </c>
      <c r="V261" s="12" t="str">
        <f t="shared" si="37"/>
        <v>N</v>
      </c>
      <c r="W261" s="12" t="str">
        <f t="shared" si="38"/>
        <v>N</v>
      </c>
      <c r="X261" s="12" t="str">
        <f t="shared" si="39"/>
        <v>N</v>
      </c>
      <c r="Y261" s="12" t="str">
        <f t="shared" si="40"/>
        <v>N</v>
      </c>
      <c r="Z261" s="12" t="str">
        <f t="shared" si="41"/>
        <v>N</v>
      </c>
      <c r="AA261" s="12">
        <f t="shared" si="42"/>
        <v>1</v>
      </c>
      <c r="AB261" s="12" t="str">
        <f t="shared" si="43"/>
        <v>SINGLE-SIGNAL</v>
      </c>
      <c r="AC261" s="14" t="str">
        <f t="shared" si="44"/>
        <v>Inactive Customer</v>
      </c>
    </row>
    <row r="262" spans="1:29" x14ac:dyDescent="0.45">
      <c r="A262" s="2" t="s">
        <v>805</v>
      </c>
      <c r="B262" s="2" t="s">
        <v>806</v>
      </c>
      <c r="C262" s="2" t="s">
        <v>57</v>
      </c>
      <c r="D262" s="2" t="s">
        <v>492</v>
      </c>
      <c r="E262" s="11">
        <v>45126</v>
      </c>
      <c r="F262" s="12" t="s">
        <v>51</v>
      </c>
      <c r="G262" s="13">
        <v>146500</v>
      </c>
      <c r="H262" s="12" t="s">
        <v>71</v>
      </c>
      <c r="I262" s="11">
        <v>45635</v>
      </c>
      <c r="J262" s="12" t="s">
        <v>53</v>
      </c>
      <c r="K262" s="11"/>
      <c r="L262" s="12" t="s">
        <v>53</v>
      </c>
      <c r="M262" s="12" t="s">
        <v>53</v>
      </c>
      <c r="N262" s="11"/>
      <c r="O262" s="12"/>
      <c r="P262" s="12" t="s">
        <v>53</v>
      </c>
      <c r="Q262" s="14"/>
      <c r="R262" s="14"/>
      <c r="S262" s="12" t="s">
        <v>53</v>
      </c>
      <c r="T262" s="11"/>
      <c r="U262" s="12" t="str">
        <f t="shared" si="36"/>
        <v>N</v>
      </c>
      <c r="V262" s="12" t="str">
        <f t="shared" si="37"/>
        <v>N</v>
      </c>
      <c r="W262" s="12" t="str">
        <f t="shared" si="38"/>
        <v>N</v>
      </c>
      <c r="X262" s="12" t="str">
        <f t="shared" si="39"/>
        <v>N</v>
      </c>
      <c r="Y262" s="12" t="str">
        <f t="shared" si="40"/>
        <v>N</v>
      </c>
      <c r="Z262" s="12" t="str">
        <f t="shared" si="41"/>
        <v>N</v>
      </c>
      <c r="AA262" s="12">
        <f t="shared" si="42"/>
        <v>1</v>
      </c>
      <c r="AB262" s="12" t="str">
        <f t="shared" si="43"/>
        <v>SINGLE-SIGNAL</v>
      </c>
      <c r="AC262" s="14" t="str">
        <f t="shared" si="44"/>
        <v>Settlement Authorization</v>
      </c>
    </row>
    <row r="263" spans="1:29" x14ac:dyDescent="0.45">
      <c r="A263" s="2" t="s">
        <v>807</v>
      </c>
      <c r="B263" s="2" t="s">
        <v>808</v>
      </c>
      <c r="C263" s="2" t="s">
        <v>57</v>
      </c>
      <c r="D263" s="2" t="s">
        <v>267</v>
      </c>
      <c r="E263" s="11">
        <v>44567</v>
      </c>
      <c r="F263" s="12" t="s">
        <v>51</v>
      </c>
      <c r="G263" s="13">
        <v>34250</v>
      </c>
      <c r="H263" s="12" t="s">
        <v>93</v>
      </c>
      <c r="I263" s="11">
        <v>45849</v>
      </c>
      <c r="J263" s="12" t="s">
        <v>53</v>
      </c>
      <c r="K263" s="11"/>
      <c r="L263" s="12" t="s">
        <v>51</v>
      </c>
      <c r="M263" s="12" t="s">
        <v>53</v>
      </c>
      <c r="N263" s="11"/>
      <c r="O263" s="12"/>
      <c r="P263" s="12" t="s">
        <v>53</v>
      </c>
      <c r="Q263" s="14"/>
      <c r="R263" s="14"/>
      <c r="S263" s="12" t="s">
        <v>53</v>
      </c>
      <c r="T263" s="11"/>
      <c r="U263" s="12" t="str">
        <f t="shared" si="36"/>
        <v>N</v>
      </c>
      <c r="V263" s="12" t="str">
        <f t="shared" si="37"/>
        <v>N</v>
      </c>
      <c r="W263" s="12" t="str">
        <f t="shared" si="38"/>
        <v>N</v>
      </c>
      <c r="X263" s="12" t="str">
        <f t="shared" si="39"/>
        <v>N</v>
      </c>
      <c r="Y263" s="12" t="str">
        <f t="shared" si="40"/>
        <v>N</v>
      </c>
      <c r="Z263" s="12" t="str">
        <f t="shared" si="41"/>
        <v>N</v>
      </c>
      <c r="AA263" s="12">
        <f t="shared" si="42"/>
        <v>1</v>
      </c>
      <c r="AB263" s="12" t="str">
        <f t="shared" si="43"/>
        <v>SINGLE-SIGNAL</v>
      </c>
      <c r="AC263" s="14" t="str">
        <f t="shared" si="44"/>
        <v>Settlement Authorization</v>
      </c>
    </row>
    <row r="264" spans="1:29" ht="28.5" x14ac:dyDescent="0.45">
      <c r="A264" s="2" t="s">
        <v>809</v>
      </c>
      <c r="B264" s="2" t="s">
        <v>810</v>
      </c>
      <c r="C264" s="2" t="s">
        <v>57</v>
      </c>
      <c r="D264" s="2" t="s">
        <v>292</v>
      </c>
      <c r="E264" s="11">
        <v>45467</v>
      </c>
      <c r="F264" s="12" t="s">
        <v>53</v>
      </c>
      <c r="G264" s="13"/>
      <c r="H264" s="12"/>
      <c r="I264" s="11"/>
      <c r="J264" s="12" t="s">
        <v>53</v>
      </c>
      <c r="K264" s="11"/>
      <c r="L264" s="12"/>
      <c r="M264" s="12" t="s">
        <v>53</v>
      </c>
      <c r="N264" s="11"/>
      <c r="O264" s="12"/>
      <c r="P264" s="12" t="s">
        <v>51</v>
      </c>
      <c r="Q264" s="14" t="s">
        <v>811</v>
      </c>
      <c r="R264" s="14"/>
      <c r="S264" s="12" t="s">
        <v>53</v>
      </c>
      <c r="T264" s="11"/>
      <c r="U264" s="12" t="str">
        <f t="shared" si="36"/>
        <v>N</v>
      </c>
      <c r="V264" s="12" t="str">
        <f t="shared" si="37"/>
        <v>N</v>
      </c>
      <c r="W264" s="12" t="str">
        <f t="shared" si="38"/>
        <v>Y</v>
      </c>
      <c r="X264" s="12" t="str">
        <f t="shared" si="39"/>
        <v>Y</v>
      </c>
      <c r="Y264" s="12" t="str">
        <f t="shared" si="40"/>
        <v>N</v>
      </c>
      <c r="Z264" s="12" t="str">
        <f t="shared" si="41"/>
        <v>N</v>
      </c>
      <c r="AA264" s="12">
        <f t="shared" si="42"/>
        <v>1</v>
      </c>
      <c r="AB264" s="12" t="str">
        <f t="shared" si="43"/>
        <v>SINGLE-SIGNAL</v>
      </c>
      <c r="AC264" s="14" t="str">
        <f t="shared" si="44"/>
        <v>Automated Claim Alert</v>
      </c>
    </row>
    <row r="265" spans="1:29" x14ac:dyDescent="0.45">
      <c r="A265" s="2" t="s">
        <v>812</v>
      </c>
      <c r="B265" s="2" t="s">
        <v>813</v>
      </c>
      <c r="C265" s="2" t="s">
        <v>57</v>
      </c>
      <c r="D265" s="2" t="s">
        <v>687</v>
      </c>
      <c r="E265" s="11">
        <v>44550</v>
      </c>
      <c r="F265" s="12" t="s">
        <v>53</v>
      </c>
      <c r="G265" s="13"/>
      <c r="H265" s="12"/>
      <c r="I265" s="11"/>
      <c r="J265" s="12" t="s">
        <v>53</v>
      </c>
      <c r="K265" s="11"/>
      <c r="L265" s="12"/>
      <c r="M265" s="12" t="s">
        <v>53</v>
      </c>
      <c r="N265" s="11"/>
      <c r="O265" s="12"/>
      <c r="P265" s="12" t="s">
        <v>53</v>
      </c>
      <c r="Q265" s="14"/>
      <c r="R265" s="14"/>
      <c r="S265" s="12" t="s">
        <v>51</v>
      </c>
      <c r="T265" s="11">
        <v>45219</v>
      </c>
      <c r="U265" s="12" t="str">
        <f t="shared" si="36"/>
        <v>N</v>
      </c>
      <c r="V265" s="12" t="str">
        <f t="shared" si="37"/>
        <v>N</v>
      </c>
      <c r="W265" s="12" t="str">
        <f t="shared" si="38"/>
        <v>N</v>
      </c>
      <c r="X265" s="12" t="str">
        <f t="shared" si="39"/>
        <v>N</v>
      </c>
      <c r="Y265" s="12" t="str">
        <f t="shared" si="40"/>
        <v>N</v>
      </c>
      <c r="Z265" s="12" t="str">
        <f t="shared" si="41"/>
        <v>N</v>
      </c>
      <c r="AA265" s="12">
        <f t="shared" si="42"/>
        <v>1</v>
      </c>
      <c r="AB265" s="12" t="str">
        <f t="shared" si="43"/>
        <v>SINGLE-SIGNAL</v>
      </c>
      <c r="AC265" s="14" t="str">
        <f t="shared" si="44"/>
        <v>Inactive Customer</v>
      </c>
    </row>
    <row r="266" spans="1:29" x14ac:dyDescent="0.45">
      <c r="A266" s="2" t="s">
        <v>814</v>
      </c>
      <c r="B266" s="2" t="s">
        <v>815</v>
      </c>
      <c r="C266" s="2" t="s">
        <v>57</v>
      </c>
      <c r="D266" s="2" t="s">
        <v>816</v>
      </c>
      <c r="E266" s="11">
        <v>44916</v>
      </c>
      <c r="F266" s="12" t="s">
        <v>53</v>
      </c>
      <c r="G266" s="13"/>
      <c r="H266" s="12"/>
      <c r="I266" s="11"/>
      <c r="J266" s="12" t="s">
        <v>51</v>
      </c>
      <c r="K266" s="11">
        <v>45577</v>
      </c>
      <c r="L266" s="12" t="s">
        <v>51</v>
      </c>
      <c r="M266" s="12" t="s">
        <v>53</v>
      </c>
      <c r="N266" s="11"/>
      <c r="O266" s="12"/>
      <c r="P266" s="12" t="s">
        <v>53</v>
      </c>
      <c r="Q266" s="14"/>
      <c r="R266" s="14"/>
      <c r="S266" s="12" t="s">
        <v>53</v>
      </c>
      <c r="T266" s="11"/>
      <c r="U266" s="12" t="str">
        <f t="shared" si="36"/>
        <v>N</v>
      </c>
      <c r="V266" s="12" t="str">
        <f t="shared" si="37"/>
        <v>N</v>
      </c>
      <c r="W266" s="12" t="str">
        <f t="shared" si="38"/>
        <v>N</v>
      </c>
      <c r="X266" s="12" t="str">
        <f t="shared" si="39"/>
        <v>N</v>
      </c>
      <c r="Y266" s="12" t="str">
        <f t="shared" si="40"/>
        <v>N</v>
      </c>
      <c r="Z266" s="12" t="str">
        <f t="shared" si="41"/>
        <v>N</v>
      </c>
      <c r="AA266" s="12">
        <f t="shared" si="42"/>
        <v>1</v>
      </c>
      <c r="AB266" s="12" t="str">
        <f t="shared" si="43"/>
        <v>SINGLE-SIGNAL</v>
      </c>
      <c r="AC266" s="14" t="str">
        <f t="shared" si="44"/>
        <v>Open Stipulation</v>
      </c>
    </row>
    <row r="267" spans="1:29" ht="28.5" x14ac:dyDescent="0.45">
      <c r="A267" s="2" t="s">
        <v>817</v>
      </c>
      <c r="B267" s="2" t="s">
        <v>818</v>
      </c>
      <c r="C267" s="2" t="s">
        <v>57</v>
      </c>
      <c r="D267" s="2" t="s">
        <v>568</v>
      </c>
      <c r="E267" s="11">
        <v>43256</v>
      </c>
      <c r="F267" s="12" t="s">
        <v>51</v>
      </c>
      <c r="G267" s="13">
        <v>153500</v>
      </c>
      <c r="H267" s="12" t="s">
        <v>89</v>
      </c>
      <c r="I267" s="11">
        <v>45037</v>
      </c>
      <c r="J267" s="12" t="s">
        <v>53</v>
      </c>
      <c r="K267" s="11"/>
      <c r="L267" s="12" t="s">
        <v>53</v>
      </c>
      <c r="M267" s="12" t="s">
        <v>53</v>
      </c>
      <c r="N267" s="11"/>
      <c r="O267" s="12"/>
      <c r="P267" s="12" t="s">
        <v>51</v>
      </c>
      <c r="Q267" s="14" t="s">
        <v>623</v>
      </c>
      <c r="R267" s="14" t="s">
        <v>183</v>
      </c>
      <c r="S267" s="12" t="s">
        <v>53</v>
      </c>
      <c r="T267" s="11"/>
      <c r="U267" s="12" t="str">
        <f t="shared" si="36"/>
        <v>Y</v>
      </c>
      <c r="V267" s="12" t="str">
        <f t="shared" si="37"/>
        <v>Y</v>
      </c>
      <c r="W267" s="12" t="str">
        <f t="shared" si="38"/>
        <v>Y</v>
      </c>
      <c r="X267" s="12" t="str">
        <f t="shared" si="39"/>
        <v>Y</v>
      </c>
      <c r="Y267" s="12" t="str">
        <f t="shared" si="40"/>
        <v>N</v>
      </c>
      <c r="Z267" s="12" t="str">
        <f t="shared" si="41"/>
        <v>N</v>
      </c>
      <c r="AA267" s="12">
        <f t="shared" si="42"/>
        <v>2</v>
      </c>
      <c r="AB267" s="12" t="str">
        <f t="shared" si="43"/>
        <v>MULTI-SIGNAL</v>
      </c>
      <c r="AC267" s="14" t="str">
        <f t="shared" si="44"/>
        <v>Settlement Authorization | Automated Claim Alert</v>
      </c>
    </row>
    <row r="268" spans="1:29" x14ac:dyDescent="0.45">
      <c r="A268" s="2" t="s">
        <v>819</v>
      </c>
      <c r="B268" s="2" t="s">
        <v>820</v>
      </c>
      <c r="C268" s="2" t="s">
        <v>57</v>
      </c>
      <c r="D268" s="2" t="s">
        <v>405</v>
      </c>
      <c r="E268" s="11">
        <v>44562</v>
      </c>
      <c r="F268" s="12" t="s">
        <v>51</v>
      </c>
      <c r="G268" s="13">
        <v>43000</v>
      </c>
      <c r="H268" s="12" t="s">
        <v>277</v>
      </c>
      <c r="I268" s="11">
        <v>45544</v>
      </c>
      <c r="J268" s="12" t="s">
        <v>53</v>
      </c>
      <c r="K268" s="11"/>
      <c r="L268" s="12" t="s">
        <v>51</v>
      </c>
      <c r="M268" s="12" t="s">
        <v>51</v>
      </c>
      <c r="N268" s="11">
        <v>46417</v>
      </c>
      <c r="O268" s="12" t="s">
        <v>414</v>
      </c>
      <c r="P268" s="12" t="s">
        <v>53</v>
      </c>
      <c r="Q268" s="14"/>
      <c r="R268" s="14"/>
      <c r="S268" s="12" t="s">
        <v>53</v>
      </c>
      <c r="T268" s="11"/>
      <c r="U268" s="12" t="str">
        <f t="shared" si="36"/>
        <v>N</v>
      </c>
      <c r="V268" s="12" t="str">
        <f t="shared" si="37"/>
        <v>N</v>
      </c>
      <c r="W268" s="12" t="str">
        <f t="shared" si="38"/>
        <v>N</v>
      </c>
      <c r="X268" s="12" t="str">
        <f t="shared" si="39"/>
        <v>N</v>
      </c>
      <c r="Y268" s="12" t="str">
        <f t="shared" si="40"/>
        <v>N</v>
      </c>
      <c r="Z268" s="12" t="str">
        <f t="shared" si="41"/>
        <v>N</v>
      </c>
      <c r="AA268" s="12">
        <f t="shared" si="42"/>
        <v>2</v>
      </c>
      <c r="AB268" s="12" t="str">
        <f t="shared" si="43"/>
        <v>MULTI-SIGNAL</v>
      </c>
      <c r="AC268" s="14" t="str">
        <f t="shared" si="44"/>
        <v>Settlement Authorization | Pending QME</v>
      </c>
    </row>
    <row r="269" spans="1:29" x14ac:dyDescent="0.45">
      <c r="A269" s="2" t="s">
        <v>821</v>
      </c>
      <c r="B269" s="2" t="s">
        <v>822</v>
      </c>
      <c r="C269" s="2" t="s">
        <v>57</v>
      </c>
      <c r="D269" s="2" t="s">
        <v>714</v>
      </c>
      <c r="E269" s="11">
        <v>44400</v>
      </c>
      <c r="F269" s="12" t="s">
        <v>51</v>
      </c>
      <c r="G269" s="13">
        <v>99250</v>
      </c>
      <c r="H269" s="12" t="s">
        <v>52</v>
      </c>
      <c r="I269" s="11">
        <v>45406</v>
      </c>
      <c r="J269" s="12" t="s">
        <v>53</v>
      </c>
      <c r="K269" s="11"/>
      <c r="L269" s="12" t="s">
        <v>51</v>
      </c>
      <c r="M269" s="12" t="s">
        <v>53</v>
      </c>
      <c r="N269" s="11"/>
      <c r="O269" s="12"/>
      <c r="P269" s="12" t="s">
        <v>53</v>
      </c>
      <c r="Q269" s="14"/>
      <c r="R269" s="14"/>
      <c r="S269" s="12" t="s">
        <v>53</v>
      </c>
      <c r="T269" s="11"/>
      <c r="U269" s="12" t="str">
        <f t="shared" si="36"/>
        <v>N</v>
      </c>
      <c r="V269" s="12" t="str">
        <f t="shared" si="37"/>
        <v>N</v>
      </c>
      <c r="W269" s="12" t="str">
        <f t="shared" si="38"/>
        <v>N</v>
      </c>
      <c r="X269" s="12" t="str">
        <f t="shared" si="39"/>
        <v>N</v>
      </c>
      <c r="Y269" s="12" t="str">
        <f t="shared" si="40"/>
        <v>N</v>
      </c>
      <c r="Z269" s="12" t="str">
        <f t="shared" si="41"/>
        <v>N</v>
      </c>
      <c r="AA269" s="12">
        <f t="shared" si="42"/>
        <v>1</v>
      </c>
      <c r="AB269" s="12" t="str">
        <f t="shared" si="43"/>
        <v>SINGLE-SIGNAL</v>
      </c>
      <c r="AC269" s="14" t="str">
        <f t="shared" si="44"/>
        <v>Settlement Authorization</v>
      </c>
    </row>
    <row r="270" spans="1:29" x14ac:dyDescent="0.45">
      <c r="A270" s="2" t="s">
        <v>823</v>
      </c>
      <c r="B270" s="2" t="s">
        <v>824</v>
      </c>
      <c r="C270" s="2" t="s">
        <v>57</v>
      </c>
      <c r="D270" s="2" t="s">
        <v>292</v>
      </c>
      <c r="E270" s="11">
        <v>45304</v>
      </c>
      <c r="F270" s="12" t="s">
        <v>51</v>
      </c>
      <c r="G270" s="13">
        <v>35250</v>
      </c>
      <c r="H270" s="12" t="s">
        <v>85</v>
      </c>
      <c r="I270" s="11">
        <v>46512</v>
      </c>
      <c r="J270" s="12" t="s">
        <v>53</v>
      </c>
      <c r="K270" s="11"/>
      <c r="L270" s="12" t="s">
        <v>51</v>
      </c>
      <c r="M270" s="12" t="s">
        <v>53</v>
      </c>
      <c r="N270" s="11"/>
      <c r="O270" s="12"/>
      <c r="P270" s="12" t="s">
        <v>53</v>
      </c>
      <c r="Q270" s="14"/>
      <c r="R270" s="14"/>
      <c r="S270" s="12" t="s">
        <v>53</v>
      </c>
      <c r="T270" s="11"/>
      <c r="U270" s="12" t="str">
        <f t="shared" si="36"/>
        <v>N</v>
      </c>
      <c r="V270" s="12" t="str">
        <f t="shared" si="37"/>
        <v>N</v>
      </c>
      <c r="W270" s="12" t="str">
        <f t="shared" si="38"/>
        <v>N</v>
      </c>
      <c r="X270" s="12" t="str">
        <f t="shared" si="39"/>
        <v>N</v>
      </c>
      <c r="Y270" s="12" t="str">
        <f t="shared" si="40"/>
        <v>N</v>
      </c>
      <c r="Z270" s="12" t="str">
        <f t="shared" si="41"/>
        <v>N</v>
      </c>
      <c r="AA270" s="12">
        <f t="shared" si="42"/>
        <v>1</v>
      </c>
      <c r="AB270" s="12" t="str">
        <f t="shared" si="43"/>
        <v>SINGLE-SIGNAL</v>
      </c>
      <c r="AC270" s="14" t="str">
        <f t="shared" si="44"/>
        <v>Settlement Authorization</v>
      </c>
    </row>
    <row r="271" spans="1:29" x14ac:dyDescent="0.45">
      <c r="A271" s="2" t="s">
        <v>825</v>
      </c>
      <c r="B271" s="2" t="s">
        <v>826</v>
      </c>
      <c r="C271" s="2" t="s">
        <v>57</v>
      </c>
      <c r="D271" s="2" t="s">
        <v>827</v>
      </c>
      <c r="E271" s="11">
        <v>44313</v>
      </c>
      <c r="F271" s="12" t="s">
        <v>51</v>
      </c>
      <c r="G271" s="13">
        <v>125500</v>
      </c>
      <c r="H271" s="12" t="s">
        <v>59</v>
      </c>
      <c r="I271" s="11">
        <v>45529</v>
      </c>
      <c r="J271" s="12" t="s">
        <v>53</v>
      </c>
      <c r="K271" s="11"/>
      <c r="L271" s="12" t="s">
        <v>51</v>
      </c>
      <c r="M271" s="12" t="s">
        <v>53</v>
      </c>
      <c r="N271" s="11"/>
      <c r="O271" s="12"/>
      <c r="P271" s="12" t="s">
        <v>53</v>
      </c>
      <c r="Q271" s="14"/>
      <c r="R271" s="14"/>
      <c r="S271" s="12" t="s">
        <v>51</v>
      </c>
      <c r="T271" s="11">
        <v>46380</v>
      </c>
      <c r="U271" s="12" t="str">
        <f t="shared" si="36"/>
        <v>N</v>
      </c>
      <c r="V271" s="12" t="str">
        <f t="shared" si="37"/>
        <v>N</v>
      </c>
      <c r="W271" s="12" t="str">
        <f t="shared" si="38"/>
        <v>N</v>
      </c>
      <c r="X271" s="12" t="str">
        <f t="shared" si="39"/>
        <v>N</v>
      </c>
      <c r="Y271" s="12" t="str">
        <f t="shared" si="40"/>
        <v>N</v>
      </c>
      <c r="Z271" s="12" t="str">
        <f t="shared" si="41"/>
        <v>N</v>
      </c>
      <c r="AA271" s="12">
        <f t="shared" si="42"/>
        <v>2</v>
      </c>
      <c r="AB271" s="12" t="str">
        <f t="shared" si="43"/>
        <v>MULTI-SIGNAL</v>
      </c>
      <c r="AC271" s="14" t="str">
        <f t="shared" si="44"/>
        <v>Settlement Authorization | Inactive Customer</v>
      </c>
    </row>
    <row r="272" spans="1:29" x14ac:dyDescent="0.45">
      <c r="A272" s="2" t="s">
        <v>828</v>
      </c>
      <c r="B272" s="2" t="s">
        <v>829</v>
      </c>
      <c r="C272" s="2" t="s">
        <v>57</v>
      </c>
      <c r="D272" s="2" t="s">
        <v>397</v>
      </c>
      <c r="E272" s="11">
        <v>43391</v>
      </c>
      <c r="F272" s="12" t="s">
        <v>53</v>
      </c>
      <c r="G272" s="13"/>
      <c r="H272" s="12"/>
      <c r="I272" s="11"/>
      <c r="J272" s="12" t="s">
        <v>53</v>
      </c>
      <c r="K272" s="11"/>
      <c r="L272" s="12"/>
      <c r="M272" s="12" t="s">
        <v>51</v>
      </c>
      <c r="N272" s="11">
        <v>45203</v>
      </c>
      <c r="O272" s="12" t="s">
        <v>139</v>
      </c>
      <c r="P272" s="12" t="s">
        <v>53</v>
      </c>
      <c r="Q272" s="14"/>
      <c r="R272" s="14"/>
      <c r="S272" s="12" t="s">
        <v>53</v>
      </c>
      <c r="T272" s="11"/>
      <c r="U272" s="12" t="str">
        <f t="shared" si="36"/>
        <v>N</v>
      </c>
      <c r="V272" s="12" t="str">
        <f t="shared" si="37"/>
        <v>N</v>
      </c>
      <c r="W272" s="12" t="str">
        <f t="shared" si="38"/>
        <v>N</v>
      </c>
      <c r="X272" s="12" t="str">
        <f t="shared" si="39"/>
        <v>N</v>
      </c>
      <c r="Y272" s="12" t="str">
        <f t="shared" si="40"/>
        <v>N</v>
      </c>
      <c r="Z272" s="12" t="str">
        <f t="shared" si="41"/>
        <v>N</v>
      </c>
      <c r="AA272" s="12">
        <f t="shared" si="42"/>
        <v>1</v>
      </c>
      <c r="AB272" s="12" t="str">
        <f t="shared" si="43"/>
        <v>SINGLE-SIGNAL</v>
      </c>
      <c r="AC272" s="14" t="str">
        <f t="shared" si="44"/>
        <v>Pending QME</v>
      </c>
    </row>
    <row r="273" spans="1:29" x14ac:dyDescent="0.45">
      <c r="A273" s="2" t="s">
        <v>830</v>
      </c>
      <c r="B273" s="2" t="s">
        <v>831</v>
      </c>
      <c r="C273" s="2" t="s">
        <v>57</v>
      </c>
      <c r="D273" s="2" t="s">
        <v>132</v>
      </c>
      <c r="E273" s="11">
        <v>43321</v>
      </c>
      <c r="F273" s="12" t="s">
        <v>53</v>
      </c>
      <c r="G273" s="13"/>
      <c r="H273" s="12"/>
      <c r="I273" s="11"/>
      <c r="J273" s="12" t="s">
        <v>53</v>
      </c>
      <c r="K273" s="11"/>
      <c r="L273" s="12"/>
      <c r="M273" s="12" t="s">
        <v>53</v>
      </c>
      <c r="N273" s="11"/>
      <c r="O273" s="12"/>
      <c r="P273" s="12" t="s">
        <v>53</v>
      </c>
      <c r="Q273" s="14"/>
      <c r="R273" s="14"/>
      <c r="S273" s="12" t="s">
        <v>51</v>
      </c>
      <c r="T273" s="11">
        <v>45148</v>
      </c>
      <c r="U273" s="12" t="str">
        <f t="shared" si="36"/>
        <v>N</v>
      </c>
      <c r="V273" s="12" t="str">
        <f t="shared" si="37"/>
        <v>N</v>
      </c>
      <c r="W273" s="12" t="str">
        <f t="shared" si="38"/>
        <v>N</v>
      </c>
      <c r="X273" s="12" t="str">
        <f t="shared" si="39"/>
        <v>N</v>
      </c>
      <c r="Y273" s="12" t="str">
        <f t="shared" si="40"/>
        <v>N</v>
      </c>
      <c r="Z273" s="12" t="str">
        <f t="shared" si="41"/>
        <v>N</v>
      </c>
      <c r="AA273" s="12">
        <f t="shared" si="42"/>
        <v>1</v>
      </c>
      <c r="AB273" s="12" t="str">
        <f t="shared" si="43"/>
        <v>SINGLE-SIGNAL</v>
      </c>
      <c r="AC273" s="14" t="str">
        <f t="shared" si="44"/>
        <v>Inactive Customer</v>
      </c>
    </row>
    <row r="274" spans="1:29" x14ac:dyDescent="0.45">
      <c r="A274" s="2" t="s">
        <v>832</v>
      </c>
      <c r="B274" s="2" t="s">
        <v>833</v>
      </c>
      <c r="C274" s="2" t="s">
        <v>57</v>
      </c>
      <c r="D274" s="2" t="s">
        <v>500</v>
      </c>
      <c r="E274" s="11">
        <v>43756</v>
      </c>
      <c r="F274" s="12" t="s">
        <v>53</v>
      </c>
      <c r="G274" s="13"/>
      <c r="H274" s="12"/>
      <c r="I274" s="11"/>
      <c r="J274" s="12" t="s">
        <v>53</v>
      </c>
      <c r="K274" s="11"/>
      <c r="L274" s="12"/>
      <c r="M274" s="12" t="s">
        <v>51</v>
      </c>
      <c r="N274" s="11">
        <v>45235</v>
      </c>
      <c r="O274" s="12" t="s">
        <v>364</v>
      </c>
      <c r="P274" s="12" t="s">
        <v>53</v>
      </c>
      <c r="Q274" s="14"/>
      <c r="R274" s="14"/>
      <c r="S274" s="12" t="s">
        <v>53</v>
      </c>
      <c r="T274" s="11"/>
      <c r="U274" s="12" t="str">
        <f t="shared" si="36"/>
        <v>N</v>
      </c>
      <c r="V274" s="12" t="str">
        <f t="shared" si="37"/>
        <v>N</v>
      </c>
      <c r="W274" s="12" t="str">
        <f t="shared" si="38"/>
        <v>N</v>
      </c>
      <c r="X274" s="12" t="str">
        <f t="shared" si="39"/>
        <v>N</v>
      </c>
      <c r="Y274" s="12" t="str">
        <f t="shared" si="40"/>
        <v>N</v>
      </c>
      <c r="Z274" s="12" t="str">
        <f t="shared" si="41"/>
        <v>N</v>
      </c>
      <c r="AA274" s="12">
        <f t="shared" si="42"/>
        <v>1</v>
      </c>
      <c r="AB274" s="12" t="str">
        <f t="shared" si="43"/>
        <v>SINGLE-SIGNAL</v>
      </c>
      <c r="AC274" s="14" t="str">
        <f t="shared" si="44"/>
        <v>Pending QME</v>
      </c>
    </row>
    <row r="275" spans="1:29" x14ac:dyDescent="0.45">
      <c r="A275" s="2" t="s">
        <v>834</v>
      </c>
      <c r="B275" s="2" t="s">
        <v>835</v>
      </c>
      <c r="C275" s="2" t="s">
        <v>57</v>
      </c>
      <c r="D275" s="2" t="s">
        <v>472</v>
      </c>
      <c r="E275" s="11">
        <v>43326</v>
      </c>
      <c r="F275" s="12" t="s">
        <v>53</v>
      </c>
      <c r="G275" s="13"/>
      <c r="H275" s="12"/>
      <c r="I275" s="11"/>
      <c r="J275" s="12" t="s">
        <v>51</v>
      </c>
      <c r="K275" s="11">
        <v>44184</v>
      </c>
      <c r="L275" s="12" t="s">
        <v>51</v>
      </c>
      <c r="M275" s="12" t="s">
        <v>53</v>
      </c>
      <c r="N275" s="11"/>
      <c r="O275" s="12"/>
      <c r="P275" s="12" t="s">
        <v>53</v>
      </c>
      <c r="Q275" s="14"/>
      <c r="R275" s="14"/>
      <c r="S275" s="12" t="s">
        <v>53</v>
      </c>
      <c r="T275" s="11"/>
      <c r="U275" s="12" t="str">
        <f t="shared" si="36"/>
        <v>N</v>
      </c>
      <c r="V275" s="12" t="str">
        <f t="shared" si="37"/>
        <v>N</v>
      </c>
      <c r="W275" s="12" t="str">
        <f t="shared" si="38"/>
        <v>N</v>
      </c>
      <c r="X275" s="12" t="str">
        <f t="shared" si="39"/>
        <v>N</v>
      </c>
      <c r="Y275" s="12" t="str">
        <f t="shared" si="40"/>
        <v>N</v>
      </c>
      <c r="Z275" s="12" t="str">
        <f t="shared" si="41"/>
        <v>N</v>
      </c>
      <c r="AA275" s="12">
        <f t="shared" si="42"/>
        <v>1</v>
      </c>
      <c r="AB275" s="12" t="str">
        <f t="shared" si="43"/>
        <v>SINGLE-SIGNAL</v>
      </c>
      <c r="AC275" s="14" t="str">
        <f t="shared" si="44"/>
        <v>Open Stipulation</v>
      </c>
    </row>
    <row r="276" spans="1:29" ht="28.5" x14ac:dyDescent="0.45">
      <c r="A276" s="2" t="s">
        <v>836</v>
      </c>
      <c r="B276" s="2" t="s">
        <v>837</v>
      </c>
      <c r="C276" s="2" t="s">
        <v>57</v>
      </c>
      <c r="D276" s="2" t="s">
        <v>827</v>
      </c>
      <c r="E276" s="11">
        <v>43928</v>
      </c>
      <c r="F276" s="12" t="s">
        <v>51</v>
      </c>
      <c r="G276" s="13">
        <v>92000</v>
      </c>
      <c r="H276" s="12" t="s">
        <v>242</v>
      </c>
      <c r="I276" s="11">
        <v>44818</v>
      </c>
      <c r="J276" s="12" t="s">
        <v>53</v>
      </c>
      <c r="K276" s="11"/>
      <c r="L276" s="12" t="s">
        <v>51</v>
      </c>
      <c r="M276" s="12" t="s">
        <v>53</v>
      </c>
      <c r="N276" s="11"/>
      <c r="O276" s="12"/>
      <c r="P276" s="12" t="s">
        <v>51</v>
      </c>
      <c r="Q276" s="14" t="s">
        <v>183</v>
      </c>
      <c r="R276" s="14" t="s">
        <v>428</v>
      </c>
      <c r="S276" s="12" t="s">
        <v>53</v>
      </c>
      <c r="T276" s="11"/>
      <c r="U276" s="12" t="str">
        <f t="shared" si="36"/>
        <v>N</v>
      </c>
      <c r="V276" s="12" t="str">
        <f t="shared" si="37"/>
        <v>N</v>
      </c>
      <c r="W276" s="12" t="str">
        <f t="shared" si="38"/>
        <v>Y</v>
      </c>
      <c r="X276" s="12" t="str">
        <f t="shared" si="39"/>
        <v>Y</v>
      </c>
      <c r="Y276" s="12" t="str">
        <f t="shared" si="40"/>
        <v>Y</v>
      </c>
      <c r="Z276" s="12" t="str">
        <f t="shared" si="41"/>
        <v>N</v>
      </c>
      <c r="AA276" s="12">
        <f t="shared" si="42"/>
        <v>2</v>
      </c>
      <c r="AB276" s="12" t="str">
        <f t="shared" si="43"/>
        <v>MULTI-SIGNAL</v>
      </c>
      <c r="AC276" s="14" t="str">
        <f t="shared" si="44"/>
        <v>Settlement Authorization | Automated Claim Alert</v>
      </c>
    </row>
    <row r="277" spans="1:29" x14ac:dyDescent="0.45">
      <c r="A277" s="2" t="s">
        <v>838</v>
      </c>
      <c r="B277" s="2" t="s">
        <v>839</v>
      </c>
      <c r="C277" s="2" t="s">
        <v>57</v>
      </c>
      <c r="D277" s="2" t="s">
        <v>125</v>
      </c>
      <c r="E277" s="11">
        <v>43263</v>
      </c>
      <c r="F277" s="12" t="s">
        <v>51</v>
      </c>
      <c r="G277" s="13">
        <v>168000</v>
      </c>
      <c r="H277" s="12" t="s">
        <v>277</v>
      </c>
      <c r="I277" s="11">
        <v>44042</v>
      </c>
      <c r="J277" s="12" t="s">
        <v>53</v>
      </c>
      <c r="K277" s="11"/>
      <c r="L277" s="12" t="s">
        <v>53</v>
      </c>
      <c r="M277" s="12" t="s">
        <v>53</v>
      </c>
      <c r="N277" s="11"/>
      <c r="O277" s="12"/>
      <c r="P277" s="12" t="s">
        <v>53</v>
      </c>
      <c r="Q277" s="14"/>
      <c r="R277" s="14"/>
      <c r="S277" s="12" t="s">
        <v>53</v>
      </c>
      <c r="T277" s="11"/>
      <c r="U277" s="12" t="str">
        <f t="shared" si="36"/>
        <v>N</v>
      </c>
      <c r="V277" s="12" t="str">
        <f t="shared" si="37"/>
        <v>N</v>
      </c>
      <c r="W277" s="12" t="str">
        <f t="shared" si="38"/>
        <v>N</v>
      </c>
      <c r="X277" s="12" t="str">
        <f t="shared" si="39"/>
        <v>N</v>
      </c>
      <c r="Y277" s="12" t="str">
        <f t="shared" si="40"/>
        <v>N</v>
      </c>
      <c r="Z277" s="12" t="str">
        <f t="shared" si="41"/>
        <v>N</v>
      </c>
      <c r="AA277" s="12">
        <f t="shared" si="42"/>
        <v>1</v>
      </c>
      <c r="AB277" s="12" t="str">
        <f t="shared" si="43"/>
        <v>SINGLE-SIGNAL</v>
      </c>
      <c r="AC277" s="14" t="str">
        <f t="shared" si="44"/>
        <v>Settlement Authorization</v>
      </c>
    </row>
    <row r="278" spans="1:29" x14ac:dyDescent="0.45">
      <c r="A278" s="2" t="s">
        <v>840</v>
      </c>
      <c r="B278" s="2" t="s">
        <v>841</v>
      </c>
      <c r="C278" s="2" t="s">
        <v>57</v>
      </c>
      <c r="D278" s="2" t="s">
        <v>368</v>
      </c>
      <c r="E278" s="11">
        <v>45370</v>
      </c>
      <c r="F278" s="12" t="s">
        <v>51</v>
      </c>
      <c r="G278" s="13">
        <v>64000</v>
      </c>
      <c r="H278" s="12" t="s">
        <v>277</v>
      </c>
      <c r="I278" s="11">
        <v>45717</v>
      </c>
      <c r="J278" s="12" t="s">
        <v>53</v>
      </c>
      <c r="K278" s="11"/>
      <c r="L278" s="12" t="s">
        <v>53</v>
      </c>
      <c r="M278" s="12" t="s">
        <v>53</v>
      </c>
      <c r="N278" s="11"/>
      <c r="O278" s="12"/>
      <c r="P278" s="12" t="s">
        <v>53</v>
      </c>
      <c r="Q278" s="14"/>
      <c r="R278" s="14"/>
      <c r="S278" s="12" t="s">
        <v>53</v>
      </c>
      <c r="T278" s="11"/>
      <c r="U278" s="12" t="str">
        <f t="shared" si="36"/>
        <v>N</v>
      </c>
      <c r="V278" s="12" t="str">
        <f t="shared" si="37"/>
        <v>N</v>
      </c>
      <c r="W278" s="12" t="str">
        <f t="shared" si="38"/>
        <v>N</v>
      </c>
      <c r="X278" s="12" t="str">
        <f t="shared" si="39"/>
        <v>N</v>
      </c>
      <c r="Y278" s="12" t="str">
        <f t="shared" si="40"/>
        <v>N</v>
      </c>
      <c r="Z278" s="12" t="str">
        <f t="shared" si="41"/>
        <v>N</v>
      </c>
      <c r="AA278" s="12">
        <f t="shared" si="42"/>
        <v>1</v>
      </c>
      <c r="AB278" s="12" t="str">
        <f t="shared" si="43"/>
        <v>SINGLE-SIGNAL</v>
      </c>
      <c r="AC278" s="14" t="str">
        <f t="shared" si="44"/>
        <v>Settlement Authorization</v>
      </c>
    </row>
    <row r="279" spans="1:29" x14ac:dyDescent="0.45">
      <c r="A279" s="2" t="s">
        <v>842</v>
      </c>
      <c r="B279" s="2" t="s">
        <v>843</v>
      </c>
      <c r="C279" s="2" t="s">
        <v>57</v>
      </c>
      <c r="D279" s="2" t="s">
        <v>844</v>
      </c>
      <c r="E279" s="11">
        <v>45680</v>
      </c>
      <c r="F279" s="12" t="s">
        <v>51</v>
      </c>
      <c r="G279" s="13">
        <v>38250</v>
      </c>
      <c r="H279" s="12" t="s">
        <v>109</v>
      </c>
      <c r="I279" s="11">
        <v>47111</v>
      </c>
      <c r="J279" s="12" t="s">
        <v>53</v>
      </c>
      <c r="K279" s="11"/>
      <c r="L279" s="12" t="s">
        <v>51</v>
      </c>
      <c r="M279" s="12" t="s">
        <v>53</v>
      </c>
      <c r="N279" s="11"/>
      <c r="O279" s="12"/>
      <c r="P279" s="12" t="s">
        <v>53</v>
      </c>
      <c r="Q279" s="14"/>
      <c r="R279" s="14"/>
      <c r="S279" s="12" t="s">
        <v>51</v>
      </c>
      <c r="T279" s="11">
        <v>46254</v>
      </c>
      <c r="U279" s="12" t="str">
        <f t="shared" si="36"/>
        <v>N</v>
      </c>
      <c r="V279" s="12" t="str">
        <f t="shared" si="37"/>
        <v>N</v>
      </c>
      <c r="W279" s="12" t="str">
        <f t="shared" si="38"/>
        <v>N</v>
      </c>
      <c r="X279" s="12" t="str">
        <f t="shared" si="39"/>
        <v>N</v>
      </c>
      <c r="Y279" s="12" t="str">
        <f t="shared" si="40"/>
        <v>N</v>
      </c>
      <c r="Z279" s="12" t="str">
        <f t="shared" si="41"/>
        <v>N</v>
      </c>
      <c r="AA279" s="12">
        <f t="shared" si="42"/>
        <v>2</v>
      </c>
      <c r="AB279" s="12" t="str">
        <f t="shared" si="43"/>
        <v>MULTI-SIGNAL</v>
      </c>
      <c r="AC279" s="14" t="str">
        <f t="shared" si="44"/>
        <v>Settlement Authorization | Inactive Customer</v>
      </c>
    </row>
    <row r="280" spans="1:29" x14ac:dyDescent="0.45">
      <c r="A280" s="2" t="s">
        <v>845</v>
      </c>
      <c r="B280" s="2" t="s">
        <v>846</v>
      </c>
      <c r="C280" s="2" t="s">
        <v>57</v>
      </c>
      <c r="D280" s="2" t="s">
        <v>457</v>
      </c>
      <c r="E280" s="11">
        <v>43139</v>
      </c>
      <c r="F280" s="12" t="s">
        <v>53</v>
      </c>
      <c r="G280" s="13"/>
      <c r="H280" s="12"/>
      <c r="I280" s="11"/>
      <c r="J280" s="12" t="s">
        <v>53</v>
      </c>
      <c r="K280" s="11"/>
      <c r="L280" s="12"/>
      <c r="M280" s="12" t="s">
        <v>51</v>
      </c>
      <c r="N280" s="11">
        <v>44230</v>
      </c>
      <c r="O280" s="12" t="s">
        <v>847</v>
      </c>
      <c r="P280" s="12" t="s">
        <v>53</v>
      </c>
      <c r="Q280" s="14"/>
      <c r="R280" s="14"/>
      <c r="S280" s="12" t="s">
        <v>53</v>
      </c>
      <c r="T280" s="11"/>
      <c r="U280" s="12" t="str">
        <f t="shared" si="36"/>
        <v>N</v>
      </c>
      <c r="V280" s="12" t="str">
        <f t="shared" si="37"/>
        <v>N</v>
      </c>
      <c r="W280" s="12" t="str">
        <f t="shared" si="38"/>
        <v>N</v>
      </c>
      <c r="X280" s="12" t="str">
        <f t="shared" si="39"/>
        <v>N</v>
      </c>
      <c r="Y280" s="12" t="str">
        <f t="shared" si="40"/>
        <v>N</v>
      </c>
      <c r="Z280" s="12" t="str">
        <f t="shared" si="41"/>
        <v>N</v>
      </c>
      <c r="AA280" s="12">
        <f t="shared" si="42"/>
        <v>1</v>
      </c>
      <c r="AB280" s="12" t="str">
        <f t="shared" si="43"/>
        <v>SINGLE-SIGNAL</v>
      </c>
      <c r="AC280" s="14" t="str">
        <f t="shared" si="44"/>
        <v>Pending QME</v>
      </c>
    </row>
    <row r="281" spans="1:29" x14ac:dyDescent="0.45">
      <c r="A281" s="2" t="s">
        <v>848</v>
      </c>
      <c r="B281" s="2" t="s">
        <v>849</v>
      </c>
      <c r="C281" s="2" t="s">
        <v>57</v>
      </c>
      <c r="D281" s="2" t="s">
        <v>850</v>
      </c>
      <c r="E281" s="11">
        <v>43478</v>
      </c>
      <c r="F281" s="12" t="s">
        <v>51</v>
      </c>
      <c r="G281" s="13">
        <v>55750</v>
      </c>
      <c r="H281" s="12" t="s">
        <v>71</v>
      </c>
      <c r="I281" s="11">
        <v>44873</v>
      </c>
      <c r="J281" s="12" t="s">
        <v>53</v>
      </c>
      <c r="K281" s="11"/>
      <c r="L281" s="12" t="s">
        <v>53</v>
      </c>
      <c r="M281" s="12" t="s">
        <v>53</v>
      </c>
      <c r="N281" s="11"/>
      <c r="O281" s="12"/>
      <c r="P281" s="12" t="s">
        <v>53</v>
      </c>
      <c r="Q281" s="14"/>
      <c r="R281" s="14"/>
      <c r="S281" s="12" t="s">
        <v>51</v>
      </c>
      <c r="T281" s="11">
        <v>44553</v>
      </c>
      <c r="U281" s="12" t="str">
        <f t="shared" si="36"/>
        <v>N</v>
      </c>
      <c r="V281" s="12" t="str">
        <f t="shared" si="37"/>
        <v>N</v>
      </c>
      <c r="W281" s="12" t="str">
        <f t="shared" si="38"/>
        <v>N</v>
      </c>
      <c r="X281" s="12" t="str">
        <f t="shared" si="39"/>
        <v>N</v>
      </c>
      <c r="Y281" s="12" t="str">
        <f t="shared" si="40"/>
        <v>N</v>
      </c>
      <c r="Z281" s="12" t="str">
        <f t="shared" si="41"/>
        <v>N</v>
      </c>
      <c r="AA281" s="12">
        <f t="shared" si="42"/>
        <v>2</v>
      </c>
      <c r="AB281" s="12" t="str">
        <f t="shared" si="43"/>
        <v>MULTI-SIGNAL</v>
      </c>
      <c r="AC281" s="14" t="str">
        <f t="shared" si="44"/>
        <v>Settlement Authorization | Inactive Customer</v>
      </c>
    </row>
    <row r="282" spans="1:29" x14ac:dyDescent="0.45">
      <c r="A282" s="2" t="s">
        <v>851</v>
      </c>
      <c r="B282" s="2" t="s">
        <v>852</v>
      </c>
      <c r="C282" s="2" t="s">
        <v>57</v>
      </c>
      <c r="D282" s="2" t="s">
        <v>334</v>
      </c>
      <c r="E282" s="11">
        <v>44813</v>
      </c>
      <c r="F282" s="12" t="s">
        <v>53</v>
      </c>
      <c r="G282" s="13"/>
      <c r="H282" s="12"/>
      <c r="I282" s="11"/>
      <c r="J282" s="12" t="s">
        <v>53</v>
      </c>
      <c r="K282" s="11"/>
      <c r="L282" s="12"/>
      <c r="M282" s="12" t="s">
        <v>53</v>
      </c>
      <c r="N282" s="11"/>
      <c r="O282" s="12"/>
      <c r="P282" s="12" t="s">
        <v>53</v>
      </c>
      <c r="Q282" s="14"/>
      <c r="R282" s="14"/>
      <c r="S282" s="12" t="s">
        <v>51</v>
      </c>
      <c r="T282" s="11">
        <v>46713</v>
      </c>
      <c r="U282" s="12" t="str">
        <f t="shared" si="36"/>
        <v>N</v>
      </c>
      <c r="V282" s="12" t="str">
        <f t="shared" si="37"/>
        <v>N</v>
      </c>
      <c r="W282" s="12" t="str">
        <f t="shared" si="38"/>
        <v>N</v>
      </c>
      <c r="X282" s="12" t="str">
        <f t="shared" si="39"/>
        <v>N</v>
      </c>
      <c r="Y282" s="12" t="str">
        <f t="shared" si="40"/>
        <v>N</v>
      </c>
      <c r="Z282" s="12" t="str">
        <f t="shared" si="41"/>
        <v>N</v>
      </c>
      <c r="AA282" s="12">
        <f t="shared" si="42"/>
        <v>1</v>
      </c>
      <c r="AB282" s="12" t="str">
        <f t="shared" si="43"/>
        <v>SINGLE-SIGNAL</v>
      </c>
      <c r="AC282" s="14" t="str">
        <f t="shared" si="44"/>
        <v>Inactive Customer</v>
      </c>
    </row>
    <row r="283" spans="1:29" x14ac:dyDescent="0.45">
      <c r="A283" s="2" t="s">
        <v>853</v>
      </c>
      <c r="B283" s="2" t="s">
        <v>854</v>
      </c>
      <c r="C283" s="2" t="s">
        <v>57</v>
      </c>
      <c r="D283" s="2" t="s">
        <v>58</v>
      </c>
      <c r="E283" s="11">
        <v>45308</v>
      </c>
      <c r="F283" s="12" t="s">
        <v>53</v>
      </c>
      <c r="G283" s="13"/>
      <c r="H283" s="12"/>
      <c r="I283" s="11"/>
      <c r="J283" s="12" t="s">
        <v>53</v>
      </c>
      <c r="K283" s="11"/>
      <c r="L283" s="12"/>
      <c r="M283" s="12" t="s">
        <v>53</v>
      </c>
      <c r="N283" s="11"/>
      <c r="O283" s="12"/>
      <c r="P283" s="12" t="s">
        <v>53</v>
      </c>
      <c r="Q283" s="14"/>
      <c r="R283" s="14"/>
      <c r="S283" s="12" t="s">
        <v>51</v>
      </c>
      <c r="T283" s="11">
        <v>47364</v>
      </c>
      <c r="U283" s="12" t="str">
        <f t="shared" si="36"/>
        <v>N</v>
      </c>
      <c r="V283" s="12" t="str">
        <f t="shared" si="37"/>
        <v>N</v>
      </c>
      <c r="W283" s="12" t="str">
        <f t="shared" si="38"/>
        <v>N</v>
      </c>
      <c r="X283" s="12" t="str">
        <f t="shared" si="39"/>
        <v>N</v>
      </c>
      <c r="Y283" s="12" t="str">
        <f t="shared" si="40"/>
        <v>N</v>
      </c>
      <c r="Z283" s="12" t="str">
        <f t="shared" si="41"/>
        <v>N</v>
      </c>
      <c r="AA283" s="12">
        <f t="shared" si="42"/>
        <v>1</v>
      </c>
      <c r="AB283" s="12" t="str">
        <f t="shared" si="43"/>
        <v>SINGLE-SIGNAL</v>
      </c>
      <c r="AC283" s="14" t="str">
        <f t="shared" si="44"/>
        <v>Inactive Customer</v>
      </c>
    </row>
    <row r="284" spans="1:29" x14ac:dyDescent="0.45">
      <c r="A284" s="2" t="s">
        <v>855</v>
      </c>
      <c r="B284" s="2" t="s">
        <v>856</v>
      </c>
      <c r="C284" s="2" t="s">
        <v>57</v>
      </c>
      <c r="D284" s="2" t="s">
        <v>128</v>
      </c>
      <c r="E284" s="11">
        <v>44717</v>
      </c>
      <c r="F284" s="12" t="s">
        <v>51</v>
      </c>
      <c r="G284" s="13">
        <v>79500</v>
      </c>
      <c r="H284" s="12" t="s">
        <v>109</v>
      </c>
      <c r="I284" s="11">
        <v>46163</v>
      </c>
      <c r="J284" s="12" t="s">
        <v>53</v>
      </c>
      <c r="K284" s="11"/>
      <c r="L284" s="12" t="s">
        <v>53</v>
      </c>
      <c r="M284" s="12" t="s">
        <v>51</v>
      </c>
      <c r="N284" s="11">
        <v>46326</v>
      </c>
      <c r="O284" s="12" t="s">
        <v>364</v>
      </c>
      <c r="P284" s="12" t="s">
        <v>53</v>
      </c>
      <c r="Q284" s="14"/>
      <c r="R284" s="14"/>
      <c r="S284" s="12" t="s">
        <v>53</v>
      </c>
      <c r="T284" s="11"/>
      <c r="U284" s="12" t="str">
        <f t="shared" si="36"/>
        <v>N</v>
      </c>
      <c r="V284" s="12" t="str">
        <f t="shared" si="37"/>
        <v>N</v>
      </c>
      <c r="W284" s="12" t="str">
        <f t="shared" si="38"/>
        <v>N</v>
      </c>
      <c r="X284" s="12" t="str">
        <f t="shared" si="39"/>
        <v>N</v>
      </c>
      <c r="Y284" s="12" t="str">
        <f t="shared" si="40"/>
        <v>N</v>
      </c>
      <c r="Z284" s="12" t="str">
        <f t="shared" si="41"/>
        <v>N</v>
      </c>
      <c r="AA284" s="12">
        <f t="shared" si="42"/>
        <v>2</v>
      </c>
      <c r="AB284" s="12" t="str">
        <f t="shared" si="43"/>
        <v>MULTI-SIGNAL</v>
      </c>
      <c r="AC284" s="14" t="str">
        <f t="shared" si="44"/>
        <v>Settlement Authorization | Pending QME</v>
      </c>
    </row>
    <row r="285" spans="1:29" x14ac:dyDescent="0.45">
      <c r="A285" s="2" t="s">
        <v>857</v>
      </c>
      <c r="B285" s="2" t="s">
        <v>858</v>
      </c>
      <c r="C285" s="2" t="s">
        <v>57</v>
      </c>
      <c r="D285" s="2" t="s">
        <v>859</v>
      </c>
      <c r="E285" s="11">
        <v>44952</v>
      </c>
      <c r="F285" s="12" t="s">
        <v>53</v>
      </c>
      <c r="G285" s="13"/>
      <c r="H285" s="12"/>
      <c r="I285" s="11"/>
      <c r="J285" s="12" t="s">
        <v>53</v>
      </c>
      <c r="K285" s="11"/>
      <c r="L285" s="12"/>
      <c r="M285" s="12" t="s">
        <v>53</v>
      </c>
      <c r="N285" s="11"/>
      <c r="O285" s="12"/>
      <c r="P285" s="12" t="s">
        <v>51</v>
      </c>
      <c r="Q285" s="14" t="s">
        <v>149</v>
      </c>
      <c r="R285" s="14" t="s">
        <v>183</v>
      </c>
      <c r="S285" s="12" t="s">
        <v>53</v>
      </c>
      <c r="T285" s="11"/>
      <c r="U285" s="12" t="str">
        <f t="shared" si="36"/>
        <v>N</v>
      </c>
      <c r="V285" s="12" t="str">
        <f t="shared" si="37"/>
        <v>N</v>
      </c>
      <c r="W285" s="12" t="str">
        <f t="shared" si="38"/>
        <v>Y</v>
      </c>
      <c r="X285" s="12" t="str">
        <f t="shared" si="39"/>
        <v>N</v>
      </c>
      <c r="Y285" s="12" t="str">
        <f t="shared" si="40"/>
        <v>N</v>
      </c>
      <c r="Z285" s="12" t="str">
        <f t="shared" si="41"/>
        <v>Y</v>
      </c>
      <c r="AA285" s="12">
        <f t="shared" si="42"/>
        <v>1</v>
      </c>
      <c r="AB285" s="12" t="str">
        <f t="shared" si="43"/>
        <v>SINGLE-SIGNAL</v>
      </c>
      <c r="AC285" s="14" t="str">
        <f t="shared" si="44"/>
        <v>Automated Claim Alert</v>
      </c>
    </row>
    <row r="286" spans="1:29" x14ac:dyDescent="0.45">
      <c r="A286" s="2" t="s">
        <v>860</v>
      </c>
      <c r="B286" s="2" t="s">
        <v>861</v>
      </c>
      <c r="C286" s="2" t="s">
        <v>57</v>
      </c>
      <c r="D286" s="2" t="s">
        <v>186</v>
      </c>
      <c r="E286" s="11">
        <v>43369</v>
      </c>
      <c r="F286" s="12" t="s">
        <v>53</v>
      </c>
      <c r="G286" s="13"/>
      <c r="H286" s="12"/>
      <c r="I286" s="11"/>
      <c r="J286" s="12" t="s">
        <v>53</v>
      </c>
      <c r="K286" s="11"/>
      <c r="L286" s="12"/>
      <c r="M286" s="12" t="s">
        <v>51</v>
      </c>
      <c r="N286" s="11">
        <v>45005</v>
      </c>
      <c r="O286" s="12" t="s">
        <v>862</v>
      </c>
      <c r="P286" s="12" t="s">
        <v>53</v>
      </c>
      <c r="Q286" s="14"/>
      <c r="R286" s="14"/>
      <c r="S286" s="12" t="s">
        <v>53</v>
      </c>
      <c r="T286" s="11"/>
      <c r="U286" s="12" t="str">
        <f t="shared" si="36"/>
        <v>N</v>
      </c>
      <c r="V286" s="12" t="str">
        <f t="shared" si="37"/>
        <v>N</v>
      </c>
      <c r="W286" s="12" t="str">
        <f t="shared" si="38"/>
        <v>N</v>
      </c>
      <c r="X286" s="12" t="str">
        <f t="shared" si="39"/>
        <v>N</v>
      </c>
      <c r="Y286" s="12" t="str">
        <f t="shared" si="40"/>
        <v>N</v>
      </c>
      <c r="Z286" s="12" t="str">
        <f t="shared" si="41"/>
        <v>N</v>
      </c>
      <c r="AA286" s="12">
        <f t="shared" si="42"/>
        <v>1</v>
      </c>
      <c r="AB286" s="12" t="str">
        <f t="shared" si="43"/>
        <v>SINGLE-SIGNAL</v>
      </c>
      <c r="AC286" s="14" t="str">
        <f t="shared" si="44"/>
        <v>Pending QME</v>
      </c>
    </row>
    <row r="287" spans="1:29" ht="28.5" x14ac:dyDescent="0.45">
      <c r="A287" s="2" t="s">
        <v>863</v>
      </c>
      <c r="B287" s="2" t="s">
        <v>864</v>
      </c>
      <c r="C287" s="2" t="s">
        <v>57</v>
      </c>
      <c r="D287" s="2" t="s">
        <v>326</v>
      </c>
      <c r="E287" s="11">
        <v>45435</v>
      </c>
      <c r="F287" s="12" t="s">
        <v>53</v>
      </c>
      <c r="G287" s="13"/>
      <c r="H287" s="12"/>
      <c r="I287" s="11"/>
      <c r="J287" s="12" t="s">
        <v>53</v>
      </c>
      <c r="K287" s="11"/>
      <c r="L287" s="12"/>
      <c r="M287" s="12" t="s">
        <v>53</v>
      </c>
      <c r="N287" s="11"/>
      <c r="O287" s="12"/>
      <c r="P287" s="12" t="s">
        <v>51</v>
      </c>
      <c r="Q287" s="14" t="s">
        <v>865</v>
      </c>
      <c r="R287" s="14" t="s">
        <v>149</v>
      </c>
      <c r="S287" s="12" t="s">
        <v>53</v>
      </c>
      <c r="T287" s="11"/>
      <c r="U287" s="12" t="str">
        <f t="shared" si="36"/>
        <v>N</v>
      </c>
      <c r="V287" s="12" t="str">
        <f t="shared" si="37"/>
        <v>Y</v>
      </c>
      <c r="W287" s="12" t="str">
        <f t="shared" si="38"/>
        <v>Y</v>
      </c>
      <c r="X287" s="12" t="str">
        <f t="shared" si="39"/>
        <v>N</v>
      </c>
      <c r="Y287" s="12" t="str">
        <f t="shared" si="40"/>
        <v>N</v>
      </c>
      <c r="Z287" s="12" t="str">
        <f t="shared" si="41"/>
        <v>Y</v>
      </c>
      <c r="AA287" s="12">
        <f t="shared" si="42"/>
        <v>1</v>
      </c>
      <c r="AB287" s="12" t="str">
        <f t="shared" si="43"/>
        <v>SINGLE-SIGNAL</v>
      </c>
      <c r="AC287" s="14" t="str">
        <f t="shared" si="44"/>
        <v>Automated Claim Alert</v>
      </c>
    </row>
    <row r="288" spans="1:29" ht="28.5" x14ac:dyDescent="0.45">
      <c r="A288" s="2" t="s">
        <v>866</v>
      </c>
      <c r="B288" s="2" t="s">
        <v>867</v>
      </c>
      <c r="C288" s="2" t="s">
        <v>57</v>
      </c>
      <c r="D288" s="2" t="s">
        <v>457</v>
      </c>
      <c r="E288" s="11">
        <v>43496</v>
      </c>
      <c r="F288" s="12" t="s">
        <v>51</v>
      </c>
      <c r="G288" s="13">
        <v>133750</v>
      </c>
      <c r="H288" s="12" t="s">
        <v>85</v>
      </c>
      <c r="I288" s="11">
        <v>44686</v>
      </c>
      <c r="J288" s="12" t="s">
        <v>51</v>
      </c>
      <c r="K288" s="11">
        <v>43613</v>
      </c>
      <c r="L288" s="12" t="s">
        <v>51</v>
      </c>
      <c r="M288" s="12" t="s">
        <v>51</v>
      </c>
      <c r="N288" s="11">
        <v>45026</v>
      </c>
      <c r="O288" s="12" t="s">
        <v>868</v>
      </c>
      <c r="P288" s="12" t="s">
        <v>53</v>
      </c>
      <c r="Q288" s="14"/>
      <c r="R288" s="14"/>
      <c r="S288" s="12" t="s">
        <v>53</v>
      </c>
      <c r="T288" s="11"/>
      <c r="U288" s="12" t="str">
        <f t="shared" si="36"/>
        <v>N</v>
      </c>
      <c r="V288" s="12" t="str">
        <f t="shared" si="37"/>
        <v>N</v>
      </c>
      <c r="W288" s="12" t="str">
        <f t="shared" si="38"/>
        <v>N</v>
      </c>
      <c r="X288" s="12" t="str">
        <f t="shared" si="39"/>
        <v>N</v>
      </c>
      <c r="Y288" s="12" t="str">
        <f t="shared" si="40"/>
        <v>N</v>
      </c>
      <c r="Z288" s="12" t="str">
        <f t="shared" si="41"/>
        <v>N</v>
      </c>
      <c r="AA288" s="12">
        <f t="shared" si="42"/>
        <v>3</v>
      </c>
      <c r="AB288" s="12" t="str">
        <f t="shared" si="43"/>
        <v>ELEVATED MULTI-SIGNAL</v>
      </c>
      <c r="AC288" s="14" t="str">
        <f t="shared" si="44"/>
        <v>Settlement Authorization | Open Stipulation | Pending QME</v>
      </c>
    </row>
    <row r="289" spans="1:29" ht="28.5" x14ac:dyDescent="0.45">
      <c r="A289" s="2" t="s">
        <v>869</v>
      </c>
      <c r="B289" s="2" t="s">
        <v>870</v>
      </c>
      <c r="C289" s="2" t="s">
        <v>57</v>
      </c>
      <c r="D289" s="2" t="s">
        <v>81</v>
      </c>
      <c r="E289" s="11">
        <v>44786</v>
      </c>
      <c r="F289" s="12" t="s">
        <v>51</v>
      </c>
      <c r="G289" s="13">
        <v>96250</v>
      </c>
      <c r="H289" s="12" t="s">
        <v>52</v>
      </c>
      <c r="I289" s="11">
        <v>45989</v>
      </c>
      <c r="J289" s="12" t="s">
        <v>53</v>
      </c>
      <c r="K289" s="11"/>
      <c r="L289" s="12" t="s">
        <v>51</v>
      </c>
      <c r="M289" s="12" t="s">
        <v>53</v>
      </c>
      <c r="N289" s="11"/>
      <c r="O289" s="12"/>
      <c r="P289" s="12" t="s">
        <v>51</v>
      </c>
      <c r="Q289" s="14" t="s">
        <v>227</v>
      </c>
      <c r="R289" s="14" t="s">
        <v>374</v>
      </c>
      <c r="S289" s="12" t="s">
        <v>53</v>
      </c>
      <c r="T289" s="11"/>
      <c r="U289" s="12" t="str">
        <f t="shared" si="36"/>
        <v>N</v>
      </c>
      <c r="V289" s="12" t="str">
        <f t="shared" si="37"/>
        <v>Y</v>
      </c>
      <c r="W289" s="12" t="str">
        <f t="shared" si="38"/>
        <v>N</v>
      </c>
      <c r="X289" s="12" t="str">
        <f t="shared" si="39"/>
        <v>Y</v>
      </c>
      <c r="Y289" s="12" t="str">
        <f t="shared" si="40"/>
        <v>N</v>
      </c>
      <c r="Z289" s="12" t="str">
        <f t="shared" si="41"/>
        <v>Y</v>
      </c>
      <c r="AA289" s="12">
        <f t="shared" si="42"/>
        <v>2</v>
      </c>
      <c r="AB289" s="12" t="str">
        <f t="shared" si="43"/>
        <v>MULTI-SIGNAL</v>
      </c>
      <c r="AC289" s="14" t="str">
        <f t="shared" si="44"/>
        <v>Settlement Authorization | Automated Claim Alert</v>
      </c>
    </row>
    <row r="290" spans="1:29" x14ac:dyDescent="0.45">
      <c r="A290" s="2" t="s">
        <v>871</v>
      </c>
      <c r="B290" s="2" t="s">
        <v>872</v>
      </c>
      <c r="C290" s="2" t="s">
        <v>57</v>
      </c>
      <c r="D290" s="2" t="s">
        <v>873</v>
      </c>
      <c r="E290" s="11">
        <v>45658</v>
      </c>
      <c r="F290" s="12" t="s">
        <v>51</v>
      </c>
      <c r="G290" s="13">
        <v>122250</v>
      </c>
      <c r="H290" s="12" t="s">
        <v>85</v>
      </c>
      <c r="I290" s="11">
        <v>45714</v>
      </c>
      <c r="J290" s="12" t="s">
        <v>53</v>
      </c>
      <c r="K290" s="11"/>
      <c r="L290" s="12" t="s">
        <v>51</v>
      </c>
      <c r="M290" s="12" t="s">
        <v>53</v>
      </c>
      <c r="N290" s="11"/>
      <c r="O290" s="12"/>
      <c r="P290" s="12" t="s">
        <v>53</v>
      </c>
      <c r="Q290" s="14"/>
      <c r="R290" s="14"/>
      <c r="S290" s="12" t="s">
        <v>53</v>
      </c>
      <c r="T290" s="11"/>
      <c r="U290" s="12" t="str">
        <f t="shared" si="36"/>
        <v>N</v>
      </c>
      <c r="V290" s="12" t="str">
        <f t="shared" si="37"/>
        <v>N</v>
      </c>
      <c r="W290" s="12" t="str">
        <f t="shared" si="38"/>
        <v>N</v>
      </c>
      <c r="X290" s="12" t="str">
        <f t="shared" si="39"/>
        <v>N</v>
      </c>
      <c r="Y290" s="12" t="str">
        <f t="shared" si="40"/>
        <v>N</v>
      </c>
      <c r="Z290" s="12" t="str">
        <f t="shared" si="41"/>
        <v>N</v>
      </c>
      <c r="AA290" s="12">
        <f t="shared" si="42"/>
        <v>1</v>
      </c>
      <c r="AB290" s="12" t="str">
        <f t="shared" si="43"/>
        <v>SINGLE-SIGNAL</v>
      </c>
      <c r="AC290" s="14" t="str">
        <f t="shared" si="44"/>
        <v>Settlement Authorization</v>
      </c>
    </row>
    <row r="291" spans="1:29" x14ac:dyDescent="0.45">
      <c r="A291" s="2" t="s">
        <v>874</v>
      </c>
      <c r="B291" s="2" t="s">
        <v>875</v>
      </c>
      <c r="C291" s="2" t="s">
        <v>57</v>
      </c>
      <c r="D291" s="2" t="s">
        <v>850</v>
      </c>
      <c r="E291" s="11">
        <v>46010</v>
      </c>
      <c r="F291" s="12" t="s">
        <v>51</v>
      </c>
      <c r="G291" s="13">
        <v>64500</v>
      </c>
      <c r="H291" s="12" t="s">
        <v>52</v>
      </c>
      <c r="I291" s="11">
        <v>46260</v>
      </c>
      <c r="J291" s="12" t="s">
        <v>53</v>
      </c>
      <c r="K291" s="11"/>
      <c r="L291" s="12" t="s">
        <v>53</v>
      </c>
      <c r="M291" s="12" t="s">
        <v>53</v>
      </c>
      <c r="N291" s="11"/>
      <c r="O291" s="12"/>
      <c r="P291" s="12" t="s">
        <v>53</v>
      </c>
      <c r="Q291" s="14"/>
      <c r="R291" s="14"/>
      <c r="S291" s="12" t="s">
        <v>51</v>
      </c>
      <c r="T291" s="11">
        <v>46463</v>
      </c>
      <c r="U291" s="12" t="str">
        <f t="shared" si="36"/>
        <v>N</v>
      </c>
      <c r="V291" s="12" t="str">
        <f t="shared" si="37"/>
        <v>N</v>
      </c>
      <c r="W291" s="12" t="str">
        <f t="shared" si="38"/>
        <v>N</v>
      </c>
      <c r="X291" s="12" t="str">
        <f t="shared" si="39"/>
        <v>N</v>
      </c>
      <c r="Y291" s="12" t="str">
        <f t="shared" si="40"/>
        <v>N</v>
      </c>
      <c r="Z291" s="12" t="str">
        <f t="shared" si="41"/>
        <v>N</v>
      </c>
      <c r="AA291" s="12">
        <f t="shared" si="42"/>
        <v>2</v>
      </c>
      <c r="AB291" s="12" t="str">
        <f t="shared" si="43"/>
        <v>MULTI-SIGNAL</v>
      </c>
      <c r="AC291" s="14" t="str">
        <f t="shared" si="44"/>
        <v>Settlement Authorization | Inactive Customer</v>
      </c>
    </row>
    <row r="292" spans="1:29" x14ac:dyDescent="0.45">
      <c r="A292" s="2" t="s">
        <v>876</v>
      </c>
      <c r="B292" s="2" t="s">
        <v>877</v>
      </c>
      <c r="C292" s="2" t="s">
        <v>64</v>
      </c>
      <c r="D292" s="2" t="s">
        <v>221</v>
      </c>
      <c r="E292" s="11">
        <v>44614</v>
      </c>
      <c r="F292" s="12" t="s">
        <v>51</v>
      </c>
      <c r="G292" s="13">
        <v>56500</v>
      </c>
      <c r="H292" s="12" t="s">
        <v>52</v>
      </c>
      <c r="I292" s="11">
        <v>46242</v>
      </c>
      <c r="J292" s="12" t="s">
        <v>53</v>
      </c>
      <c r="K292" s="11"/>
      <c r="L292" s="12" t="s">
        <v>53</v>
      </c>
      <c r="M292" s="12" t="s">
        <v>53</v>
      </c>
      <c r="N292" s="11"/>
      <c r="O292" s="12"/>
      <c r="P292" s="12" t="s">
        <v>53</v>
      </c>
      <c r="Q292" s="14"/>
      <c r="R292" s="14"/>
      <c r="S292" s="12" t="s">
        <v>53</v>
      </c>
      <c r="T292" s="11"/>
      <c r="U292" s="12" t="str">
        <f t="shared" si="36"/>
        <v>N</v>
      </c>
      <c r="V292" s="12" t="str">
        <f t="shared" si="37"/>
        <v>N</v>
      </c>
      <c r="W292" s="12" t="str">
        <f t="shared" si="38"/>
        <v>N</v>
      </c>
      <c r="X292" s="12" t="str">
        <f t="shared" si="39"/>
        <v>N</v>
      </c>
      <c r="Y292" s="12" t="str">
        <f t="shared" si="40"/>
        <v>N</v>
      </c>
      <c r="Z292" s="12" t="str">
        <f t="shared" si="41"/>
        <v>N</v>
      </c>
      <c r="AA292" s="12">
        <f t="shared" si="42"/>
        <v>1</v>
      </c>
      <c r="AB292" s="12" t="str">
        <f t="shared" si="43"/>
        <v>SINGLE-SIGNAL</v>
      </c>
      <c r="AC292" s="14" t="str">
        <f t="shared" si="44"/>
        <v>Settlement Authorization</v>
      </c>
    </row>
    <row r="293" spans="1:29" x14ac:dyDescent="0.45">
      <c r="A293" s="2" t="s">
        <v>878</v>
      </c>
      <c r="B293" s="2" t="s">
        <v>879</v>
      </c>
      <c r="C293" s="2" t="s">
        <v>64</v>
      </c>
      <c r="D293" s="2" t="s">
        <v>74</v>
      </c>
      <c r="E293" s="11">
        <v>44275</v>
      </c>
      <c r="F293" s="12" t="s">
        <v>51</v>
      </c>
      <c r="G293" s="13">
        <v>136500</v>
      </c>
      <c r="H293" s="12" t="s">
        <v>116</v>
      </c>
      <c r="I293" s="11">
        <v>46073</v>
      </c>
      <c r="J293" s="12" t="s">
        <v>53</v>
      </c>
      <c r="K293" s="11"/>
      <c r="L293" s="12" t="s">
        <v>53</v>
      </c>
      <c r="M293" s="12" t="s">
        <v>53</v>
      </c>
      <c r="N293" s="11"/>
      <c r="O293" s="12"/>
      <c r="P293" s="12" t="s">
        <v>53</v>
      </c>
      <c r="Q293" s="14"/>
      <c r="R293" s="14"/>
      <c r="S293" s="12" t="s">
        <v>53</v>
      </c>
      <c r="T293" s="11"/>
      <c r="U293" s="12" t="str">
        <f t="shared" si="36"/>
        <v>N</v>
      </c>
      <c r="V293" s="12" t="str">
        <f t="shared" si="37"/>
        <v>N</v>
      </c>
      <c r="W293" s="12" t="str">
        <f t="shared" si="38"/>
        <v>N</v>
      </c>
      <c r="X293" s="12" t="str">
        <f t="shared" si="39"/>
        <v>N</v>
      </c>
      <c r="Y293" s="12" t="str">
        <f t="shared" si="40"/>
        <v>N</v>
      </c>
      <c r="Z293" s="12" t="str">
        <f t="shared" si="41"/>
        <v>N</v>
      </c>
      <c r="AA293" s="12">
        <f t="shared" si="42"/>
        <v>1</v>
      </c>
      <c r="AB293" s="12" t="str">
        <f t="shared" si="43"/>
        <v>SINGLE-SIGNAL</v>
      </c>
      <c r="AC293" s="14" t="str">
        <f t="shared" si="44"/>
        <v>Settlement Authorization</v>
      </c>
    </row>
    <row r="294" spans="1:29" x14ac:dyDescent="0.45">
      <c r="A294" s="2" t="s">
        <v>880</v>
      </c>
      <c r="B294" s="2" t="s">
        <v>881</v>
      </c>
      <c r="C294" s="2" t="s">
        <v>64</v>
      </c>
      <c r="D294" s="2" t="s">
        <v>601</v>
      </c>
      <c r="E294" s="11">
        <v>43405</v>
      </c>
      <c r="F294" s="12" t="s">
        <v>51</v>
      </c>
      <c r="G294" s="13">
        <v>138250</v>
      </c>
      <c r="H294" s="12" t="s">
        <v>71</v>
      </c>
      <c r="I294" s="11">
        <v>43970</v>
      </c>
      <c r="J294" s="12" t="s">
        <v>53</v>
      </c>
      <c r="K294" s="11"/>
      <c r="L294" s="12" t="s">
        <v>53</v>
      </c>
      <c r="M294" s="12" t="s">
        <v>51</v>
      </c>
      <c r="N294" s="11">
        <v>43815</v>
      </c>
      <c r="O294" s="12" t="s">
        <v>573</v>
      </c>
      <c r="P294" s="12" t="s">
        <v>53</v>
      </c>
      <c r="Q294" s="14"/>
      <c r="R294" s="14"/>
      <c r="S294" s="12" t="s">
        <v>53</v>
      </c>
      <c r="T294" s="11"/>
      <c r="U294" s="12" t="str">
        <f t="shared" si="36"/>
        <v>N</v>
      </c>
      <c r="V294" s="12" t="str">
        <f t="shared" si="37"/>
        <v>N</v>
      </c>
      <c r="W294" s="12" t="str">
        <f t="shared" si="38"/>
        <v>N</v>
      </c>
      <c r="X294" s="12" t="str">
        <f t="shared" si="39"/>
        <v>N</v>
      </c>
      <c r="Y294" s="12" t="str">
        <f t="shared" si="40"/>
        <v>N</v>
      </c>
      <c r="Z294" s="12" t="str">
        <f t="shared" si="41"/>
        <v>N</v>
      </c>
      <c r="AA294" s="12">
        <f t="shared" si="42"/>
        <v>2</v>
      </c>
      <c r="AB294" s="12" t="str">
        <f t="shared" si="43"/>
        <v>MULTI-SIGNAL</v>
      </c>
      <c r="AC294" s="14" t="str">
        <f t="shared" si="44"/>
        <v>Settlement Authorization | Pending QME</v>
      </c>
    </row>
    <row r="295" spans="1:29" x14ac:dyDescent="0.45">
      <c r="A295" s="2" t="s">
        <v>882</v>
      </c>
      <c r="B295" s="2" t="s">
        <v>883</v>
      </c>
      <c r="C295" s="2" t="s">
        <v>64</v>
      </c>
      <c r="D295" s="2" t="s">
        <v>884</v>
      </c>
      <c r="E295" s="11">
        <v>44361</v>
      </c>
      <c r="F295" s="12" t="s">
        <v>53</v>
      </c>
      <c r="G295" s="13"/>
      <c r="H295" s="12"/>
      <c r="I295" s="11"/>
      <c r="J295" s="12" t="s">
        <v>51</v>
      </c>
      <c r="K295" s="11">
        <v>45260</v>
      </c>
      <c r="L295" s="12" t="s">
        <v>53</v>
      </c>
      <c r="M295" s="12" t="s">
        <v>53</v>
      </c>
      <c r="N295" s="11"/>
      <c r="O295" s="12"/>
      <c r="P295" s="12" t="s">
        <v>53</v>
      </c>
      <c r="Q295" s="14"/>
      <c r="R295" s="14"/>
      <c r="S295" s="12" t="s">
        <v>53</v>
      </c>
      <c r="T295" s="11"/>
      <c r="U295" s="12" t="str">
        <f t="shared" si="36"/>
        <v>N</v>
      </c>
      <c r="V295" s="12" t="str">
        <f t="shared" si="37"/>
        <v>N</v>
      </c>
      <c r="W295" s="12" t="str">
        <f t="shared" si="38"/>
        <v>N</v>
      </c>
      <c r="X295" s="12" t="str">
        <f t="shared" si="39"/>
        <v>N</v>
      </c>
      <c r="Y295" s="12" t="str">
        <f t="shared" si="40"/>
        <v>N</v>
      </c>
      <c r="Z295" s="12" t="str">
        <f t="shared" si="41"/>
        <v>N</v>
      </c>
      <c r="AA295" s="12">
        <f t="shared" si="42"/>
        <v>1</v>
      </c>
      <c r="AB295" s="12" t="str">
        <f t="shared" si="43"/>
        <v>SINGLE-SIGNAL</v>
      </c>
      <c r="AC295" s="14" t="str">
        <f t="shared" si="44"/>
        <v>Open Stipulation</v>
      </c>
    </row>
    <row r="296" spans="1:29" x14ac:dyDescent="0.45">
      <c r="A296" s="2" t="s">
        <v>885</v>
      </c>
      <c r="B296" s="2" t="s">
        <v>886</v>
      </c>
      <c r="C296" s="2" t="s">
        <v>64</v>
      </c>
      <c r="D296" s="2" t="s">
        <v>233</v>
      </c>
      <c r="E296" s="11">
        <v>45148</v>
      </c>
      <c r="F296" s="12" t="s">
        <v>51</v>
      </c>
      <c r="G296" s="13">
        <v>172500</v>
      </c>
      <c r="H296" s="12" t="s">
        <v>78</v>
      </c>
      <c r="I296" s="11">
        <v>45815</v>
      </c>
      <c r="J296" s="12" t="s">
        <v>53</v>
      </c>
      <c r="K296" s="11"/>
      <c r="L296" s="12" t="s">
        <v>53</v>
      </c>
      <c r="M296" s="12" t="s">
        <v>53</v>
      </c>
      <c r="N296" s="11"/>
      <c r="O296" s="12"/>
      <c r="P296" s="12" t="s">
        <v>53</v>
      </c>
      <c r="Q296" s="14"/>
      <c r="R296" s="14"/>
      <c r="S296" s="12" t="s">
        <v>53</v>
      </c>
      <c r="T296" s="11"/>
      <c r="U296" s="12" t="str">
        <f t="shared" si="36"/>
        <v>N</v>
      </c>
      <c r="V296" s="12" t="str">
        <f t="shared" si="37"/>
        <v>N</v>
      </c>
      <c r="W296" s="12" t="str">
        <f t="shared" si="38"/>
        <v>N</v>
      </c>
      <c r="X296" s="12" t="str">
        <f t="shared" si="39"/>
        <v>N</v>
      </c>
      <c r="Y296" s="12" t="str">
        <f t="shared" si="40"/>
        <v>N</v>
      </c>
      <c r="Z296" s="12" t="str">
        <f t="shared" si="41"/>
        <v>N</v>
      </c>
      <c r="AA296" s="12">
        <f t="shared" si="42"/>
        <v>1</v>
      </c>
      <c r="AB296" s="12" t="str">
        <f t="shared" si="43"/>
        <v>SINGLE-SIGNAL</v>
      </c>
      <c r="AC296" s="14" t="str">
        <f t="shared" si="44"/>
        <v>Settlement Authorization</v>
      </c>
    </row>
    <row r="297" spans="1:29" ht="28.5" x14ac:dyDescent="0.45">
      <c r="A297" s="2" t="s">
        <v>887</v>
      </c>
      <c r="B297" s="2" t="s">
        <v>888</v>
      </c>
      <c r="C297" s="2" t="s">
        <v>64</v>
      </c>
      <c r="D297" s="2" t="s">
        <v>189</v>
      </c>
      <c r="E297" s="11">
        <v>46022</v>
      </c>
      <c r="F297" s="12" t="s">
        <v>51</v>
      </c>
      <c r="G297" s="13">
        <v>168000</v>
      </c>
      <c r="H297" s="12" t="s">
        <v>85</v>
      </c>
      <c r="I297" s="11">
        <v>46301</v>
      </c>
      <c r="J297" s="12" t="s">
        <v>53</v>
      </c>
      <c r="K297" s="11"/>
      <c r="L297" s="12" t="s">
        <v>51</v>
      </c>
      <c r="M297" s="12" t="s">
        <v>53</v>
      </c>
      <c r="N297" s="11"/>
      <c r="O297" s="12"/>
      <c r="P297" s="12" t="s">
        <v>51</v>
      </c>
      <c r="Q297" s="14" t="s">
        <v>149</v>
      </c>
      <c r="R297" s="14" t="s">
        <v>209</v>
      </c>
      <c r="S297" s="12" t="s">
        <v>51</v>
      </c>
      <c r="T297" s="11">
        <v>47829</v>
      </c>
      <c r="U297" s="12" t="str">
        <f t="shared" si="36"/>
        <v>Y</v>
      </c>
      <c r="V297" s="12" t="str">
        <f t="shared" si="37"/>
        <v>N</v>
      </c>
      <c r="W297" s="12" t="str">
        <f t="shared" si="38"/>
        <v>N</v>
      </c>
      <c r="X297" s="12" t="str">
        <f t="shared" si="39"/>
        <v>N</v>
      </c>
      <c r="Y297" s="12" t="str">
        <f t="shared" si="40"/>
        <v>N</v>
      </c>
      <c r="Z297" s="12" t="str">
        <f t="shared" si="41"/>
        <v>Y</v>
      </c>
      <c r="AA297" s="12">
        <f t="shared" si="42"/>
        <v>3</v>
      </c>
      <c r="AB297" s="12" t="str">
        <f t="shared" si="43"/>
        <v>ELEVATED MULTI-SIGNAL</v>
      </c>
      <c r="AC297" s="14" t="str">
        <f t="shared" si="44"/>
        <v>Settlement Authorization | Automated Claim Alert | Inactive Customer</v>
      </c>
    </row>
    <row r="298" spans="1:29" ht="28.5" x14ac:dyDescent="0.45">
      <c r="A298" s="2" t="s">
        <v>889</v>
      </c>
      <c r="B298" s="2" t="s">
        <v>890</v>
      </c>
      <c r="C298" s="2" t="s">
        <v>64</v>
      </c>
      <c r="D298" s="2" t="s">
        <v>457</v>
      </c>
      <c r="E298" s="11">
        <v>43413</v>
      </c>
      <c r="F298" s="12" t="s">
        <v>51</v>
      </c>
      <c r="G298" s="13">
        <v>115750</v>
      </c>
      <c r="H298" s="12" t="s">
        <v>89</v>
      </c>
      <c r="I298" s="11">
        <v>45142</v>
      </c>
      <c r="J298" s="12" t="s">
        <v>53</v>
      </c>
      <c r="K298" s="11"/>
      <c r="L298" s="12" t="s">
        <v>53</v>
      </c>
      <c r="M298" s="12" t="s">
        <v>53</v>
      </c>
      <c r="N298" s="11"/>
      <c r="O298" s="12"/>
      <c r="P298" s="12" t="s">
        <v>51</v>
      </c>
      <c r="Q298" s="14" t="s">
        <v>441</v>
      </c>
      <c r="R298" s="14" t="s">
        <v>299</v>
      </c>
      <c r="S298" s="12" t="s">
        <v>53</v>
      </c>
      <c r="T298" s="11"/>
      <c r="U298" s="12" t="str">
        <f t="shared" si="36"/>
        <v>N</v>
      </c>
      <c r="V298" s="12" t="str">
        <f t="shared" si="37"/>
        <v>N</v>
      </c>
      <c r="W298" s="12" t="str">
        <f t="shared" si="38"/>
        <v>Y</v>
      </c>
      <c r="X298" s="12" t="str">
        <f t="shared" si="39"/>
        <v>Y</v>
      </c>
      <c r="Y298" s="12" t="str">
        <f t="shared" si="40"/>
        <v>Y</v>
      </c>
      <c r="Z298" s="12" t="str">
        <f t="shared" si="41"/>
        <v>Y</v>
      </c>
      <c r="AA298" s="12">
        <f t="shared" si="42"/>
        <v>2</v>
      </c>
      <c r="AB298" s="12" t="str">
        <f t="shared" si="43"/>
        <v>MULTI-SIGNAL</v>
      </c>
      <c r="AC298" s="14" t="str">
        <f t="shared" si="44"/>
        <v>Settlement Authorization | Automated Claim Alert</v>
      </c>
    </row>
    <row r="299" spans="1:29" x14ac:dyDescent="0.45">
      <c r="A299" s="2" t="s">
        <v>891</v>
      </c>
      <c r="B299" s="2" t="s">
        <v>892</v>
      </c>
      <c r="C299" s="2" t="s">
        <v>64</v>
      </c>
      <c r="D299" s="2" t="s">
        <v>893</v>
      </c>
      <c r="E299" s="11">
        <v>43729</v>
      </c>
      <c r="F299" s="12" t="s">
        <v>53</v>
      </c>
      <c r="G299" s="13"/>
      <c r="H299" s="12"/>
      <c r="I299" s="11"/>
      <c r="J299" s="12" t="s">
        <v>53</v>
      </c>
      <c r="K299" s="11"/>
      <c r="L299" s="12"/>
      <c r="M299" s="12" t="s">
        <v>51</v>
      </c>
      <c r="N299" s="11">
        <v>44372</v>
      </c>
      <c r="O299" s="12" t="s">
        <v>847</v>
      </c>
      <c r="P299" s="12" t="s">
        <v>53</v>
      </c>
      <c r="Q299" s="14"/>
      <c r="R299" s="14"/>
      <c r="S299" s="12" t="s">
        <v>53</v>
      </c>
      <c r="T299" s="11"/>
      <c r="U299" s="12" t="str">
        <f t="shared" si="36"/>
        <v>N</v>
      </c>
      <c r="V299" s="12" t="str">
        <f t="shared" si="37"/>
        <v>N</v>
      </c>
      <c r="W299" s="12" t="str">
        <f t="shared" si="38"/>
        <v>N</v>
      </c>
      <c r="X299" s="12" t="str">
        <f t="shared" si="39"/>
        <v>N</v>
      </c>
      <c r="Y299" s="12" t="str">
        <f t="shared" si="40"/>
        <v>N</v>
      </c>
      <c r="Z299" s="12" t="str">
        <f t="shared" si="41"/>
        <v>N</v>
      </c>
      <c r="AA299" s="12">
        <f t="shared" si="42"/>
        <v>1</v>
      </c>
      <c r="AB299" s="12" t="str">
        <f t="shared" si="43"/>
        <v>SINGLE-SIGNAL</v>
      </c>
      <c r="AC299" s="14" t="str">
        <f t="shared" si="44"/>
        <v>Pending QME</v>
      </c>
    </row>
    <row r="300" spans="1:29" x14ac:dyDescent="0.45">
      <c r="A300" s="2" t="s">
        <v>894</v>
      </c>
      <c r="B300" s="2" t="s">
        <v>895</v>
      </c>
      <c r="C300" s="2" t="s">
        <v>64</v>
      </c>
      <c r="D300" s="2" t="s">
        <v>850</v>
      </c>
      <c r="E300" s="11">
        <v>44282</v>
      </c>
      <c r="F300" s="12" t="s">
        <v>51</v>
      </c>
      <c r="G300" s="13">
        <v>87750</v>
      </c>
      <c r="H300" s="12" t="s">
        <v>116</v>
      </c>
      <c r="I300" s="11">
        <v>44346</v>
      </c>
      <c r="J300" s="12" t="s">
        <v>53</v>
      </c>
      <c r="K300" s="11"/>
      <c r="L300" s="12" t="s">
        <v>53</v>
      </c>
      <c r="M300" s="12" t="s">
        <v>53</v>
      </c>
      <c r="N300" s="11"/>
      <c r="O300" s="12"/>
      <c r="P300" s="12" t="s">
        <v>53</v>
      </c>
      <c r="Q300" s="14"/>
      <c r="R300" s="14"/>
      <c r="S300" s="12" t="s">
        <v>53</v>
      </c>
      <c r="T300" s="11"/>
      <c r="U300" s="12" t="str">
        <f t="shared" si="36"/>
        <v>N</v>
      </c>
      <c r="V300" s="12" t="str">
        <f t="shared" si="37"/>
        <v>N</v>
      </c>
      <c r="W300" s="12" t="str">
        <f t="shared" si="38"/>
        <v>N</v>
      </c>
      <c r="X300" s="12" t="str">
        <f t="shared" si="39"/>
        <v>N</v>
      </c>
      <c r="Y300" s="12" t="str">
        <f t="shared" si="40"/>
        <v>N</v>
      </c>
      <c r="Z300" s="12" t="str">
        <f t="shared" si="41"/>
        <v>N</v>
      </c>
      <c r="AA300" s="12">
        <f t="shared" si="42"/>
        <v>1</v>
      </c>
      <c r="AB300" s="12" t="str">
        <f t="shared" si="43"/>
        <v>SINGLE-SIGNAL</v>
      </c>
      <c r="AC300" s="14" t="str">
        <f t="shared" si="44"/>
        <v>Settlement Authorization</v>
      </c>
    </row>
    <row r="301" spans="1:29" x14ac:dyDescent="0.45">
      <c r="A301" s="2" t="s">
        <v>896</v>
      </c>
      <c r="B301" s="2" t="s">
        <v>897</v>
      </c>
      <c r="C301" s="2" t="s">
        <v>64</v>
      </c>
      <c r="D301" s="2" t="s">
        <v>551</v>
      </c>
      <c r="E301" s="11">
        <v>43502</v>
      </c>
      <c r="F301" s="12" t="s">
        <v>51</v>
      </c>
      <c r="G301" s="13">
        <v>55000</v>
      </c>
      <c r="H301" s="12" t="s">
        <v>85</v>
      </c>
      <c r="I301" s="11">
        <v>44639</v>
      </c>
      <c r="J301" s="12" t="s">
        <v>53</v>
      </c>
      <c r="K301" s="11"/>
      <c r="L301" s="12" t="s">
        <v>51</v>
      </c>
      <c r="M301" s="12" t="s">
        <v>53</v>
      </c>
      <c r="N301" s="11"/>
      <c r="O301" s="12"/>
      <c r="P301" s="12" t="s">
        <v>53</v>
      </c>
      <c r="Q301" s="14"/>
      <c r="R301" s="14"/>
      <c r="S301" s="12" t="s">
        <v>53</v>
      </c>
      <c r="T301" s="11"/>
      <c r="U301" s="12" t="str">
        <f t="shared" si="36"/>
        <v>N</v>
      </c>
      <c r="V301" s="12" t="str">
        <f t="shared" si="37"/>
        <v>N</v>
      </c>
      <c r="W301" s="12" t="str">
        <f t="shared" si="38"/>
        <v>N</v>
      </c>
      <c r="X301" s="12" t="str">
        <f t="shared" si="39"/>
        <v>N</v>
      </c>
      <c r="Y301" s="12" t="str">
        <f t="shared" si="40"/>
        <v>N</v>
      </c>
      <c r="Z301" s="12" t="str">
        <f t="shared" si="41"/>
        <v>N</v>
      </c>
      <c r="AA301" s="12">
        <f t="shared" si="42"/>
        <v>1</v>
      </c>
      <c r="AB301" s="12" t="str">
        <f t="shared" si="43"/>
        <v>SINGLE-SIGNAL</v>
      </c>
      <c r="AC301" s="14" t="str">
        <f t="shared" si="44"/>
        <v>Settlement Authorization</v>
      </c>
    </row>
    <row r="302" spans="1:29" x14ac:dyDescent="0.45">
      <c r="A302" s="2" t="s">
        <v>898</v>
      </c>
      <c r="B302" s="2" t="s">
        <v>899</v>
      </c>
      <c r="C302" s="2" t="s">
        <v>64</v>
      </c>
      <c r="D302" s="2" t="s">
        <v>74</v>
      </c>
      <c r="E302" s="11">
        <v>44251</v>
      </c>
      <c r="F302" s="12" t="s">
        <v>51</v>
      </c>
      <c r="G302" s="13">
        <v>55250</v>
      </c>
      <c r="H302" s="12" t="s">
        <v>89</v>
      </c>
      <c r="I302" s="11">
        <v>46038</v>
      </c>
      <c r="J302" s="12" t="s">
        <v>53</v>
      </c>
      <c r="K302" s="11"/>
      <c r="L302" s="12" t="s">
        <v>53</v>
      </c>
      <c r="M302" s="12" t="s">
        <v>53</v>
      </c>
      <c r="N302" s="11"/>
      <c r="O302" s="12"/>
      <c r="P302" s="12" t="s">
        <v>53</v>
      </c>
      <c r="Q302" s="14"/>
      <c r="R302" s="14"/>
      <c r="S302" s="12" t="s">
        <v>51</v>
      </c>
      <c r="T302" s="11">
        <v>45780</v>
      </c>
      <c r="U302" s="12" t="str">
        <f t="shared" si="36"/>
        <v>N</v>
      </c>
      <c r="V302" s="12" t="str">
        <f t="shared" si="37"/>
        <v>N</v>
      </c>
      <c r="W302" s="12" t="str">
        <f t="shared" si="38"/>
        <v>N</v>
      </c>
      <c r="X302" s="12" t="str">
        <f t="shared" si="39"/>
        <v>N</v>
      </c>
      <c r="Y302" s="12" t="str">
        <f t="shared" si="40"/>
        <v>N</v>
      </c>
      <c r="Z302" s="12" t="str">
        <f t="shared" si="41"/>
        <v>N</v>
      </c>
      <c r="AA302" s="12">
        <f t="shared" si="42"/>
        <v>2</v>
      </c>
      <c r="AB302" s="12" t="str">
        <f t="shared" si="43"/>
        <v>MULTI-SIGNAL</v>
      </c>
      <c r="AC302" s="14" t="str">
        <f t="shared" si="44"/>
        <v>Settlement Authorization | Inactive Customer</v>
      </c>
    </row>
    <row r="303" spans="1:29" ht="28.5" x14ac:dyDescent="0.45">
      <c r="A303" s="2" t="s">
        <v>900</v>
      </c>
      <c r="B303" s="2" t="s">
        <v>901</v>
      </c>
      <c r="C303" s="2" t="s">
        <v>64</v>
      </c>
      <c r="D303" s="2" t="s">
        <v>298</v>
      </c>
      <c r="E303" s="11">
        <v>44677</v>
      </c>
      <c r="F303" s="12" t="s">
        <v>53</v>
      </c>
      <c r="G303" s="13"/>
      <c r="H303" s="12"/>
      <c r="I303" s="11"/>
      <c r="J303" s="12" t="s">
        <v>53</v>
      </c>
      <c r="K303" s="11"/>
      <c r="L303" s="12"/>
      <c r="M303" s="12" t="s">
        <v>53</v>
      </c>
      <c r="N303" s="11"/>
      <c r="O303" s="12"/>
      <c r="P303" s="12" t="s">
        <v>51</v>
      </c>
      <c r="Q303" s="14" t="s">
        <v>902</v>
      </c>
      <c r="R303" s="14"/>
      <c r="S303" s="12" t="s">
        <v>51</v>
      </c>
      <c r="T303" s="11">
        <v>45096</v>
      </c>
      <c r="U303" s="12" t="str">
        <f t="shared" si="36"/>
        <v>Y</v>
      </c>
      <c r="V303" s="12" t="str">
        <f t="shared" si="37"/>
        <v>N</v>
      </c>
      <c r="W303" s="12" t="str">
        <f t="shared" si="38"/>
        <v>Y</v>
      </c>
      <c r="X303" s="12" t="str">
        <f t="shared" si="39"/>
        <v>N</v>
      </c>
      <c r="Y303" s="12" t="str">
        <f t="shared" si="40"/>
        <v>N</v>
      </c>
      <c r="Z303" s="12" t="str">
        <f t="shared" si="41"/>
        <v>Y</v>
      </c>
      <c r="AA303" s="12">
        <f t="shared" si="42"/>
        <v>2</v>
      </c>
      <c r="AB303" s="12" t="str">
        <f t="shared" si="43"/>
        <v>MULTI-SIGNAL</v>
      </c>
      <c r="AC303" s="14" t="str">
        <f t="shared" si="44"/>
        <v>Automated Claim Alert | Inactive Customer</v>
      </c>
    </row>
    <row r="304" spans="1:29" ht="28.5" x14ac:dyDescent="0.45">
      <c r="A304" s="2" t="s">
        <v>903</v>
      </c>
      <c r="B304" s="2" t="s">
        <v>904</v>
      </c>
      <c r="C304" s="2" t="s">
        <v>64</v>
      </c>
      <c r="D304" s="2" t="s">
        <v>788</v>
      </c>
      <c r="E304" s="11">
        <v>45707</v>
      </c>
      <c r="F304" s="12" t="s">
        <v>53</v>
      </c>
      <c r="G304" s="13"/>
      <c r="H304" s="12"/>
      <c r="I304" s="11"/>
      <c r="J304" s="12" t="s">
        <v>53</v>
      </c>
      <c r="K304" s="11"/>
      <c r="L304" s="12"/>
      <c r="M304" s="12" t="s">
        <v>53</v>
      </c>
      <c r="N304" s="11"/>
      <c r="O304" s="12"/>
      <c r="P304" s="12" t="s">
        <v>51</v>
      </c>
      <c r="Q304" s="14" t="s">
        <v>657</v>
      </c>
      <c r="R304" s="14" t="s">
        <v>149</v>
      </c>
      <c r="S304" s="12" t="s">
        <v>53</v>
      </c>
      <c r="T304" s="11"/>
      <c r="U304" s="12" t="str">
        <f t="shared" si="36"/>
        <v>Y</v>
      </c>
      <c r="V304" s="12" t="str">
        <f t="shared" si="37"/>
        <v>Y</v>
      </c>
      <c r="W304" s="12" t="str">
        <f t="shared" si="38"/>
        <v>Y</v>
      </c>
      <c r="X304" s="12" t="str">
        <f t="shared" si="39"/>
        <v>N</v>
      </c>
      <c r="Y304" s="12" t="str">
        <f t="shared" si="40"/>
        <v>N</v>
      </c>
      <c r="Z304" s="12" t="str">
        <f t="shared" si="41"/>
        <v>Y</v>
      </c>
      <c r="AA304" s="12">
        <f t="shared" si="42"/>
        <v>1</v>
      </c>
      <c r="AB304" s="12" t="str">
        <f t="shared" si="43"/>
        <v>SINGLE-SIGNAL</v>
      </c>
      <c r="AC304" s="14" t="str">
        <f t="shared" si="44"/>
        <v>Automated Claim Alert</v>
      </c>
    </row>
    <row r="305" spans="1:29" x14ac:dyDescent="0.45">
      <c r="A305" s="2" t="s">
        <v>905</v>
      </c>
      <c r="B305" s="2" t="s">
        <v>906</v>
      </c>
      <c r="C305" s="2" t="s">
        <v>64</v>
      </c>
      <c r="D305" s="2" t="s">
        <v>907</v>
      </c>
      <c r="E305" s="11">
        <v>45234</v>
      </c>
      <c r="F305" s="12" t="s">
        <v>51</v>
      </c>
      <c r="G305" s="13">
        <v>140500</v>
      </c>
      <c r="H305" s="12" t="s">
        <v>78</v>
      </c>
      <c r="I305" s="11">
        <v>45830</v>
      </c>
      <c r="J305" s="12" t="s">
        <v>53</v>
      </c>
      <c r="K305" s="11"/>
      <c r="L305" s="12" t="s">
        <v>51</v>
      </c>
      <c r="M305" s="12" t="s">
        <v>53</v>
      </c>
      <c r="N305" s="11"/>
      <c r="O305" s="12"/>
      <c r="P305" s="12" t="s">
        <v>53</v>
      </c>
      <c r="Q305" s="14"/>
      <c r="R305" s="14"/>
      <c r="S305" s="12" t="s">
        <v>53</v>
      </c>
      <c r="T305" s="11"/>
      <c r="U305" s="12" t="str">
        <f t="shared" si="36"/>
        <v>N</v>
      </c>
      <c r="V305" s="12" t="str">
        <f t="shared" si="37"/>
        <v>N</v>
      </c>
      <c r="W305" s="12" t="str">
        <f t="shared" si="38"/>
        <v>N</v>
      </c>
      <c r="X305" s="12" t="str">
        <f t="shared" si="39"/>
        <v>N</v>
      </c>
      <c r="Y305" s="12" t="str">
        <f t="shared" si="40"/>
        <v>N</v>
      </c>
      <c r="Z305" s="12" t="str">
        <f t="shared" si="41"/>
        <v>N</v>
      </c>
      <c r="AA305" s="12">
        <f t="shared" si="42"/>
        <v>1</v>
      </c>
      <c r="AB305" s="12" t="str">
        <f t="shared" si="43"/>
        <v>SINGLE-SIGNAL</v>
      </c>
      <c r="AC305" s="14" t="str">
        <f t="shared" si="44"/>
        <v>Settlement Authorization</v>
      </c>
    </row>
    <row r="306" spans="1:29" x14ac:dyDescent="0.45">
      <c r="A306" s="2" t="s">
        <v>908</v>
      </c>
      <c r="B306" s="2" t="s">
        <v>909</v>
      </c>
      <c r="C306" s="2" t="s">
        <v>64</v>
      </c>
      <c r="D306" s="2" t="s">
        <v>189</v>
      </c>
      <c r="E306" s="11">
        <v>44755</v>
      </c>
      <c r="F306" s="12" t="s">
        <v>53</v>
      </c>
      <c r="G306" s="13"/>
      <c r="H306" s="12"/>
      <c r="I306" s="11"/>
      <c r="J306" s="12" t="s">
        <v>53</v>
      </c>
      <c r="K306" s="11"/>
      <c r="L306" s="12"/>
      <c r="M306" s="12" t="s">
        <v>53</v>
      </c>
      <c r="N306" s="11"/>
      <c r="O306" s="12"/>
      <c r="P306" s="12" t="s">
        <v>51</v>
      </c>
      <c r="Q306" s="14" t="s">
        <v>222</v>
      </c>
      <c r="R306" s="14"/>
      <c r="S306" s="12" t="s">
        <v>53</v>
      </c>
      <c r="T306" s="11"/>
      <c r="U306" s="12" t="str">
        <f t="shared" si="36"/>
        <v>N</v>
      </c>
      <c r="V306" s="12" t="str">
        <f t="shared" si="37"/>
        <v>N</v>
      </c>
      <c r="W306" s="12" t="str">
        <f t="shared" si="38"/>
        <v>N</v>
      </c>
      <c r="X306" s="12" t="str">
        <f t="shared" si="39"/>
        <v>N</v>
      </c>
      <c r="Y306" s="12" t="str">
        <f t="shared" si="40"/>
        <v>Y</v>
      </c>
      <c r="Z306" s="12" t="str">
        <f t="shared" si="41"/>
        <v>N</v>
      </c>
      <c r="AA306" s="12">
        <f t="shared" si="42"/>
        <v>1</v>
      </c>
      <c r="AB306" s="12" t="str">
        <f t="shared" si="43"/>
        <v>SINGLE-SIGNAL</v>
      </c>
      <c r="AC306" s="14" t="str">
        <f t="shared" si="44"/>
        <v>Automated Claim Alert</v>
      </c>
    </row>
    <row r="307" spans="1:29" x14ac:dyDescent="0.45">
      <c r="A307" s="2" t="s">
        <v>910</v>
      </c>
      <c r="B307" s="2" t="s">
        <v>911</v>
      </c>
      <c r="C307" s="2" t="s">
        <v>64</v>
      </c>
      <c r="D307" s="2" t="s">
        <v>912</v>
      </c>
      <c r="E307" s="11">
        <v>43895</v>
      </c>
      <c r="F307" s="12" t="s">
        <v>51</v>
      </c>
      <c r="G307" s="13">
        <v>132250</v>
      </c>
      <c r="H307" s="12" t="s">
        <v>71</v>
      </c>
      <c r="I307" s="11">
        <v>44574</v>
      </c>
      <c r="J307" s="12" t="s">
        <v>53</v>
      </c>
      <c r="K307" s="11"/>
      <c r="L307" s="12" t="s">
        <v>53</v>
      </c>
      <c r="M307" s="12" t="s">
        <v>53</v>
      </c>
      <c r="N307" s="11"/>
      <c r="O307" s="12"/>
      <c r="P307" s="12" t="s">
        <v>53</v>
      </c>
      <c r="Q307" s="14"/>
      <c r="R307" s="14"/>
      <c r="S307" s="12" t="s">
        <v>53</v>
      </c>
      <c r="T307" s="11"/>
      <c r="U307" s="12" t="str">
        <f t="shared" si="36"/>
        <v>N</v>
      </c>
      <c r="V307" s="12" t="str">
        <f t="shared" si="37"/>
        <v>N</v>
      </c>
      <c r="W307" s="12" t="str">
        <f t="shared" si="38"/>
        <v>N</v>
      </c>
      <c r="X307" s="12" t="str">
        <f t="shared" si="39"/>
        <v>N</v>
      </c>
      <c r="Y307" s="12" t="str">
        <f t="shared" si="40"/>
        <v>N</v>
      </c>
      <c r="Z307" s="12" t="str">
        <f t="shared" si="41"/>
        <v>N</v>
      </c>
      <c r="AA307" s="12">
        <f t="shared" si="42"/>
        <v>1</v>
      </c>
      <c r="AB307" s="12" t="str">
        <f t="shared" si="43"/>
        <v>SINGLE-SIGNAL</v>
      </c>
      <c r="AC307" s="14" t="str">
        <f t="shared" si="44"/>
        <v>Settlement Authorization</v>
      </c>
    </row>
    <row r="308" spans="1:29" x14ac:dyDescent="0.45">
      <c r="A308" s="2" t="s">
        <v>913</v>
      </c>
      <c r="B308" s="2" t="s">
        <v>914</v>
      </c>
      <c r="C308" s="2" t="s">
        <v>64</v>
      </c>
      <c r="D308" s="2" t="s">
        <v>158</v>
      </c>
      <c r="E308" s="11">
        <v>45070</v>
      </c>
      <c r="F308" s="12" t="s">
        <v>53</v>
      </c>
      <c r="G308" s="13"/>
      <c r="H308" s="12"/>
      <c r="I308" s="11"/>
      <c r="J308" s="12" t="s">
        <v>53</v>
      </c>
      <c r="K308" s="11"/>
      <c r="L308" s="12"/>
      <c r="M308" s="12" t="s">
        <v>53</v>
      </c>
      <c r="N308" s="11"/>
      <c r="O308" s="12"/>
      <c r="P308" s="12" t="s">
        <v>51</v>
      </c>
      <c r="Q308" s="14" t="s">
        <v>209</v>
      </c>
      <c r="R308" s="14" t="s">
        <v>149</v>
      </c>
      <c r="S308" s="12" t="s">
        <v>53</v>
      </c>
      <c r="T308" s="11"/>
      <c r="U308" s="12" t="str">
        <f t="shared" si="36"/>
        <v>Y</v>
      </c>
      <c r="V308" s="12" t="str">
        <f t="shared" si="37"/>
        <v>N</v>
      </c>
      <c r="W308" s="12" t="str">
        <f t="shared" si="38"/>
        <v>N</v>
      </c>
      <c r="X308" s="12" t="str">
        <f t="shared" si="39"/>
        <v>N</v>
      </c>
      <c r="Y308" s="12" t="str">
        <f t="shared" si="40"/>
        <v>N</v>
      </c>
      <c r="Z308" s="12" t="str">
        <f t="shared" si="41"/>
        <v>Y</v>
      </c>
      <c r="AA308" s="12">
        <f t="shared" si="42"/>
        <v>1</v>
      </c>
      <c r="AB308" s="12" t="str">
        <f t="shared" si="43"/>
        <v>SINGLE-SIGNAL</v>
      </c>
      <c r="AC308" s="14" t="str">
        <f t="shared" si="44"/>
        <v>Automated Claim Alert</v>
      </c>
    </row>
    <row r="309" spans="1:29" x14ac:dyDescent="0.45">
      <c r="A309" s="2" t="s">
        <v>915</v>
      </c>
      <c r="B309" s="2" t="s">
        <v>916</v>
      </c>
      <c r="C309" s="2" t="s">
        <v>64</v>
      </c>
      <c r="D309" s="2" t="s">
        <v>448</v>
      </c>
      <c r="E309" s="11">
        <v>43967</v>
      </c>
      <c r="F309" s="12" t="s">
        <v>53</v>
      </c>
      <c r="G309" s="13"/>
      <c r="H309" s="12"/>
      <c r="I309" s="11"/>
      <c r="J309" s="12" t="s">
        <v>51</v>
      </c>
      <c r="K309" s="11">
        <v>45068</v>
      </c>
      <c r="L309" s="12" t="s">
        <v>53</v>
      </c>
      <c r="M309" s="12" t="s">
        <v>53</v>
      </c>
      <c r="N309" s="11"/>
      <c r="O309" s="12"/>
      <c r="P309" s="12" t="s">
        <v>53</v>
      </c>
      <c r="Q309" s="14"/>
      <c r="R309" s="14"/>
      <c r="S309" s="12" t="s">
        <v>53</v>
      </c>
      <c r="T309" s="11"/>
      <c r="U309" s="12" t="str">
        <f t="shared" si="36"/>
        <v>N</v>
      </c>
      <c r="V309" s="12" t="str">
        <f t="shared" si="37"/>
        <v>N</v>
      </c>
      <c r="W309" s="12" t="str">
        <f t="shared" si="38"/>
        <v>N</v>
      </c>
      <c r="X309" s="12" t="str">
        <f t="shared" si="39"/>
        <v>N</v>
      </c>
      <c r="Y309" s="12" t="str">
        <f t="shared" si="40"/>
        <v>N</v>
      </c>
      <c r="Z309" s="12" t="str">
        <f t="shared" si="41"/>
        <v>N</v>
      </c>
      <c r="AA309" s="12">
        <f t="shared" si="42"/>
        <v>1</v>
      </c>
      <c r="AB309" s="12" t="str">
        <f t="shared" si="43"/>
        <v>SINGLE-SIGNAL</v>
      </c>
      <c r="AC309" s="14" t="str">
        <f t="shared" si="44"/>
        <v>Open Stipulation</v>
      </c>
    </row>
    <row r="310" spans="1:29" ht="28.5" x14ac:dyDescent="0.45">
      <c r="A310" s="2" t="s">
        <v>917</v>
      </c>
      <c r="B310" s="2" t="s">
        <v>918</v>
      </c>
      <c r="C310" s="2" t="s">
        <v>64</v>
      </c>
      <c r="D310" s="2" t="s">
        <v>96</v>
      </c>
      <c r="E310" s="11">
        <v>45953</v>
      </c>
      <c r="F310" s="12" t="s">
        <v>51</v>
      </c>
      <c r="G310" s="13">
        <v>70750</v>
      </c>
      <c r="H310" s="12" t="s">
        <v>242</v>
      </c>
      <c r="I310" s="11">
        <v>46697</v>
      </c>
      <c r="J310" s="12" t="s">
        <v>51</v>
      </c>
      <c r="K310" s="11">
        <v>47015</v>
      </c>
      <c r="L310" s="12" t="s">
        <v>53</v>
      </c>
      <c r="M310" s="12" t="s">
        <v>53</v>
      </c>
      <c r="N310" s="11"/>
      <c r="O310" s="12"/>
      <c r="P310" s="12" t="s">
        <v>51</v>
      </c>
      <c r="Q310" s="14" t="s">
        <v>919</v>
      </c>
      <c r="R310" s="14"/>
      <c r="S310" s="12" t="s">
        <v>51</v>
      </c>
      <c r="T310" s="11">
        <v>47919</v>
      </c>
      <c r="U310" s="12" t="str">
        <f t="shared" si="36"/>
        <v>N</v>
      </c>
      <c r="V310" s="12" t="str">
        <f t="shared" si="37"/>
        <v>Y</v>
      </c>
      <c r="W310" s="12" t="str">
        <f t="shared" si="38"/>
        <v>N</v>
      </c>
      <c r="X310" s="12" t="str">
        <f t="shared" si="39"/>
        <v>N</v>
      </c>
      <c r="Y310" s="12" t="str">
        <f t="shared" si="40"/>
        <v>Y</v>
      </c>
      <c r="Z310" s="12" t="str">
        <f t="shared" si="41"/>
        <v>Y</v>
      </c>
      <c r="AA310" s="12">
        <f t="shared" si="42"/>
        <v>4</v>
      </c>
      <c r="AB310" s="12" t="str">
        <f t="shared" si="43"/>
        <v>HIGH MULTI-SIGNAL</v>
      </c>
      <c r="AC310" s="14" t="str">
        <f t="shared" si="44"/>
        <v>Settlement Authorization | Open Stipulation | Automated Claim Alert | Inactive Customer</v>
      </c>
    </row>
    <row r="311" spans="1:29" x14ac:dyDescent="0.45">
      <c r="A311" s="2" t="s">
        <v>920</v>
      </c>
      <c r="B311" s="2" t="s">
        <v>921</v>
      </c>
      <c r="C311" s="2" t="s">
        <v>64</v>
      </c>
      <c r="D311" s="2" t="s">
        <v>922</v>
      </c>
      <c r="E311" s="11">
        <v>44515</v>
      </c>
      <c r="F311" s="12" t="s">
        <v>51</v>
      </c>
      <c r="G311" s="13">
        <v>141250</v>
      </c>
      <c r="H311" s="12" t="s">
        <v>66</v>
      </c>
      <c r="I311" s="11">
        <v>46312</v>
      </c>
      <c r="J311" s="12" t="s">
        <v>53</v>
      </c>
      <c r="K311" s="11"/>
      <c r="L311" s="12" t="s">
        <v>51</v>
      </c>
      <c r="M311" s="12" t="s">
        <v>53</v>
      </c>
      <c r="N311" s="11"/>
      <c r="O311" s="12"/>
      <c r="P311" s="12" t="s">
        <v>53</v>
      </c>
      <c r="Q311" s="14"/>
      <c r="R311" s="14"/>
      <c r="S311" s="12" t="s">
        <v>51</v>
      </c>
      <c r="T311" s="11">
        <v>46702</v>
      </c>
      <c r="U311" s="12" t="str">
        <f t="shared" si="36"/>
        <v>N</v>
      </c>
      <c r="V311" s="12" t="str">
        <f t="shared" si="37"/>
        <v>N</v>
      </c>
      <c r="W311" s="12" t="str">
        <f t="shared" si="38"/>
        <v>N</v>
      </c>
      <c r="X311" s="12" t="str">
        <f t="shared" si="39"/>
        <v>N</v>
      </c>
      <c r="Y311" s="12" t="str">
        <f t="shared" si="40"/>
        <v>N</v>
      </c>
      <c r="Z311" s="12" t="str">
        <f t="shared" si="41"/>
        <v>N</v>
      </c>
      <c r="AA311" s="12">
        <f t="shared" si="42"/>
        <v>2</v>
      </c>
      <c r="AB311" s="12" t="str">
        <f t="shared" si="43"/>
        <v>MULTI-SIGNAL</v>
      </c>
      <c r="AC311" s="14" t="str">
        <f t="shared" si="44"/>
        <v>Settlement Authorization | Inactive Customer</v>
      </c>
    </row>
    <row r="312" spans="1:29" x14ac:dyDescent="0.45">
      <c r="A312" s="2" t="s">
        <v>923</v>
      </c>
      <c r="B312" s="2" t="s">
        <v>924</v>
      </c>
      <c r="C312" s="2" t="s">
        <v>64</v>
      </c>
      <c r="D312" s="2" t="s">
        <v>652</v>
      </c>
      <c r="E312" s="11">
        <v>44738</v>
      </c>
      <c r="F312" s="12" t="s">
        <v>51</v>
      </c>
      <c r="G312" s="13">
        <v>163500</v>
      </c>
      <c r="H312" s="12" t="s">
        <v>71</v>
      </c>
      <c r="I312" s="11">
        <v>44931</v>
      </c>
      <c r="J312" s="12" t="s">
        <v>53</v>
      </c>
      <c r="K312" s="11"/>
      <c r="L312" s="12" t="s">
        <v>51</v>
      </c>
      <c r="M312" s="12" t="s">
        <v>53</v>
      </c>
      <c r="N312" s="11"/>
      <c r="O312" s="12"/>
      <c r="P312" s="12" t="s">
        <v>53</v>
      </c>
      <c r="Q312" s="14"/>
      <c r="R312" s="14"/>
      <c r="S312" s="12" t="s">
        <v>53</v>
      </c>
      <c r="T312" s="11"/>
      <c r="U312" s="12" t="str">
        <f t="shared" si="36"/>
        <v>N</v>
      </c>
      <c r="V312" s="12" t="str">
        <f t="shared" si="37"/>
        <v>N</v>
      </c>
      <c r="W312" s="12" t="str">
        <f t="shared" si="38"/>
        <v>N</v>
      </c>
      <c r="X312" s="12" t="str">
        <f t="shared" si="39"/>
        <v>N</v>
      </c>
      <c r="Y312" s="12" t="str">
        <f t="shared" si="40"/>
        <v>N</v>
      </c>
      <c r="Z312" s="12" t="str">
        <f t="shared" si="41"/>
        <v>N</v>
      </c>
      <c r="AA312" s="12">
        <f t="shared" si="42"/>
        <v>1</v>
      </c>
      <c r="AB312" s="12" t="str">
        <f t="shared" si="43"/>
        <v>SINGLE-SIGNAL</v>
      </c>
      <c r="AC312" s="14" t="str">
        <f t="shared" si="44"/>
        <v>Settlement Authorization</v>
      </c>
    </row>
    <row r="313" spans="1:29" x14ac:dyDescent="0.45">
      <c r="A313" s="2" t="s">
        <v>925</v>
      </c>
      <c r="B313" s="2" t="s">
        <v>926</v>
      </c>
      <c r="C313" s="2" t="s">
        <v>64</v>
      </c>
      <c r="D313" s="2" t="s">
        <v>927</v>
      </c>
      <c r="E313" s="11">
        <v>44674</v>
      </c>
      <c r="F313" s="12" t="s">
        <v>51</v>
      </c>
      <c r="G313" s="13">
        <v>40750</v>
      </c>
      <c r="H313" s="12" t="s">
        <v>71</v>
      </c>
      <c r="I313" s="11">
        <v>45698</v>
      </c>
      <c r="J313" s="12" t="s">
        <v>53</v>
      </c>
      <c r="K313" s="11"/>
      <c r="L313" s="12" t="s">
        <v>51</v>
      </c>
      <c r="M313" s="12" t="s">
        <v>53</v>
      </c>
      <c r="N313" s="11"/>
      <c r="O313" s="12"/>
      <c r="P313" s="12" t="s">
        <v>53</v>
      </c>
      <c r="Q313" s="14"/>
      <c r="R313" s="14"/>
      <c r="S313" s="12" t="s">
        <v>53</v>
      </c>
      <c r="T313" s="11"/>
      <c r="U313" s="12" t="str">
        <f t="shared" si="36"/>
        <v>N</v>
      </c>
      <c r="V313" s="12" t="str">
        <f t="shared" si="37"/>
        <v>N</v>
      </c>
      <c r="W313" s="12" t="str">
        <f t="shared" si="38"/>
        <v>N</v>
      </c>
      <c r="X313" s="12" t="str">
        <f t="shared" si="39"/>
        <v>N</v>
      </c>
      <c r="Y313" s="12" t="str">
        <f t="shared" si="40"/>
        <v>N</v>
      </c>
      <c r="Z313" s="12" t="str">
        <f t="shared" si="41"/>
        <v>N</v>
      </c>
      <c r="AA313" s="12">
        <f t="shared" si="42"/>
        <v>1</v>
      </c>
      <c r="AB313" s="12" t="str">
        <f t="shared" si="43"/>
        <v>SINGLE-SIGNAL</v>
      </c>
      <c r="AC313" s="14" t="str">
        <f t="shared" si="44"/>
        <v>Settlement Authorization</v>
      </c>
    </row>
    <row r="314" spans="1:29" x14ac:dyDescent="0.45">
      <c r="A314" s="2" t="s">
        <v>928</v>
      </c>
      <c r="B314" s="2" t="s">
        <v>929</v>
      </c>
      <c r="C314" s="2" t="s">
        <v>64</v>
      </c>
      <c r="D314" s="2" t="s">
        <v>930</v>
      </c>
      <c r="E314" s="11">
        <v>43496</v>
      </c>
      <c r="F314" s="12" t="s">
        <v>51</v>
      </c>
      <c r="G314" s="13">
        <v>3750</v>
      </c>
      <c r="H314" s="12" t="s">
        <v>89</v>
      </c>
      <c r="I314" s="11">
        <v>43881</v>
      </c>
      <c r="J314" s="12" t="s">
        <v>53</v>
      </c>
      <c r="K314" s="11"/>
      <c r="L314" s="12" t="s">
        <v>53</v>
      </c>
      <c r="M314" s="12" t="s">
        <v>53</v>
      </c>
      <c r="N314" s="11"/>
      <c r="O314" s="12"/>
      <c r="P314" s="12" t="s">
        <v>53</v>
      </c>
      <c r="Q314" s="14"/>
      <c r="R314" s="14"/>
      <c r="S314" s="12" t="s">
        <v>53</v>
      </c>
      <c r="T314" s="11"/>
      <c r="U314" s="12" t="str">
        <f t="shared" si="36"/>
        <v>N</v>
      </c>
      <c r="V314" s="12" t="str">
        <f t="shared" si="37"/>
        <v>N</v>
      </c>
      <c r="W314" s="12" t="str">
        <f t="shared" si="38"/>
        <v>N</v>
      </c>
      <c r="X314" s="12" t="str">
        <f t="shared" si="39"/>
        <v>N</v>
      </c>
      <c r="Y314" s="12" t="str">
        <f t="shared" si="40"/>
        <v>N</v>
      </c>
      <c r="Z314" s="12" t="str">
        <f t="shared" si="41"/>
        <v>N</v>
      </c>
      <c r="AA314" s="12">
        <f t="shared" si="42"/>
        <v>1</v>
      </c>
      <c r="AB314" s="12" t="str">
        <f t="shared" si="43"/>
        <v>SINGLE-SIGNAL</v>
      </c>
      <c r="AC314" s="14" t="str">
        <f t="shared" si="44"/>
        <v>Settlement Authorization</v>
      </c>
    </row>
    <row r="315" spans="1:29" x14ac:dyDescent="0.45">
      <c r="A315" s="2" t="s">
        <v>931</v>
      </c>
      <c r="B315" s="2" t="s">
        <v>932</v>
      </c>
      <c r="C315" s="2" t="s">
        <v>64</v>
      </c>
      <c r="D315" s="2" t="s">
        <v>933</v>
      </c>
      <c r="E315" s="11">
        <v>44902</v>
      </c>
      <c r="F315" s="12" t="s">
        <v>53</v>
      </c>
      <c r="G315" s="13"/>
      <c r="H315" s="12"/>
      <c r="I315" s="11"/>
      <c r="J315" s="12" t="s">
        <v>51</v>
      </c>
      <c r="K315" s="11">
        <v>44983</v>
      </c>
      <c r="L315" s="12" t="s">
        <v>51</v>
      </c>
      <c r="M315" s="12" t="s">
        <v>53</v>
      </c>
      <c r="N315" s="11"/>
      <c r="O315" s="12"/>
      <c r="P315" s="12" t="s">
        <v>53</v>
      </c>
      <c r="Q315" s="14"/>
      <c r="R315" s="14"/>
      <c r="S315" s="12" t="s">
        <v>51</v>
      </c>
      <c r="T315" s="11">
        <v>46188</v>
      </c>
      <c r="U315" s="12" t="str">
        <f t="shared" si="36"/>
        <v>N</v>
      </c>
      <c r="V315" s="12" t="str">
        <f t="shared" si="37"/>
        <v>N</v>
      </c>
      <c r="W315" s="12" t="str">
        <f t="shared" si="38"/>
        <v>N</v>
      </c>
      <c r="X315" s="12" t="str">
        <f t="shared" si="39"/>
        <v>N</v>
      </c>
      <c r="Y315" s="12" t="str">
        <f t="shared" si="40"/>
        <v>N</v>
      </c>
      <c r="Z315" s="12" t="str">
        <f t="shared" si="41"/>
        <v>N</v>
      </c>
      <c r="AA315" s="12">
        <f t="shared" si="42"/>
        <v>2</v>
      </c>
      <c r="AB315" s="12" t="str">
        <f t="shared" si="43"/>
        <v>MULTI-SIGNAL</v>
      </c>
      <c r="AC315" s="14" t="str">
        <f t="shared" si="44"/>
        <v>Open Stipulation | Inactive Customer</v>
      </c>
    </row>
    <row r="316" spans="1:29" x14ac:dyDescent="0.45">
      <c r="A316" s="2" t="s">
        <v>934</v>
      </c>
      <c r="B316" s="2" t="s">
        <v>935</v>
      </c>
      <c r="C316" s="2" t="s">
        <v>64</v>
      </c>
      <c r="D316" s="2" t="s">
        <v>164</v>
      </c>
      <c r="E316" s="11">
        <v>43255</v>
      </c>
      <c r="F316" s="12" t="s">
        <v>53</v>
      </c>
      <c r="G316" s="13"/>
      <c r="H316" s="12"/>
      <c r="I316" s="11"/>
      <c r="J316" s="12" t="s">
        <v>53</v>
      </c>
      <c r="K316" s="11"/>
      <c r="L316" s="12"/>
      <c r="M316" s="12" t="s">
        <v>53</v>
      </c>
      <c r="N316" s="11"/>
      <c r="O316" s="12"/>
      <c r="P316" s="12" t="s">
        <v>53</v>
      </c>
      <c r="Q316" s="14"/>
      <c r="R316" s="14"/>
      <c r="S316" s="12" t="s">
        <v>51</v>
      </c>
      <c r="T316" s="11">
        <v>43833</v>
      </c>
      <c r="U316" s="12" t="str">
        <f t="shared" si="36"/>
        <v>N</v>
      </c>
      <c r="V316" s="12" t="str">
        <f t="shared" si="37"/>
        <v>N</v>
      </c>
      <c r="W316" s="12" t="str">
        <f t="shared" si="38"/>
        <v>N</v>
      </c>
      <c r="X316" s="12" t="str">
        <f t="shared" si="39"/>
        <v>N</v>
      </c>
      <c r="Y316" s="12" t="str">
        <f t="shared" si="40"/>
        <v>N</v>
      </c>
      <c r="Z316" s="12" t="str">
        <f t="shared" si="41"/>
        <v>N</v>
      </c>
      <c r="AA316" s="12">
        <f t="shared" si="42"/>
        <v>1</v>
      </c>
      <c r="AB316" s="12" t="str">
        <f t="shared" si="43"/>
        <v>SINGLE-SIGNAL</v>
      </c>
      <c r="AC316" s="14" t="str">
        <f t="shared" si="44"/>
        <v>Inactive Customer</v>
      </c>
    </row>
    <row r="317" spans="1:29" x14ac:dyDescent="0.45">
      <c r="A317" s="2" t="s">
        <v>936</v>
      </c>
      <c r="B317" s="2" t="s">
        <v>937</v>
      </c>
      <c r="C317" s="2" t="s">
        <v>64</v>
      </c>
      <c r="D317" s="2" t="s">
        <v>938</v>
      </c>
      <c r="E317" s="11">
        <v>44011</v>
      </c>
      <c r="F317" s="12" t="s">
        <v>51</v>
      </c>
      <c r="G317" s="13">
        <v>166500</v>
      </c>
      <c r="H317" s="12" t="s">
        <v>116</v>
      </c>
      <c r="I317" s="11">
        <v>45316</v>
      </c>
      <c r="J317" s="12" t="s">
        <v>53</v>
      </c>
      <c r="K317" s="11"/>
      <c r="L317" s="12" t="s">
        <v>53</v>
      </c>
      <c r="M317" s="12" t="s">
        <v>53</v>
      </c>
      <c r="N317" s="11"/>
      <c r="O317" s="12"/>
      <c r="P317" s="12" t="s">
        <v>53</v>
      </c>
      <c r="Q317" s="14"/>
      <c r="R317" s="14"/>
      <c r="S317" s="12" t="s">
        <v>51</v>
      </c>
      <c r="T317" s="11">
        <v>45424</v>
      </c>
      <c r="U317" s="12" t="str">
        <f t="shared" si="36"/>
        <v>N</v>
      </c>
      <c r="V317" s="12" t="str">
        <f t="shared" si="37"/>
        <v>N</v>
      </c>
      <c r="W317" s="12" t="str">
        <f t="shared" si="38"/>
        <v>N</v>
      </c>
      <c r="X317" s="12" t="str">
        <f t="shared" si="39"/>
        <v>N</v>
      </c>
      <c r="Y317" s="12" t="str">
        <f t="shared" si="40"/>
        <v>N</v>
      </c>
      <c r="Z317" s="12" t="str">
        <f t="shared" si="41"/>
        <v>N</v>
      </c>
      <c r="AA317" s="12">
        <f t="shared" si="42"/>
        <v>2</v>
      </c>
      <c r="AB317" s="12" t="str">
        <f t="shared" si="43"/>
        <v>MULTI-SIGNAL</v>
      </c>
      <c r="AC317" s="14" t="str">
        <f t="shared" si="44"/>
        <v>Settlement Authorization | Inactive Customer</v>
      </c>
    </row>
    <row r="318" spans="1:29" x14ac:dyDescent="0.45">
      <c r="A318" s="2" t="s">
        <v>939</v>
      </c>
      <c r="B318" s="2" t="s">
        <v>940</v>
      </c>
      <c r="C318" s="2" t="s">
        <v>64</v>
      </c>
      <c r="D318" s="2" t="s">
        <v>344</v>
      </c>
      <c r="E318" s="11">
        <v>44546</v>
      </c>
      <c r="F318" s="12" t="s">
        <v>53</v>
      </c>
      <c r="G318" s="13"/>
      <c r="H318" s="12"/>
      <c r="I318" s="11"/>
      <c r="J318" s="12" t="s">
        <v>53</v>
      </c>
      <c r="K318" s="11"/>
      <c r="L318" s="12"/>
      <c r="M318" s="12" t="s">
        <v>51</v>
      </c>
      <c r="N318" s="11">
        <v>45128</v>
      </c>
      <c r="O318" s="12" t="s">
        <v>941</v>
      </c>
      <c r="P318" s="12" t="s">
        <v>53</v>
      </c>
      <c r="Q318" s="14"/>
      <c r="R318" s="14"/>
      <c r="S318" s="12" t="s">
        <v>53</v>
      </c>
      <c r="T318" s="11"/>
      <c r="U318" s="12" t="str">
        <f t="shared" si="36"/>
        <v>N</v>
      </c>
      <c r="V318" s="12" t="str">
        <f t="shared" si="37"/>
        <v>N</v>
      </c>
      <c r="W318" s="12" t="str">
        <f t="shared" si="38"/>
        <v>N</v>
      </c>
      <c r="X318" s="12" t="str">
        <f t="shared" si="39"/>
        <v>N</v>
      </c>
      <c r="Y318" s="12" t="str">
        <f t="shared" si="40"/>
        <v>N</v>
      </c>
      <c r="Z318" s="12" t="str">
        <f t="shared" si="41"/>
        <v>N</v>
      </c>
      <c r="AA318" s="12">
        <f t="shared" si="42"/>
        <v>1</v>
      </c>
      <c r="AB318" s="12" t="str">
        <f t="shared" si="43"/>
        <v>SINGLE-SIGNAL</v>
      </c>
      <c r="AC318" s="14" t="str">
        <f t="shared" si="44"/>
        <v>Pending QME</v>
      </c>
    </row>
    <row r="319" spans="1:29" x14ac:dyDescent="0.45">
      <c r="A319" s="2" t="s">
        <v>942</v>
      </c>
      <c r="B319" s="2" t="s">
        <v>943</v>
      </c>
      <c r="C319" s="2" t="s">
        <v>64</v>
      </c>
      <c r="D319" s="2" t="s">
        <v>274</v>
      </c>
      <c r="E319" s="11">
        <v>43539</v>
      </c>
      <c r="F319" s="12" t="s">
        <v>51</v>
      </c>
      <c r="G319" s="13">
        <v>44500</v>
      </c>
      <c r="H319" s="12" t="s">
        <v>116</v>
      </c>
      <c r="I319" s="11">
        <v>44608</v>
      </c>
      <c r="J319" s="12" t="s">
        <v>53</v>
      </c>
      <c r="K319" s="11"/>
      <c r="L319" s="12" t="s">
        <v>53</v>
      </c>
      <c r="M319" s="12" t="s">
        <v>53</v>
      </c>
      <c r="N319" s="11"/>
      <c r="O319" s="12"/>
      <c r="P319" s="12" t="s">
        <v>53</v>
      </c>
      <c r="Q319" s="14"/>
      <c r="R319" s="14"/>
      <c r="S319" s="12" t="s">
        <v>51</v>
      </c>
      <c r="T319" s="11">
        <v>44208</v>
      </c>
      <c r="U319" s="12" t="str">
        <f t="shared" si="36"/>
        <v>N</v>
      </c>
      <c r="V319" s="12" t="str">
        <f t="shared" si="37"/>
        <v>N</v>
      </c>
      <c r="W319" s="12" t="str">
        <f t="shared" si="38"/>
        <v>N</v>
      </c>
      <c r="X319" s="12" t="str">
        <f t="shared" si="39"/>
        <v>N</v>
      </c>
      <c r="Y319" s="12" t="str">
        <f t="shared" si="40"/>
        <v>N</v>
      </c>
      <c r="Z319" s="12" t="str">
        <f t="shared" si="41"/>
        <v>N</v>
      </c>
      <c r="AA319" s="12">
        <f t="shared" si="42"/>
        <v>2</v>
      </c>
      <c r="AB319" s="12" t="str">
        <f t="shared" si="43"/>
        <v>MULTI-SIGNAL</v>
      </c>
      <c r="AC319" s="14" t="str">
        <f t="shared" si="44"/>
        <v>Settlement Authorization | Inactive Customer</v>
      </c>
    </row>
    <row r="320" spans="1:29" x14ac:dyDescent="0.45">
      <c r="A320" s="2" t="s">
        <v>944</v>
      </c>
      <c r="B320" s="2" t="s">
        <v>945</v>
      </c>
      <c r="C320" s="2" t="s">
        <v>64</v>
      </c>
      <c r="D320" s="2" t="s">
        <v>397</v>
      </c>
      <c r="E320" s="11">
        <v>43171</v>
      </c>
      <c r="F320" s="12" t="s">
        <v>53</v>
      </c>
      <c r="G320" s="13"/>
      <c r="H320" s="12"/>
      <c r="I320" s="11"/>
      <c r="J320" s="12" t="s">
        <v>53</v>
      </c>
      <c r="K320" s="11"/>
      <c r="L320" s="12"/>
      <c r="M320" s="12" t="s">
        <v>53</v>
      </c>
      <c r="N320" s="11"/>
      <c r="O320" s="12"/>
      <c r="P320" s="12" t="s">
        <v>53</v>
      </c>
      <c r="Q320" s="14"/>
      <c r="R320" s="14"/>
      <c r="S320" s="12" t="s">
        <v>51</v>
      </c>
      <c r="T320" s="11">
        <v>44236</v>
      </c>
      <c r="U320" s="12" t="str">
        <f t="shared" si="36"/>
        <v>N</v>
      </c>
      <c r="V320" s="12" t="str">
        <f t="shared" si="37"/>
        <v>N</v>
      </c>
      <c r="W320" s="12" t="str">
        <f t="shared" si="38"/>
        <v>N</v>
      </c>
      <c r="X320" s="12" t="str">
        <f t="shared" si="39"/>
        <v>N</v>
      </c>
      <c r="Y320" s="12" t="str">
        <f t="shared" si="40"/>
        <v>N</v>
      </c>
      <c r="Z320" s="12" t="str">
        <f t="shared" si="41"/>
        <v>N</v>
      </c>
      <c r="AA320" s="12">
        <f t="shared" si="42"/>
        <v>1</v>
      </c>
      <c r="AB320" s="12" t="str">
        <f t="shared" si="43"/>
        <v>SINGLE-SIGNAL</v>
      </c>
      <c r="AC320" s="14" t="str">
        <f t="shared" si="44"/>
        <v>Inactive Customer</v>
      </c>
    </row>
    <row r="321" spans="1:29" x14ac:dyDescent="0.45">
      <c r="A321" s="2" t="s">
        <v>946</v>
      </c>
      <c r="B321" s="2" t="s">
        <v>947</v>
      </c>
      <c r="C321" s="2" t="s">
        <v>64</v>
      </c>
      <c r="D321" s="2" t="s">
        <v>652</v>
      </c>
      <c r="E321" s="11">
        <v>45440</v>
      </c>
      <c r="F321" s="12" t="s">
        <v>53</v>
      </c>
      <c r="G321" s="13"/>
      <c r="H321" s="12"/>
      <c r="I321" s="11"/>
      <c r="J321" s="12" t="s">
        <v>53</v>
      </c>
      <c r="K321" s="11"/>
      <c r="L321" s="12"/>
      <c r="M321" s="12" t="s">
        <v>53</v>
      </c>
      <c r="N321" s="11"/>
      <c r="O321" s="12"/>
      <c r="P321" s="12" t="s">
        <v>51</v>
      </c>
      <c r="Q321" s="14" t="s">
        <v>149</v>
      </c>
      <c r="R321" s="14"/>
      <c r="S321" s="12" t="s">
        <v>53</v>
      </c>
      <c r="T321" s="11"/>
      <c r="U321" s="12" t="str">
        <f t="shared" si="36"/>
        <v>N</v>
      </c>
      <c r="V321" s="12" t="str">
        <f t="shared" si="37"/>
        <v>N</v>
      </c>
      <c r="W321" s="12" t="str">
        <f t="shared" si="38"/>
        <v>N</v>
      </c>
      <c r="X321" s="12" t="str">
        <f t="shared" si="39"/>
        <v>N</v>
      </c>
      <c r="Y321" s="12" t="str">
        <f t="shared" si="40"/>
        <v>N</v>
      </c>
      <c r="Z321" s="12" t="str">
        <f t="shared" si="41"/>
        <v>Y</v>
      </c>
      <c r="AA321" s="12">
        <f t="shared" si="42"/>
        <v>1</v>
      </c>
      <c r="AB321" s="12" t="str">
        <f t="shared" si="43"/>
        <v>SINGLE-SIGNAL</v>
      </c>
      <c r="AC321" s="14" t="str">
        <f t="shared" si="44"/>
        <v>Automated Claim Alert</v>
      </c>
    </row>
    <row r="322" spans="1:29" x14ac:dyDescent="0.45">
      <c r="A322" s="2" t="s">
        <v>948</v>
      </c>
      <c r="B322" s="2" t="s">
        <v>949</v>
      </c>
      <c r="C322" s="2" t="s">
        <v>64</v>
      </c>
      <c r="D322" s="2" t="s">
        <v>500</v>
      </c>
      <c r="E322" s="11">
        <v>44240</v>
      </c>
      <c r="F322" s="12" t="s">
        <v>53</v>
      </c>
      <c r="G322" s="13"/>
      <c r="H322" s="12"/>
      <c r="I322" s="11"/>
      <c r="J322" s="12" t="s">
        <v>51</v>
      </c>
      <c r="K322" s="11">
        <v>44550</v>
      </c>
      <c r="L322" s="12" t="s">
        <v>53</v>
      </c>
      <c r="M322" s="12" t="s">
        <v>53</v>
      </c>
      <c r="N322" s="11"/>
      <c r="O322" s="12"/>
      <c r="P322" s="12" t="s">
        <v>53</v>
      </c>
      <c r="Q322" s="14"/>
      <c r="R322" s="14"/>
      <c r="S322" s="12" t="s">
        <v>53</v>
      </c>
      <c r="T322" s="11"/>
      <c r="U322" s="12" t="str">
        <f t="shared" ref="U322:U385" si="45">IF(ISNUMBER(SEARCH("SURGERY",Q322&amp;" "&amp;R322)),"Y","N")</f>
        <v>N</v>
      </c>
      <c r="V322" s="12" t="str">
        <f t="shared" ref="V322:V385" si="46">IF(ISNUMBER(SEARCH("MMI",Q322&amp;" "&amp;R322)),"Y","N")</f>
        <v>N</v>
      </c>
      <c r="W322" s="12" t="str">
        <f t="shared" ref="W322:W385" si="47">IF(ISNUMBER(SEARCH("DENIED TREATMENT",Q322&amp;" "&amp;R322)),"Y","N")</f>
        <v>N</v>
      </c>
      <c r="X322" s="12" t="str">
        <f t="shared" ref="X322:X385" si="48">IF(ISNUMBER(SEARCH("SPECIALIST CONSULTATION",Q322&amp;" "&amp;R322)),"Y","N")</f>
        <v>N</v>
      </c>
      <c r="Y322" s="12" t="str">
        <f t="shared" ref="Y322:Y385" si="49">IF(ISNUMBER(SEARCH("NON-RENEWED ACCOUNT",Q322&amp;" "&amp;R322)),"Y","N")</f>
        <v>N</v>
      </c>
      <c r="Z322" s="12" t="str">
        <f t="shared" ref="Z322:Z385" si="50">IF(ISNUMBER(SEARCH("MSA ELIGIBLE",Q322&amp;" "&amp;R322)),"Y","N")</f>
        <v>N</v>
      </c>
      <c r="AA322" s="12">
        <f t="shared" ref="AA322:AA385" si="51">COUNTIF(F322,"Y")+COUNTIF(J322,"Y")+COUNTIF(M322,"Y")+COUNTIF(P322,"Y")+COUNTIF(S322,"Y")</f>
        <v>1</v>
      </c>
      <c r="AB322" s="12" t="str">
        <f t="shared" ref="AB322:AB385" si="52">IF(AA322=5,"MAXIMUM MULTI-SIGNAL",IF(AA322=4,"HIGH MULTI-SIGNAL",IF(AA322=3,"ELEVATED MULTI-SIGNAL",IF(AA322=2,"MULTI-SIGNAL","SINGLE-SIGNAL"))))</f>
        <v>SINGLE-SIGNAL</v>
      </c>
      <c r="AC322" s="14" t="str">
        <f t="shared" ref="AC322:AC385" si="53">IF(F322="Y","Settlement Authorization","")&amp;IF(J322="Y",IF(F322="Y"," | ","")&amp;"Open Stipulation","")&amp;IF(M322="Y",IF(OR(F322="Y",J322="Y")," | ","")&amp;"Pending QME","")&amp;IF(P322="Y",IF(OR(F322="Y",J322="Y",M322="Y")," | ","")&amp;"Automated Claim Alert","")&amp;IF(S322="Y",IF(OR(F322="Y",J322="Y",M322="Y",P322="Y")," | ","")&amp;"Inactive Customer","")</f>
        <v>Open Stipulation</v>
      </c>
    </row>
    <row r="323" spans="1:29" x14ac:dyDescent="0.45">
      <c r="A323" s="2" t="s">
        <v>950</v>
      </c>
      <c r="B323" s="2" t="s">
        <v>951</v>
      </c>
      <c r="C323" s="2" t="s">
        <v>64</v>
      </c>
      <c r="D323" s="2" t="s">
        <v>384</v>
      </c>
      <c r="E323" s="11">
        <v>45923</v>
      </c>
      <c r="F323" s="12" t="s">
        <v>51</v>
      </c>
      <c r="G323" s="13">
        <v>129000</v>
      </c>
      <c r="H323" s="12" t="s">
        <v>93</v>
      </c>
      <c r="I323" s="11">
        <v>46391</v>
      </c>
      <c r="J323" s="12" t="s">
        <v>53</v>
      </c>
      <c r="K323" s="11"/>
      <c r="L323" s="12" t="s">
        <v>51</v>
      </c>
      <c r="M323" s="12" t="s">
        <v>53</v>
      </c>
      <c r="N323" s="11"/>
      <c r="O323" s="12"/>
      <c r="P323" s="12" t="s">
        <v>53</v>
      </c>
      <c r="Q323" s="14"/>
      <c r="R323" s="14"/>
      <c r="S323" s="12" t="s">
        <v>53</v>
      </c>
      <c r="T323" s="11"/>
      <c r="U323" s="12" t="str">
        <f t="shared" si="45"/>
        <v>N</v>
      </c>
      <c r="V323" s="12" t="str">
        <f t="shared" si="46"/>
        <v>N</v>
      </c>
      <c r="W323" s="12" t="str">
        <f t="shared" si="47"/>
        <v>N</v>
      </c>
      <c r="X323" s="12" t="str">
        <f t="shared" si="48"/>
        <v>N</v>
      </c>
      <c r="Y323" s="12" t="str">
        <f t="shared" si="49"/>
        <v>N</v>
      </c>
      <c r="Z323" s="12" t="str">
        <f t="shared" si="50"/>
        <v>N</v>
      </c>
      <c r="AA323" s="12">
        <f t="shared" si="51"/>
        <v>1</v>
      </c>
      <c r="AB323" s="12" t="str">
        <f t="shared" si="52"/>
        <v>SINGLE-SIGNAL</v>
      </c>
      <c r="AC323" s="14" t="str">
        <f t="shared" si="53"/>
        <v>Settlement Authorization</v>
      </c>
    </row>
    <row r="324" spans="1:29" ht="28.5" x14ac:dyDescent="0.45">
      <c r="A324" s="2" t="s">
        <v>952</v>
      </c>
      <c r="B324" s="2" t="s">
        <v>953</v>
      </c>
      <c r="C324" s="2" t="s">
        <v>64</v>
      </c>
      <c r="D324" s="2" t="s">
        <v>306</v>
      </c>
      <c r="E324" s="11">
        <v>45901</v>
      </c>
      <c r="F324" s="12" t="s">
        <v>51</v>
      </c>
      <c r="G324" s="13">
        <v>71500</v>
      </c>
      <c r="H324" s="12" t="s">
        <v>85</v>
      </c>
      <c r="I324" s="11">
        <v>47428</v>
      </c>
      <c r="J324" s="12" t="s">
        <v>53</v>
      </c>
      <c r="K324" s="11"/>
      <c r="L324" s="12" t="s">
        <v>51</v>
      </c>
      <c r="M324" s="12" t="s">
        <v>53</v>
      </c>
      <c r="N324" s="11"/>
      <c r="O324" s="12"/>
      <c r="P324" s="12" t="s">
        <v>51</v>
      </c>
      <c r="Q324" s="14" t="s">
        <v>402</v>
      </c>
      <c r="R324" s="14" t="s">
        <v>209</v>
      </c>
      <c r="S324" s="12" t="s">
        <v>53</v>
      </c>
      <c r="T324" s="11"/>
      <c r="U324" s="12" t="str">
        <f t="shared" si="45"/>
        <v>Y</v>
      </c>
      <c r="V324" s="12" t="str">
        <f t="shared" si="46"/>
        <v>Y</v>
      </c>
      <c r="W324" s="12" t="str">
        <f t="shared" si="47"/>
        <v>N</v>
      </c>
      <c r="X324" s="12" t="str">
        <f t="shared" si="48"/>
        <v>Y</v>
      </c>
      <c r="Y324" s="12" t="str">
        <f t="shared" si="49"/>
        <v>N</v>
      </c>
      <c r="Z324" s="12" t="str">
        <f t="shared" si="50"/>
        <v>N</v>
      </c>
      <c r="AA324" s="12">
        <f t="shared" si="51"/>
        <v>2</v>
      </c>
      <c r="AB324" s="12" t="str">
        <f t="shared" si="52"/>
        <v>MULTI-SIGNAL</v>
      </c>
      <c r="AC324" s="14" t="str">
        <f t="shared" si="53"/>
        <v>Settlement Authorization | Automated Claim Alert</v>
      </c>
    </row>
    <row r="325" spans="1:29" x14ac:dyDescent="0.45">
      <c r="A325" s="2" t="s">
        <v>954</v>
      </c>
      <c r="B325" s="2" t="s">
        <v>955</v>
      </c>
      <c r="C325" s="2" t="s">
        <v>64</v>
      </c>
      <c r="D325" s="2" t="s">
        <v>212</v>
      </c>
      <c r="E325" s="11">
        <v>43445</v>
      </c>
      <c r="F325" s="12" t="s">
        <v>51</v>
      </c>
      <c r="G325" s="13">
        <v>170750</v>
      </c>
      <c r="H325" s="12" t="s">
        <v>242</v>
      </c>
      <c r="I325" s="11">
        <v>44793</v>
      </c>
      <c r="J325" s="12" t="s">
        <v>53</v>
      </c>
      <c r="K325" s="11"/>
      <c r="L325" s="12" t="s">
        <v>53</v>
      </c>
      <c r="M325" s="12" t="s">
        <v>53</v>
      </c>
      <c r="N325" s="11"/>
      <c r="O325" s="12"/>
      <c r="P325" s="12" t="s">
        <v>53</v>
      </c>
      <c r="Q325" s="14"/>
      <c r="R325" s="14"/>
      <c r="S325" s="12" t="s">
        <v>51</v>
      </c>
      <c r="T325" s="11">
        <v>43984</v>
      </c>
      <c r="U325" s="12" t="str">
        <f t="shared" si="45"/>
        <v>N</v>
      </c>
      <c r="V325" s="12" t="str">
        <f t="shared" si="46"/>
        <v>N</v>
      </c>
      <c r="W325" s="12" t="str">
        <f t="shared" si="47"/>
        <v>N</v>
      </c>
      <c r="X325" s="12" t="str">
        <f t="shared" si="48"/>
        <v>N</v>
      </c>
      <c r="Y325" s="12" t="str">
        <f t="shared" si="49"/>
        <v>N</v>
      </c>
      <c r="Z325" s="12" t="str">
        <f t="shared" si="50"/>
        <v>N</v>
      </c>
      <c r="AA325" s="12">
        <f t="shared" si="51"/>
        <v>2</v>
      </c>
      <c r="AB325" s="12" t="str">
        <f t="shared" si="52"/>
        <v>MULTI-SIGNAL</v>
      </c>
      <c r="AC325" s="14" t="str">
        <f t="shared" si="53"/>
        <v>Settlement Authorization | Inactive Customer</v>
      </c>
    </row>
    <row r="326" spans="1:29" x14ac:dyDescent="0.45">
      <c r="A326" s="2" t="s">
        <v>956</v>
      </c>
      <c r="B326" s="2" t="s">
        <v>957</v>
      </c>
      <c r="C326" s="2" t="s">
        <v>64</v>
      </c>
      <c r="D326" s="2" t="s">
        <v>500</v>
      </c>
      <c r="E326" s="11">
        <v>45244</v>
      </c>
      <c r="F326" s="12" t="s">
        <v>51</v>
      </c>
      <c r="G326" s="13">
        <v>87000</v>
      </c>
      <c r="H326" s="12" t="s">
        <v>78</v>
      </c>
      <c r="I326" s="11">
        <v>46205</v>
      </c>
      <c r="J326" s="12" t="s">
        <v>53</v>
      </c>
      <c r="K326" s="11"/>
      <c r="L326" s="12" t="s">
        <v>51</v>
      </c>
      <c r="M326" s="12" t="s">
        <v>53</v>
      </c>
      <c r="N326" s="11"/>
      <c r="O326" s="12"/>
      <c r="P326" s="12" t="s">
        <v>53</v>
      </c>
      <c r="Q326" s="14"/>
      <c r="R326" s="14"/>
      <c r="S326" s="12" t="s">
        <v>53</v>
      </c>
      <c r="T326" s="11"/>
      <c r="U326" s="12" t="str">
        <f t="shared" si="45"/>
        <v>N</v>
      </c>
      <c r="V326" s="12" t="str">
        <f t="shared" si="46"/>
        <v>N</v>
      </c>
      <c r="W326" s="12" t="str">
        <f t="shared" si="47"/>
        <v>N</v>
      </c>
      <c r="X326" s="12" t="str">
        <f t="shared" si="48"/>
        <v>N</v>
      </c>
      <c r="Y326" s="12" t="str">
        <f t="shared" si="49"/>
        <v>N</v>
      </c>
      <c r="Z326" s="12" t="str">
        <f t="shared" si="50"/>
        <v>N</v>
      </c>
      <c r="AA326" s="12">
        <f t="shared" si="51"/>
        <v>1</v>
      </c>
      <c r="AB326" s="12" t="str">
        <f t="shared" si="52"/>
        <v>SINGLE-SIGNAL</v>
      </c>
      <c r="AC326" s="14" t="str">
        <f t="shared" si="53"/>
        <v>Settlement Authorization</v>
      </c>
    </row>
    <row r="327" spans="1:29" x14ac:dyDescent="0.45">
      <c r="A327" s="2" t="s">
        <v>958</v>
      </c>
      <c r="B327" s="2" t="s">
        <v>959</v>
      </c>
      <c r="C327" s="2" t="s">
        <v>64</v>
      </c>
      <c r="D327" s="2" t="s">
        <v>524</v>
      </c>
      <c r="E327" s="11">
        <v>44929</v>
      </c>
      <c r="F327" s="12" t="s">
        <v>51</v>
      </c>
      <c r="G327" s="13">
        <v>153250</v>
      </c>
      <c r="H327" s="12" t="s">
        <v>59</v>
      </c>
      <c r="I327" s="11">
        <v>46403</v>
      </c>
      <c r="J327" s="12" t="s">
        <v>53</v>
      </c>
      <c r="K327" s="11"/>
      <c r="L327" s="12" t="s">
        <v>51</v>
      </c>
      <c r="M327" s="12" t="s">
        <v>53</v>
      </c>
      <c r="N327" s="11"/>
      <c r="O327" s="12"/>
      <c r="P327" s="12" t="s">
        <v>53</v>
      </c>
      <c r="Q327" s="14"/>
      <c r="R327" s="14"/>
      <c r="S327" s="12" t="s">
        <v>53</v>
      </c>
      <c r="T327" s="11"/>
      <c r="U327" s="12" t="str">
        <f t="shared" si="45"/>
        <v>N</v>
      </c>
      <c r="V327" s="12" t="str">
        <f t="shared" si="46"/>
        <v>N</v>
      </c>
      <c r="W327" s="12" t="str">
        <f t="shared" si="47"/>
        <v>N</v>
      </c>
      <c r="X327" s="12" t="str">
        <f t="shared" si="48"/>
        <v>N</v>
      </c>
      <c r="Y327" s="12" t="str">
        <f t="shared" si="49"/>
        <v>N</v>
      </c>
      <c r="Z327" s="12" t="str">
        <f t="shared" si="50"/>
        <v>N</v>
      </c>
      <c r="AA327" s="12">
        <f t="shared" si="51"/>
        <v>1</v>
      </c>
      <c r="AB327" s="12" t="str">
        <f t="shared" si="52"/>
        <v>SINGLE-SIGNAL</v>
      </c>
      <c r="AC327" s="14" t="str">
        <f t="shared" si="53"/>
        <v>Settlement Authorization</v>
      </c>
    </row>
    <row r="328" spans="1:29" x14ac:dyDescent="0.45">
      <c r="A328" s="2" t="s">
        <v>960</v>
      </c>
      <c r="B328" s="2" t="s">
        <v>961</v>
      </c>
      <c r="C328" s="2" t="s">
        <v>64</v>
      </c>
      <c r="D328" s="2" t="s">
        <v>453</v>
      </c>
      <c r="E328" s="11">
        <v>45801</v>
      </c>
      <c r="F328" s="12" t="s">
        <v>53</v>
      </c>
      <c r="G328" s="13"/>
      <c r="H328" s="12"/>
      <c r="I328" s="11"/>
      <c r="J328" s="12" t="s">
        <v>51</v>
      </c>
      <c r="K328" s="11">
        <v>47100</v>
      </c>
      <c r="L328" s="12" t="s">
        <v>51</v>
      </c>
      <c r="M328" s="12" t="s">
        <v>53</v>
      </c>
      <c r="N328" s="11"/>
      <c r="O328" s="12"/>
      <c r="P328" s="12" t="s">
        <v>53</v>
      </c>
      <c r="Q328" s="14"/>
      <c r="R328" s="14"/>
      <c r="S328" s="12" t="s">
        <v>51</v>
      </c>
      <c r="T328" s="11">
        <v>47329</v>
      </c>
      <c r="U328" s="12" t="str">
        <f t="shared" si="45"/>
        <v>N</v>
      </c>
      <c r="V328" s="12" t="str">
        <f t="shared" si="46"/>
        <v>N</v>
      </c>
      <c r="W328" s="12" t="str">
        <f t="shared" si="47"/>
        <v>N</v>
      </c>
      <c r="X328" s="12" t="str">
        <f t="shared" si="48"/>
        <v>N</v>
      </c>
      <c r="Y328" s="12" t="str">
        <f t="shared" si="49"/>
        <v>N</v>
      </c>
      <c r="Z328" s="12" t="str">
        <f t="shared" si="50"/>
        <v>N</v>
      </c>
      <c r="AA328" s="12">
        <f t="shared" si="51"/>
        <v>2</v>
      </c>
      <c r="AB328" s="12" t="str">
        <f t="shared" si="52"/>
        <v>MULTI-SIGNAL</v>
      </c>
      <c r="AC328" s="14" t="str">
        <f t="shared" si="53"/>
        <v>Open Stipulation | Inactive Customer</v>
      </c>
    </row>
    <row r="329" spans="1:29" ht="28.5" x14ac:dyDescent="0.45">
      <c r="A329" s="2" t="s">
        <v>962</v>
      </c>
      <c r="B329" s="2" t="s">
        <v>963</v>
      </c>
      <c r="C329" s="2" t="s">
        <v>64</v>
      </c>
      <c r="D329" s="2" t="s">
        <v>132</v>
      </c>
      <c r="E329" s="11">
        <v>43243</v>
      </c>
      <c r="F329" s="12" t="s">
        <v>51</v>
      </c>
      <c r="G329" s="13">
        <v>37500</v>
      </c>
      <c r="H329" s="12" t="s">
        <v>89</v>
      </c>
      <c r="I329" s="11">
        <v>43765</v>
      </c>
      <c r="J329" s="12" t="s">
        <v>53</v>
      </c>
      <c r="K329" s="11"/>
      <c r="L329" s="12" t="s">
        <v>53</v>
      </c>
      <c r="M329" s="12" t="s">
        <v>53</v>
      </c>
      <c r="N329" s="11"/>
      <c r="O329" s="12"/>
      <c r="P329" s="12" t="s">
        <v>51</v>
      </c>
      <c r="Q329" s="14" t="s">
        <v>122</v>
      </c>
      <c r="R329" s="14"/>
      <c r="S329" s="12" t="s">
        <v>53</v>
      </c>
      <c r="T329" s="11"/>
      <c r="U329" s="12" t="str">
        <f t="shared" si="45"/>
        <v>N</v>
      </c>
      <c r="V329" s="12" t="str">
        <f t="shared" si="46"/>
        <v>N</v>
      </c>
      <c r="W329" s="12" t="str">
        <f t="shared" si="47"/>
        <v>N</v>
      </c>
      <c r="X329" s="12" t="str">
        <f t="shared" si="48"/>
        <v>Y</v>
      </c>
      <c r="Y329" s="12" t="str">
        <f t="shared" si="49"/>
        <v>N</v>
      </c>
      <c r="Z329" s="12" t="str">
        <f t="shared" si="50"/>
        <v>N</v>
      </c>
      <c r="AA329" s="12">
        <f t="shared" si="51"/>
        <v>2</v>
      </c>
      <c r="AB329" s="12" t="str">
        <f t="shared" si="52"/>
        <v>MULTI-SIGNAL</v>
      </c>
      <c r="AC329" s="14" t="str">
        <f t="shared" si="53"/>
        <v>Settlement Authorization | Automated Claim Alert</v>
      </c>
    </row>
    <row r="330" spans="1:29" x14ac:dyDescent="0.45">
      <c r="A330" s="2" t="s">
        <v>964</v>
      </c>
      <c r="B330" s="2" t="s">
        <v>965</v>
      </c>
      <c r="C330" s="2" t="s">
        <v>64</v>
      </c>
      <c r="D330" s="2" t="s">
        <v>309</v>
      </c>
      <c r="E330" s="11">
        <v>43236</v>
      </c>
      <c r="F330" s="12" t="s">
        <v>53</v>
      </c>
      <c r="G330" s="13"/>
      <c r="H330" s="12"/>
      <c r="I330" s="11"/>
      <c r="J330" s="12" t="s">
        <v>53</v>
      </c>
      <c r="K330" s="11"/>
      <c r="L330" s="12"/>
      <c r="M330" s="12" t="s">
        <v>53</v>
      </c>
      <c r="N330" s="11"/>
      <c r="O330" s="12"/>
      <c r="P330" s="12" t="s">
        <v>53</v>
      </c>
      <c r="Q330" s="14"/>
      <c r="R330" s="14"/>
      <c r="S330" s="12" t="s">
        <v>51</v>
      </c>
      <c r="T330" s="11">
        <v>44063</v>
      </c>
      <c r="U330" s="12" t="str">
        <f t="shared" si="45"/>
        <v>N</v>
      </c>
      <c r="V330" s="12" t="str">
        <f t="shared" si="46"/>
        <v>N</v>
      </c>
      <c r="W330" s="12" t="str">
        <f t="shared" si="47"/>
        <v>N</v>
      </c>
      <c r="X330" s="12" t="str">
        <f t="shared" si="48"/>
        <v>N</v>
      </c>
      <c r="Y330" s="12" t="str">
        <f t="shared" si="49"/>
        <v>N</v>
      </c>
      <c r="Z330" s="12" t="str">
        <f t="shared" si="50"/>
        <v>N</v>
      </c>
      <c r="AA330" s="12">
        <f t="shared" si="51"/>
        <v>1</v>
      </c>
      <c r="AB330" s="12" t="str">
        <f t="shared" si="52"/>
        <v>SINGLE-SIGNAL</v>
      </c>
      <c r="AC330" s="14" t="str">
        <f t="shared" si="53"/>
        <v>Inactive Customer</v>
      </c>
    </row>
    <row r="331" spans="1:29" x14ac:dyDescent="0.45">
      <c r="A331" s="2" t="s">
        <v>966</v>
      </c>
      <c r="B331" s="2" t="s">
        <v>967</v>
      </c>
      <c r="C331" s="2" t="s">
        <v>64</v>
      </c>
      <c r="D331" s="2" t="s">
        <v>788</v>
      </c>
      <c r="E331" s="11">
        <v>44796</v>
      </c>
      <c r="F331" s="12" t="s">
        <v>51</v>
      </c>
      <c r="G331" s="13">
        <v>88250</v>
      </c>
      <c r="H331" s="12" t="s">
        <v>66</v>
      </c>
      <c r="I331" s="11">
        <v>45433</v>
      </c>
      <c r="J331" s="12" t="s">
        <v>53</v>
      </c>
      <c r="K331" s="11"/>
      <c r="L331" s="12" t="s">
        <v>53</v>
      </c>
      <c r="M331" s="12" t="s">
        <v>53</v>
      </c>
      <c r="N331" s="11"/>
      <c r="O331" s="12"/>
      <c r="P331" s="12" t="s">
        <v>53</v>
      </c>
      <c r="Q331" s="14"/>
      <c r="R331" s="14"/>
      <c r="S331" s="12" t="s">
        <v>53</v>
      </c>
      <c r="T331" s="11"/>
      <c r="U331" s="12" t="str">
        <f t="shared" si="45"/>
        <v>N</v>
      </c>
      <c r="V331" s="12" t="str">
        <f t="shared" si="46"/>
        <v>N</v>
      </c>
      <c r="W331" s="12" t="str">
        <f t="shared" si="47"/>
        <v>N</v>
      </c>
      <c r="X331" s="12" t="str">
        <f t="shared" si="48"/>
        <v>N</v>
      </c>
      <c r="Y331" s="12" t="str">
        <f t="shared" si="49"/>
        <v>N</v>
      </c>
      <c r="Z331" s="12" t="str">
        <f t="shared" si="50"/>
        <v>N</v>
      </c>
      <c r="AA331" s="12">
        <f t="shared" si="51"/>
        <v>1</v>
      </c>
      <c r="AB331" s="12" t="str">
        <f t="shared" si="52"/>
        <v>SINGLE-SIGNAL</v>
      </c>
      <c r="AC331" s="14" t="str">
        <f t="shared" si="53"/>
        <v>Settlement Authorization</v>
      </c>
    </row>
    <row r="332" spans="1:29" x14ac:dyDescent="0.45">
      <c r="A332" s="2" t="s">
        <v>968</v>
      </c>
      <c r="B332" s="2" t="s">
        <v>969</v>
      </c>
      <c r="C332" s="2" t="s">
        <v>64</v>
      </c>
      <c r="D332" s="2" t="s">
        <v>186</v>
      </c>
      <c r="E332" s="11">
        <v>44601</v>
      </c>
      <c r="F332" s="12" t="s">
        <v>51</v>
      </c>
      <c r="G332" s="13">
        <v>74250</v>
      </c>
      <c r="H332" s="12" t="s">
        <v>78</v>
      </c>
      <c r="I332" s="11">
        <v>46338</v>
      </c>
      <c r="J332" s="12" t="s">
        <v>53</v>
      </c>
      <c r="K332" s="11"/>
      <c r="L332" s="12" t="s">
        <v>53</v>
      </c>
      <c r="M332" s="12" t="s">
        <v>53</v>
      </c>
      <c r="N332" s="11"/>
      <c r="O332" s="12"/>
      <c r="P332" s="12" t="s">
        <v>53</v>
      </c>
      <c r="Q332" s="14"/>
      <c r="R332" s="14"/>
      <c r="S332" s="12" t="s">
        <v>53</v>
      </c>
      <c r="T332" s="11"/>
      <c r="U332" s="12" t="str">
        <f t="shared" si="45"/>
        <v>N</v>
      </c>
      <c r="V332" s="12" t="str">
        <f t="shared" si="46"/>
        <v>N</v>
      </c>
      <c r="W332" s="12" t="str">
        <f t="shared" si="47"/>
        <v>N</v>
      </c>
      <c r="X332" s="12" t="str">
        <f t="shared" si="48"/>
        <v>N</v>
      </c>
      <c r="Y332" s="12" t="str">
        <f t="shared" si="49"/>
        <v>N</v>
      </c>
      <c r="Z332" s="12" t="str">
        <f t="shared" si="50"/>
        <v>N</v>
      </c>
      <c r="AA332" s="12">
        <f t="shared" si="51"/>
        <v>1</v>
      </c>
      <c r="AB332" s="12" t="str">
        <f t="shared" si="52"/>
        <v>SINGLE-SIGNAL</v>
      </c>
      <c r="AC332" s="14" t="str">
        <f t="shared" si="53"/>
        <v>Settlement Authorization</v>
      </c>
    </row>
    <row r="333" spans="1:29" x14ac:dyDescent="0.45">
      <c r="A333" s="2" t="s">
        <v>970</v>
      </c>
      <c r="B333" s="2" t="s">
        <v>971</v>
      </c>
      <c r="C333" s="2" t="s">
        <v>64</v>
      </c>
      <c r="D333" s="2" t="s">
        <v>720</v>
      </c>
      <c r="E333" s="11">
        <v>43466</v>
      </c>
      <c r="F333" s="12" t="s">
        <v>53</v>
      </c>
      <c r="G333" s="13"/>
      <c r="H333" s="12"/>
      <c r="I333" s="11"/>
      <c r="J333" s="12" t="s">
        <v>53</v>
      </c>
      <c r="K333" s="11"/>
      <c r="L333" s="12"/>
      <c r="M333" s="12" t="s">
        <v>51</v>
      </c>
      <c r="N333" s="11">
        <v>45285</v>
      </c>
      <c r="O333" s="12" t="s">
        <v>643</v>
      </c>
      <c r="P333" s="12" t="s">
        <v>53</v>
      </c>
      <c r="Q333" s="14"/>
      <c r="R333" s="14"/>
      <c r="S333" s="12" t="s">
        <v>53</v>
      </c>
      <c r="T333" s="11"/>
      <c r="U333" s="12" t="str">
        <f t="shared" si="45"/>
        <v>N</v>
      </c>
      <c r="V333" s="12" t="str">
        <f t="shared" si="46"/>
        <v>N</v>
      </c>
      <c r="W333" s="12" t="str">
        <f t="shared" si="47"/>
        <v>N</v>
      </c>
      <c r="X333" s="12" t="str">
        <f t="shared" si="48"/>
        <v>N</v>
      </c>
      <c r="Y333" s="12" t="str">
        <f t="shared" si="49"/>
        <v>N</v>
      </c>
      <c r="Z333" s="12" t="str">
        <f t="shared" si="50"/>
        <v>N</v>
      </c>
      <c r="AA333" s="12">
        <f t="shared" si="51"/>
        <v>1</v>
      </c>
      <c r="AB333" s="12" t="str">
        <f t="shared" si="52"/>
        <v>SINGLE-SIGNAL</v>
      </c>
      <c r="AC333" s="14" t="str">
        <f t="shared" si="53"/>
        <v>Pending QME</v>
      </c>
    </row>
    <row r="334" spans="1:29" x14ac:dyDescent="0.45">
      <c r="A334" s="2" t="s">
        <v>972</v>
      </c>
      <c r="B334" s="2" t="s">
        <v>973</v>
      </c>
      <c r="C334" s="2" t="s">
        <v>64</v>
      </c>
      <c r="D334" s="2" t="s">
        <v>158</v>
      </c>
      <c r="E334" s="11">
        <v>43978</v>
      </c>
      <c r="F334" s="12" t="s">
        <v>51</v>
      </c>
      <c r="G334" s="13">
        <v>57000</v>
      </c>
      <c r="H334" s="12" t="s">
        <v>85</v>
      </c>
      <c r="I334" s="11">
        <v>44654</v>
      </c>
      <c r="J334" s="12" t="s">
        <v>53</v>
      </c>
      <c r="K334" s="11"/>
      <c r="L334" s="12" t="s">
        <v>51</v>
      </c>
      <c r="M334" s="12" t="s">
        <v>53</v>
      </c>
      <c r="N334" s="11"/>
      <c r="O334" s="12"/>
      <c r="P334" s="12" t="s">
        <v>53</v>
      </c>
      <c r="Q334" s="14"/>
      <c r="R334" s="14"/>
      <c r="S334" s="12" t="s">
        <v>51</v>
      </c>
      <c r="T334" s="11">
        <v>45341</v>
      </c>
      <c r="U334" s="12" t="str">
        <f t="shared" si="45"/>
        <v>N</v>
      </c>
      <c r="V334" s="12" t="str">
        <f t="shared" si="46"/>
        <v>N</v>
      </c>
      <c r="W334" s="12" t="str">
        <f t="shared" si="47"/>
        <v>N</v>
      </c>
      <c r="X334" s="12" t="str">
        <f t="shared" si="48"/>
        <v>N</v>
      </c>
      <c r="Y334" s="12" t="str">
        <f t="shared" si="49"/>
        <v>N</v>
      </c>
      <c r="Z334" s="12" t="str">
        <f t="shared" si="50"/>
        <v>N</v>
      </c>
      <c r="AA334" s="12">
        <f t="shared" si="51"/>
        <v>2</v>
      </c>
      <c r="AB334" s="12" t="str">
        <f t="shared" si="52"/>
        <v>MULTI-SIGNAL</v>
      </c>
      <c r="AC334" s="14" t="str">
        <f t="shared" si="53"/>
        <v>Settlement Authorization | Inactive Customer</v>
      </c>
    </row>
    <row r="335" spans="1:29" x14ac:dyDescent="0.45">
      <c r="A335" s="2" t="s">
        <v>974</v>
      </c>
      <c r="B335" s="2" t="s">
        <v>975</v>
      </c>
      <c r="C335" s="2" t="s">
        <v>64</v>
      </c>
      <c r="D335" s="2" t="s">
        <v>601</v>
      </c>
      <c r="E335" s="11">
        <v>44572</v>
      </c>
      <c r="F335" s="12" t="s">
        <v>53</v>
      </c>
      <c r="G335" s="13"/>
      <c r="H335" s="12"/>
      <c r="I335" s="11"/>
      <c r="J335" s="12" t="s">
        <v>51</v>
      </c>
      <c r="K335" s="11">
        <v>44869</v>
      </c>
      <c r="L335" s="12" t="s">
        <v>53</v>
      </c>
      <c r="M335" s="12" t="s">
        <v>53</v>
      </c>
      <c r="N335" s="11"/>
      <c r="O335" s="12"/>
      <c r="P335" s="12" t="s">
        <v>53</v>
      </c>
      <c r="Q335" s="14"/>
      <c r="R335" s="14"/>
      <c r="S335" s="12" t="s">
        <v>53</v>
      </c>
      <c r="T335" s="11"/>
      <c r="U335" s="12" t="str">
        <f t="shared" si="45"/>
        <v>N</v>
      </c>
      <c r="V335" s="12" t="str">
        <f t="shared" si="46"/>
        <v>N</v>
      </c>
      <c r="W335" s="12" t="str">
        <f t="shared" si="47"/>
        <v>N</v>
      </c>
      <c r="X335" s="12" t="str">
        <f t="shared" si="48"/>
        <v>N</v>
      </c>
      <c r="Y335" s="12" t="str">
        <f t="shared" si="49"/>
        <v>N</v>
      </c>
      <c r="Z335" s="12" t="str">
        <f t="shared" si="50"/>
        <v>N</v>
      </c>
      <c r="AA335" s="12">
        <f t="shared" si="51"/>
        <v>1</v>
      </c>
      <c r="AB335" s="12" t="str">
        <f t="shared" si="52"/>
        <v>SINGLE-SIGNAL</v>
      </c>
      <c r="AC335" s="14" t="str">
        <f t="shared" si="53"/>
        <v>Open Stipulation</v>
      </c>
    </row>
    <row r="336" spans="1:29" x14ac:dyDescent="0.45">
      <c r="A336" s="2" t="s">
        <v>976</v>
      </c>
      <c r="B336" s="2" t="s">
        <v>977</v>
      </c>
      <c r="C336" s="2" t="s">
        <v>64</v>
      </c>
      <c r="D336" s="2" t="s">
        <v>84</v>
      </c>
      <c r="E336" s="11">
        <v>44611</v>
      </c>
      <c r="F336" s="12" t="s">
        <v>53</v>
      </c>
      <c r="G336" s="13"/>
      <c r="H336" s="12"/>
      <c r="I336" s="11"/>
      <c r="J336" s="12" t="s">
        <v>53</v>
      </c>
      <c r="K336" s="11"/>
      <c r="L336" s="12"/>
      <c r="M336" s="12" t="s">
        <v>53</v>
      </c>
      <c r="N336" s="11"/>
      <c r="O336" s="12"/>
      <c r="P336" s="12" t="s">
        <v>53</v>
      </c>
      <c r="Q336" s="14"/>
      <c r="R336" s="14"/>
      <c r="S336" s="12" t="s">
        <v>51</v>
      </c>
      <c r="T336" s="11">
        <v>45951</v>
      </c>
      <c r="U336" s="12" t="str">
        <f t="shared" si="45"/>
        <v>N</v>
      </c>
      <c r="V336" s="12" t="str">
        <f t="shared" si="46"/>
        <v>N</v>
      </c>
      <c r="W336" s="12" t="str">
        <f t="shared" si="47"/>
        <v>N</v>
      </c>
      <c r="X336" s="12" t="str">
        <f t="shared" si="48"/>
        <v>N</v>
      </c>
      <c r="Y336" s="12" t="str">
        <f t="shared" si="49"/>
        <v>N</v>
      </c>
      <c r="Z336" s="12" t="str">
        <f t="shared" si="50"/>
        <v>N</v>
      </c>
      <c r="AA336" s="12">
        <f t="shared" si="51"/>
        <v>1</v>
      </c>
      <c r="AB336" s="12" t="str">
        <f t="shared" si="52"/>
        <v>SINGLE-SIGNAL</v>
      </c>
      <c r="AC336" s="14" t="str">
        <f t="shared" si="53"/>
        <v>Inactive Customer</v>
      </c>
    </row>
    <row r="337" spans="1:29" x14ac:dyDescent="0.45">
      <c r="A337" s="2" t="s">
        <v>978</v>
      </c>
      <c r="B337" s="2" t="s">
        <v>979</v>
      </c>
      <c r="C337" s="2" t="s">
        <v>64</v>
      </c>
      <c r="D337" s="2" t="s">
        <v>135</v>
      </c>
      <c r="E337" s="11">
        <v>43711</v>
      </c>
      <c r="F337" s="12" t="s">
        <v>51</v>
      </c>
      <c r="G337" s="13">
        <v>98250</v>
      </c>
      <c r="H337" s="12" t="s">
        <v>52</v>
      </c>
      <c r="I337" s="11">
        <v>44332</v>
      </c>
      <c r="J337" s="12" t="s">
        <v>51</v>
      </c>
      <c r="K337" s="11">
        <v>43937</v>
      </c>
      <c r="L337" s="12" t="s">
        <v>51</v>
      </c>
      <c r="M337" s="12" t="s">
        <v>53</v>
      </c>
      <c r="N337" s="11"/>
      <c r="O337" s="12"/>
      <c r="P337" s="12" t="s">
        <v>53</v>
      </c>
      <c r="Q337" s="14"/>
      <c r="R337" s="14"/>
      <c r="S337" s="12" t="s">
        <v>53</v>
      </c>
      <c r="T337" s="11"/>
      <c r="U337" s="12" t="str">
        <f t="shared" si="45"/>
        <v>N</v>
      </c>
      <c r="V337" s="12" t="str">
        <f t="shared" si="46"/>
        <v>N</v>
      </c>
      <c r="W337" s="12" t="str">
        <f t="shared" si="47"/>
        <v>N</v>
      </c>
      <c r="X337" s="12" t="str">
        <f t="shared" si="48"/>
        <v>N</v>
      </c>
      <c r="Y337" s="12" t="str">
        <f t="shared" si="49"/>
        <v>N</v>
      </c>
      <c r="Z337" s="12" t="str">
        <f t="shared" si="50"/>
        <v>N</v>
      </c>
      <c r="AA337" s="12">
        <f t="shared" si="51"/>
        <v>2</v>
      </c>
      <c r="AB337" s="12" t="str">
        <f t="shared" si="52"/>
        <v>MULTI-SIGNAL</v>
      </c>
      <c r="AC337" s="14" t="str">
        <f t="shared" si="53"/>
        <v>Settlement Authorization | Open Stipulation</v>
      </c>
    </row>
    <row r="338" spans="1:29" x14ac:dyDescent="0.45">
      <c r="A338" s="2" t="s">
        <v>980</v>
      </c>
      <c r="B338" s="2" t="s">
        <v>981</v>
      </c>
      <c r="C338" s="2" t="s">
        <v>64</v>
      </c>
      <c r="D338" s="2" t="s">
        <v>649</v>
      </c>
      <c r="E338" s="11">
        <v>43485</v>
      </c>
      <c r="F338" s="12" t="s">
        <v>51</v>
      </c>
      <c r="G338" s="13">
        <v>61000</v>
      </c>
      <c r="H338" s="12" t="s">
        <v>78</v>
      </c>
      <c r="I338" s="11">
        <v>43615</v>
      </c>
      <c r="J338" s="12" t="s">
        <v>53</v>
      </c>
      <c r="K338" s="11"/>
      <c r="L338" s="12" t="s">
        <v>51</v>
      </c>
      <c r="M338" s="12" t="s">
        <v>53</v>
      </c>
      <c r="N338" s="11"/>
      <c r="O338" s="12"/>
      <c r="P338" s="12" t="s">
        <v>53</v>
      </c>
      <c r="Q338" s="14"/>
      <c r="R338" s="14"/>
      <c r="S338" s="12" t="s">
        <v>53</v>
      </c>
      <c r="T338" s="11"/>
      <c r="U338" s="12" t="str">
        <f t="shared" si="45"/>
        <v>N</v>
      </c>
      <c r="V338" s="12" t="str">
        <f t="shared" si="46"/>
        <v>N</v>
      </c>
      <c r="W338" s="12" t="str">
        <f t="shared" si="47"/>
        <v>N</v>
      </c>
      <c r="X338" s="12" t="str">
        <f t="shared" si="48"/>
        <v>N</v>
      </c>
      <c r="Y338" s="12" t="str">
        <f t="shared" si="49"/>
        <v>N</v>
      </c>
      <c r="Z338" s="12" t="str">
        <f t="shared" si="50"/>
        <v>N</v>
      </c>
      <c r="AA338" s="12">
        <f t="shared" si="51"/>
        <v>1</v>
      </c>
      <c r="AB338" s="12" t="str">
        <f t="shared" si="52"/>
        <v>SINGLE-SIGNAL</v>
      </c>
      <c r="AC338" s="14" t="str">
        <f t="shared" si="53"/>
        <v>Settlement Authorization</v>
      </c>
    </row>
    <row r="339" spans="1:29" x14ac:dyDescent="0.45">
      <c r="A339" s="2" t="s">
        <v>982</v>
      </c>
      <c r="B339" s="2" t="s">
        <v>983</v>
      </c>
      <c r="C339" s="2" t="s">
        <v>64</v>
      </c>
      <c r="D339" s="2" t="s">
        <v>353</v>
      </c>
      <c r="E339" s="11">
        <v>44906</v>
      </c>
      <c r="F339" s="12" t="s">
        <v>51</v>
      </c>
      <c r="G339" s="13">
        <v>25750</v>
      </c>
      <c r="H339" s="12" t="s">
        <v>277</v>
      </c>
      <c r="I339" s="11">
        <v>45313</v>
      </c>
      <c r="J339" s="12" t="s">
        <v>53</v>
      </c>
      <c r="K339" s="11"/>
      <c r="L339" s="12" t="s">
        <v>51</v>
      </c>
      <c r="M339" s="12" t="s">
        <v>53</v>
      </c>
      <c r="N339" s="11"/>
      <c r="O339" s="12"/>
      <c r="P339" s="12" t="s">
        <v>53</v>
      </c>
      <c r="Q339" s="14"/>
      <c r="R339" s="14"/>
      <c r="S339" s="12" t="s">
        <v>51</v>
      </c>
      <c r="T339" s="11">
        <v>46269</v>
      </c>
      <c r="U339" s="12" t="str">
        <f t="shared" si="45"/>
        <v>N</v>
      </c>
      <c r="V339" s="12" t="str">
        <f t="shared" si="46"/>
        <v>N</v>
      </c>
      <c r="W339" s="12" t="str">
        <f t="shared" si="47"/>
        <v>N</v>
      </c>
      <c r="X339" s="12" t="str">
        <f t="shared" si="48"/>
        <v>N</v>
      </c>
      <c r="Y339" s="12" t="str">
        <f t="shared" si="49"/>
        <v>N</v>
      </c>
      <c r="Z339" s="12" t="str">
        <f t="shared" si="50"/>
        <v>N</v>
      </c>
      <c r="AA339" s="12">
        <f t="shared" si="51"/>
        <v>2</v>
      </c>
      <c r="AB339" s="12" t="str">
        <f t="shared" si="52"/>
        <v>MULTI-SIGNAL</v>
      </c>
      <c r="AC339" s="14" t="str">
        <f t="shared" si="53"/>
        <v>Settlement Authorization | Inactive Customer</v>
      </c>
    </row>
    <row r="340" spans="1:29" ht="28.5" x14ac:dyDescent="0.45">
      <c r="A340" s="2" t="s">
        <v>984</v>
      </c>
      <c r="B340" s="2" t="s">
        <v>985</v>
      </c>
      <c r="C340" s="2" t="s">
        <v>64</v>
      </c>
      <c r="D340" s="2" t="s">
        <v>986</v>
      </c>
      <c r="E340" s="11">
        <v>44073</v>
      </c>
      <c r="F340" s="12" t="s">
        <v>51</v>
      </c>
      <c r="G340" s="13">
        <v>78250</v>
      </c>
      <c r="H340" s="12" t="s">
        <v>85</v>
      </c>
      <c r="I340" s="11">
        <v>44851</v>
      </c>
      <c r="J340" s="12" t="s">
        <v>53</v>
      </c>
      <c r="K340" s="11"/>
      <c r="L340" s="12" t="s">
        <v>53</v>
      </c>
      <c r="M340" s="12" t="s">
        <v>53</v>
      </c>
      <c r="N340" s="11"/>
      <c r="O340" s="12"/>
      <c r="P340" s="12" t="s">
        <v>51</v>
      </c>
      <c r="Q340" s="14" t="s">
        <v>461</v>
      </c>
      <c r="R340" s="14" t="s">
        <v>260</v>
      </c>
      <c r="S340" s="12" t="s">
        <v>53</v>
      </c>
      <c r="T340" s="11"/>
      <c r="U340" s="12" t="str">
        <f t="shared" si="45"/>
        <v>Y</v>
      </c>
      <c r="V340" s="12" t="str">
        <f t="shared" si="46"/>
        <v>N</v>
      </c>
      <c r="W340" s="12" t="str">
        <f t="shared" si="47"/>
        <v>Y</v>
      </c>
      <c r="X340" s="12" t="str">
        <f t="shared" si="48"/>
        <v>Y</v>
      </c>
      <c r="Y340" s="12" t="str">
        <f t="shared" si="49"/>
        <v>Y</v>
      </c>
      <c r="Z340" s="12" t="str">
        <f t="shared" si="50"/>
        <v>N</v>
      </c>
      <c r="AA340" s="12">
        <f t="shared" si="51"/>
        <v>2</v>
      </c>
      <c r="AB340" s="12" t="str">
        <f t="shared" si="52"/>
        <v>MULTI-SIGNAL</v>
      </c>
      <c r="AC340" s="14" t="str">
        <f t="shared" si="53"/>
        <v>Settlement Authorization | Automated Claim Alert</v>
      </c>
    </row>
    <row r="341" spans="1:29" ht="28.5" x14ac:dyDescent="0.45">
      <c r="A341" s="2" t="s">
        <v>987</v>
      </c>
      <c r="B341" s="2" t="s">
        <v>988</v>
      </c>
      <c r="C341" s="2" t="s">
        <v>989</v>
      </c>
      <c r="D341" s="2" t="s">
        <v>70</v>
      </c>
      <c r="E341" s="11">
        <v>44711</v>
      </c>
      <c r="F341" s="12" t="s">
        <v>53</v>
      </c>
      <c r="G341" s="13"/>
      <c r="H341" s="12"/>
      <c r="I341" s="11"/>
      <c r="J341" s="12" t="s">
        <v>53</v>
      </c>
      <c r="K341" s="11"/>
      <c r="L341" s="12"/>
      <c r="M341" s="12" t="s">
        <v>51</v>
      </c>
      <c r="N341" s="11">
        <v>46150</v>
      </c>
      <c r="O341" s="12" t="s">
        <v>485</v>
      </c>
      <c r="P341" s="12" t="s">
        <v>51</v>
      </c>
      <c r="Q341" s="14" t="s">
        <v>441</v>
      </c>
      <c r="R341" s="14" t="s">
        <v>183</v>
      </c>
      <c r="S341" s="12" t="s">
        <v>53</v>
      </c>
      <c r="T341" s="11"/>
      <c r="U341" s="12" t="str">
        <f t="shared" si="45"/>
        <v>N</v>
      </c>
      <c r="V341" s="12" t="str">
        <f t="shared" si="46"/>
        <v>N</v>
      </c>
      <c r="W341" s="12" t="str">
        <f t="shared" si="47"/>
        <v>Y</v>
      </c>
      <c r="X341" s="12" t="str">
        <f t="shared" si="48"/>
        <v>Y</v>
      </c>
      <c r="Y341" s="12" t="str">
        <f t="shared" si="49"/>
        <v>Y</v>
      </c>
      <c r="Z341" s="12" t="str">
        <f t="shared" si="50"/>
        <v>N</v>
      </c>
      <c r="AA341" s="12">
        <f t="shared" si="51"/>
        <v>2</v>
      </c>
      <c r="AB341" s="12" t="str">
        <f t="shared" si="52"/>
        <v>MULTI-SIGNAL</v>
      </c>
      <c r="AC341" s="14" t="str">
        <f t="shared" si="53"/>
        <v>Pending QME | Automated Claim Alert</v>
      </c>
    </row>
    <row r="342" spans="1:29" x14ac:dyDescent="0.45">
      <c r="A342" s="2" t="s">
        <v>990</v>
      </c>
      <c r="B342" s="2" t="s">
        <v>991</v>
      </c>
      <c r="C342" s="2" t="s">
        <v>989</v>
      </c>
      <c r="D342" s="2" t="s">
        <v>173</v>
      </c>
      <c r="E342" s="11">
        <v>44280</v>
      </c>
      <c r="F342" s="12" t="s">
        <v>53</v>
      </c>
      <c r="G342" s="13"/>
      <c r="H342" s="12"/>
      <c r="I342" s="11"/>
      <c r="J342" s="12" t="s">
        <v>53</v>
      </c>
      <c r="K342" s="11"/>
      <c r="L342" s="12"/>
      <c r="M342" s="12" t="s">
        <v>51</v>
      </c>
      <c r="N342" s="11">
        <v>44646</v>
      </c>
      <c r="O342" s="12" t="s">
        <v>992</v>
      </c>
      <c r="P342" s="12" t="s">
        <v>53</v>
      </c>
      <c r="Q342" s="14"/>
      <c r="R342" s="14"/>
      <c r="S342" s="12" t="s">
        <v>53</v>
      </c>
      <c r="T342" s="11"/>
      <c r="U342" s="12" t="str">
        <f t="shared" si="45"/>
        <v>N</v>
      </c>
      <c r="V342" s="12" t="str">
        <f t="shared" si="46"/>
        <v>N</v>
      </c>
      <c r="W342" s="12" t="str">
        <f t="shared" si="47"/>
        <v>N</v>
      </c>
      <c r="X342" s="12" t="str">
        <f t="shared" si="48"/>
        <v>N</v>
      </c>
      <c r="Y342" s="12" t="str">
        <f t="shared" si="49"/>
        <v>N</v>
      </c>
      <c r="Z342" s="12" t="str">
        <f t="shared" si="50"/>
        <v>N</v>
      </c>
      <c r="AA342" s="12">
        <f t="shared" si="51"/>
        <v>1</v>
      </c>
      <c r="AB342" s="12" t="str">
        <f t="shared" si="52"/>
        <v>SINGLE-SIGNAL</v>
      </c>
      <c r="AC342" s="14" t="str">
        <f t="shared" si="53"/>
        <v>Pending QME</v>
      </c>
    </row>
    <row r="343" spans="1:29" x14ac:dyDescent="0.45">
      <c r="A343" s="2" t="s">
        <v>993</v>
      </c>
      <c r="B343" s="2" t="s">
        <v>994</v>
      </c>
      <c r="C343" s="2" t="s">
        <v>989</v>
      </c>
      <c r="D343" s="2" t="s">
        <v>230</v>
      </c>
      <c r="E343" s="11">
        <v>43765</v>
      </c>
      <c r="F343" s="12" t="s">
        <v>51</v>
      </c>
      <c r="G343" s="13">
        <v>150000</v>
      </c>
      <c r="H343" s="12" t="s">
        <v>71</v>
      </c>
      <c r="I343" s="11">
        <v>43971</v>
      </c>
      <c r="J343" s="12" t="s">
        <v>53</v>
      </c>
      <c r="K343" s="11"/>
      <c r="L343" s="12" t="s">
        <v>53</v>
      </c>
      <c r="M343" s="12" t="s">
        <v>53</v>
      </c>
      <c r="N343" s="11"/>
      <c r="O343" s="12"/>
      <c r="P343" s="12" t="s">
        <v>53</v>
      </c>
      <c r="Q343" s="14"/>
      <c r="R343" s="14"/>
      <c r="S343" s="12" t="s">
        <v>53</v>
      </c>
      <c r="T343" s="11"/>
      <c r="U343" s="12" t="str">
        <f t="shared" si="45"/>
        <v>N</v>
      </c>
      <c r="V343" s="12" t="str">
        <f t="shared" si="46"/>
        <v>N</v>
      </c>
      <c r="W343" s="12" t="str">
        <f t="shared" si="47"/>
        <v>N</v>
      </c>
      <c r="X343" s="12" t="str">
        <f t="shared" si="48"/>
        <v>N</v>
      </c>
      <c r="Y343" s="12" t="str">
        <f t="shared" si="49"/>
        <v>N</v>
      </c>
      <c r="Z343" s="12" t="str">
        <f t="shared" si="50"/>
        <v>N</v>
      </c>
      <c r="AA343" s="12">
        <f t="shared" si="51"/>
        <v>1</v>
      </c>
      <c r="AB343" s="12" t="str">
        <f t="shared" si="52"/>
        <v>SINGLE-SIGNAL</v>
      </c>
      <c r="AC343" s="14" t="str">
        <f t="shared" si="53"/>
        <v>Settlement Authorization</v>
      </c>
    </row>
    <row r="344" spans="1:29" x14ac:dyDescent="0.45">
      <c r="A344" s="2" t="s">
        <v>995</v>
      </c>
      <c r="B344" s="2" t="s">
        <v>996</v>
      </c>
      <c r="C344" s="2" t="s">
        <v>989</v>
      </c>
      <c r="D344" s="2" t="s">
        <v>884</v>
      </c>
      <c r="E344" s="11">
        <v>44760</v>
      </c>
      <c r="F344" s="12" t="s">
        <v>53</v>
      </c>
      <c r="G344" s="13"/>
      <c r="H344" s="12"/>
      <c r="I344" s="11"/>
      <c r="J344" s="12" t="s">
        <v>51</v>
      </c>
      <c r="K344" s="11">
        <v>45719</v>
      </c>
      <c r="L344" s="12" t="s">
        <v>53</v>
      </c>
      <c r="M344" s="12" t="s">
        <v>53</v>
      </c>
      <c r="N344" s="11"/>
      <c r="O344" s="12"/>
      <c r="P344" s="12" t="s">
        <v>53</v>
      </c>
      <c r="Q344" s="14"/>
      <c r="R344" s="14"/>
      <c r="S344" s="12" t="s">
        <v>51</v>
      </c>
      <c r="T344" s="11">
        <v>45472</v>
      </c>
      <c r="U344" s="12" t="str">
        <f t="shared" si="45"/>
        <v>N</v>
      </c>
      <c r="V344" s="12" t="str">
        <f t="shared" si="46"/>
        <v>N</v>
      </c>
      <c r="W344" s="12" t="str">
        <f t="shared" si="47"/>
        <v>N</v>
      </c>
      <c r="X344" s="12" t="str">
        <f t="shared" si="48"/>
        <v>N</v>
      </c>
      <c r="Y344" s="12" t="str">
        <f t="shared" si="49"/>
        <v>N</v>
      </c>
      <c r="Z344" s="12" t="str">
        <f t="shared" si="50"/>
        <v>N</v>
      </c>
      <c r="AA344" s="12">
        <f t="shared" si="51"/>
        <v>2</v>
      </c>
      <c r="AB344" s="12" t="str">
        <f t="shared" si="52"/>
        <v>MULTI-SIGNAL</v>
      </c>
      <c r="AC344" s="14" t="str">
        <f t="shared" si="53"/>
        <v>Open Stipulation | Inactive Customer</v>
      </c>
    </row>
    <row r="345" spans="1:29" ht="28.5" x14ac:dyDescent="0.45">
      <c r="A345" s="2" t="s">
        <v>997</v>
      </c>
      <c r="B345" s="2" t="s">
        <v>998</v>
      </c>
      <c r="C345" s="2" t="s">
        <v>989</v>
      </c>
      <c r="D345" s="2" t="s">
        <v>419</v>
      </c>
      <c r="E345" s="11">
        <v>44092</v>
      </c>
      <c r="F345" s="12" t="s">
        <v>51</v>
      </c>
      <c r="G345" s="13">
        <v>133500</v>
      </c>
      <c r="H345" s="12" t="s">
        <v>78</v>
      </c>
      <c r="I345" s="11">
        <v>45402</v>
      </c>
      <c r="J345" s="12" t="s">
        <v>53</v>
      </c>
      <c r="K345" s="11"/>
      <c r="L345" s="12" t="s">
        <v>51</v>
      </c>
      <c r="M345" s="12" t="s">
        <v>53</v>
      </c>
      <c r="N345" s="11"/>
      <c r="O345" s="12"/>
      <c r="P345" s="12" t="s">
        <v>51</v>
      </c>
      <c r="Q345" s="14" t="s">
        <v>209</v>
      </c>
      <c r="R345" s="14" t="s">
        <v>122</v>
      </c>
      <c r="S345" s="12" t="s">
        <v>53</v>
      </c>
      <c r="T345" s="11"/>
      <c r="U345" s="12" t="str">
        <f t="shared" si="45"/>
        <v>Y</v>
      </c>
      <c r="V345" s="12" t="str">
        <f t="shared" si="46"/>
        <v>N</v>
      </c>
      <c r="W345" s="12" t="str">
        <f t="shared" si="47"/>
        <v>N</v>
      </c>
      <c r="X345" s="12" t="str">
        <f t="shared" si="48"/>
        <v>Y</v>
      </c>
      <c r="Y345" s="12" t="str">
        <f t="shared" si="49"/>
        <v>N</v>
      </c>
      <c r="Z345" s="12" t="str">
        <f t="shared" si="50"/>
        <v>N</v>
      </c>
      <c r="AA345" s="12">
        <f t="shared" si="51"/>
        <v>2</v>
      </c>
      <c r="AB345" s="12" t="str">
        <f t="shared" si="52"/>
        <v>MULTI-SIGNAL</v>
      </c>
      <c r="AC345" s="14" t="str">
        <f t="shared" si="53"/>
        <v>Settlement Authorization | Automated Claim Alert</v>
      </c>
    </row>
    <row r="346" spans="1:29" x14ac:dyDescent="0.45">
      <c r="A346" s="2" t="s">
        <v>999</v>
      </c>
      <c r="B346" s="2" t="s">
        <v>1000</v>
      </c>
      <c r="C346" s="2" t="s">
        <v>989</v>
      </c>
      <c r="D346" s="2" t="s">
        <v>1001</v>
      </c>
      <c r="E346" s="11">
        <v>43650</v>
      </c>
      <c r="F346" s="12" t="s">
        <v>51</v>
      </c>
      <c r="G346" s="13">
        <v>45500</v>
      </c>
      <c r="H346" s="12" t="s">
        <v>85</v>
      </c>
      <c r="I346" s="11">
        <v>44653</v>
      </c>
      <c r="J346" s="12" t="s">
        <v>53</v>
      </c>
      <c r="K346" s="11"/>
      <c r="L346" s="12" t="s">
        <v>53</v>
      </c>
      <c r="M346" s="12" t="s">
        <v>53</v>
      </c>
      <c r="N346" s="11"/>
      <c r="O346" s="12"/>
      <c r="P346" s="12" t="s">
        <v>53</v>
      </c>
      <c r="Q346" s="14"/>
      <c r="R346" s="14"/>
      <c r="S346" s="12" t="s">
        <v>51</v>
      </c>
      <c r="T346" s="11">
        <v>45833</v>
      </c>
      <c r="U346" s="12" t="str">
        <f t="shared" si="45"/>
        <v>N</v>
      </c>
      <c r="V346" s="12" t="str">
        <f t="shared" si="46"/>
        <v>N</v>
      </c>
      <c r="W346" s="12" t="str">
        <f t="shared" si="47"/>
        <v>N</v>
      </c>
      <c r="X346" s="12" t="str">
        <f t="shared" si="48"/>
        <v>N</v>
      </c>
      <c r="Y346" s="12" t="str">
        <f t="shared" si="49"/>
        <v>N</v>
      </c>
      <c r="Z346" s="12" t="str">
        <f t="shared" si="50"/>
        <v>N</v>
      </c>
      <c r="AA346" s="12">
        <f t="shared" si="51"/>
        <v>2</v>
      </c>
      <c r="AB346" s="12" t="str">
        <f t="shared" si="52"/>
        <v>MULTI-SIGNAL</v>
      </c>
      <c r="AC346" s="14" t="str">
        <f t="shared" si="53"/>
        <v>Settlement Authorization | Inactive Customer</v>
      </c>
    </row>
    <row r="347" spans="1:29" x14ac:dyDescent="0.45">
      <c r="A347" s="2" t="s">
        <v>1002</v>
      </c>
      <c r="B347" s="2" t="s">
        <v>1003</v>
      </c>
      <c r="C347" s="2" t="s">
        <v>989</v>
      </c>
      <c r="D347" s="2" t="s">
        <v>368</v>
      </c>
      <c r="E347" s="11">
        <v>45390</v>
      </c>
      <c r="F347" s="12" t="s">
        <v>51</v>
      </c>
      <c r="G347" s="13">
        <v>86000</v>
      </c>
      <c r="H347" s="12" t="s">
        <v>277</v>
      </c>
      <c r="I347" s="11">
        <v>46340</v>
      </c>
      <c r="J347" s="12" t="s">
        <v>51</v>
      </c>
      <c r="K347" s="11">
        <v>46777</v>
      </c>
      <c r="L347" s="12" t="s">
        <v>51</v>
      </c>
      <c r="M347" s="12" t="s">
        <v>53</v>
      </c>
      <c r="N347" s="11"/>
      <c r="O347" s="12"/>
      <c r="P347" s="12" t="s">
        <v>53</v>
      </c>
      <c r="Q347" s="14"/>
      <c r="R347" s="14"/>
      <c r="S347" s="12" t="s">
        <v>53</v>
      </c>
      <c r="T347" s="11"/>
      <c r="U347" s="12" t="str">
        <f t="shared" si="45"/>
        <v>N</v>
      </c>
      <c r="V347" s="12" t="str">
        <f t="shared" si="46"/>
        <v>N</v>
      </c>
      <c r="W347" s="12" t="str">
        <f t="shared" si="47"/>
        <v>N</v>
      </c>
      <c r="X347" s="12" t="str">
        <f t="shared" si="48"/>
        <v>N</v>
      </c>
      <c r="Y347" s="12" t="str">
        <f t="shared" si="49"/>
        <v>N</v>
      </c>
      <c r="Z347" s="12" t="str">
        <f t="shared" si="50"/>
        <v>N</v>
      </c>
      <c r="AA347" s="12">
        <f t="shared" si="51"/>
        <v>2</v>
      </c>
      <c r="AB347" s="12" t="str">
        <f t="shared" si="52"/>
        <v>MULTI-SIGNAL</v>
      </c>
      <c r="AC347" s="14" t="str">
        <f t="shared" si="53"/>
        <v>Settlement Authorization | Open Stipulation</v>
      </c>
    </row>
    <row r="348" spans="1:29" x14ac:dyDescent="0.45">
      <c r="A348" s="2" t="s">
        <v>1004</v>
      </c>
      <c r="B348" s="2" t="s">
        <v>1005</v>
      </c>
      <c r="C348" s="2" t="s">
        <v>989</v>
      </c>
      <c r="D348" s="2" t="s">
        <v>884</v>
      </c>
      <c r="E348" s="11">
        <v>45930</v>
      </c>
      <c r="F348" s="12" t="s">
        <v>51</v>
      </c>
      <c r="G348" s="13">
        <v>145750</v>
      </c>
      <c r="H348" s="12" t="s">
        <v>71</v>
      </c>
      <c r="I348" s="11">
        <v>46378</v>
      </c>
      <c r="J348" s="12" t="s">
        <v>53</v>
      </c>
      <c r="K348" s="11"/>
      <c r="L348" s="12" t="s">
        <v>53</v>
      </c>
      <c r="M348" s="12" t="s">
        <v>53</v>
      </c>
      <c r="N348" s="11"/>
      <c r="O348" s="12"/>
      <c r="P348" s="12" t="s">
        <v>53</v>
      </c>
      <c r="Q348" s="14"/>
      <c r="R348" s="14"/>
      <c r="S348" s="12" t="s">
        <v>51</v>
      </c>
      <c r="T348" s="11">
        <v>46713</v>
      </c>
      <c r="U348" s="12" t="str">
        <f t="shared" si="45"/>
        <v>N</v>
      </c>
      <c r="V348" s="12" t="str">
        <f t="shared" si="46"/>
        <v>N</v>
      </c>
      <c r="W348" s="12" t="str">
        <f t="shared" si="47"/>
        <v>N</v>
      </c>
      <c r="X348" s="12" t="str">
        <f t="shared" si="48"/>
        <v>N</v>
      </c>
      <c r="Y348" s="12" t="str">
        <f t="shared" si="49"/>
        <v>N</v>
      </c>
      <c r="Z348" s="12" t="str">
        <f t="shared" si="50"/>
        <v>N</v>
      </c>
      <c r="AA348" s="12">
        <f t="shared" si="51"/>
        <v>2</v>
      </c>
      <c r="AB348" s="12" t="str">
        <f t="shared" si="52"/>
        <v>MULTI-SIGNAL</v>
      </c>
      <c r="AC348" s="14" t="str">
        <f t="shared" si="53"/>
        <v>Settlement Authorization | Inactive Customer</v>
      </c>
    </row>
    <row r="349" spans="1:29" x14ac:dyDescent="0.45">
      <c r="A349" s="2" t="s">
        <v>1006</v>
      </c>
      <c r="B349" s="2" t="s">
        <v>1007</v>
      </c>
      <c r="C349" s="2" t="s">
        <v>989</v>
      </c>
      <c r="D349" s="2" t="s">
        <v>519</v>
      </c>
      <c r="E349" s="11">
        <v>45890</v>
      </c>
      <c r="F349" s="12" t="s">
        <v>51</v>
      </c>
      <c r="G349" s="13">
        <v>88500</v>
      </c>
      <c r="H349" s="12" t="s">
        <v>71</v>
      </c>
      <c r="I349" s="11">
        <v>46346</v>
      </c>
      <c r="J349" s="12" t="s">
        <v>53</v>
      </c>
      <c r="K349" s="11"/>
      <c r="L349" s="12" t="s">
        <v>53</v>
      </c>
      <c r="M349" s="12" t="s">
        <v>53</v>
      </c>
      <c r="N349" s="11"/>
      <c r="O349" s="12"/>
      <c r="P349" s="12" t="s">
        <v>53</v>
      </c>
      <c r="Q349" s="14"/>
      <c r="R349" s="14"/>
      <c r="S349" s="12" t="s">
        <v>53</v>
      </c>
      <c r="T349" s="11"/>
      <c r="U349" s="12" t="str">
        <f t="shared" si="45"/>
        <v>N</v>
      </c>
      <c r="V349" s="12" t="str">
        <f t="shared" si="46"/>
        <v>N</v>
      </c>
      <c r="W349" s="12" t="str">
        <f t="shared" si="47"/>
        <v>N</v>
      </c>
      <c r="X349" s="12" t="str">
        <f t="shared" si="48"/>
        <v>N</v>
      </c>
      <c r="Y349" s="12" t="str">
        <f t="shared" si="49"/>
        <v>N</v>
      </c>
      <c r="Z349" s="12" t="str">
        <f t="shared" si="50"/>
        <v>N</v>
      </c>
      <c r="AA349" s="12">
        <f t="shared" si="51"/>
        <v>1</v>
      </c>
      <c r="AB349" s="12" t="str">
        <f t="shared" si="52"/>
        <v>SINGLE-SIGNAL</v>
      </c>
      <c r="AC349" s="14" t="str">
        <f t="shared" si="53"/>
        <v>Settlement Authorization</v>
      </c>
    </row>
    <row r="350" spans="1:29" x14ac:dyDescent="0.45">
      <c r="A350" s="2" t="s">
        <v>1008</v>
      </c>
      <c r="B350" s="2" t="s">
        <v>1009</v>
      </c>
      <c r="C350" s="2" t="s">
        <v>989</v>
      </c>
      <c r="D350" s="2" t="s">
        <v>326</v>
      </c>
      <c r="E350" s="11">
        <v>45739</v>
      </c>
      <c r="F350" s="12" t="s">
        <v>51</v>
      </c>
      <c r="G350" s="13">
        <v>35500</v>
      </c>
      <c r="H350" s="12" t="s">
        <v>242</v>
      </c>
      <c r="I350" s="11">
        <v>46367</v>
      </c>
      <c r="J350" s="12" t="s">
        <v>51</v>
      </c>
      <c r="K350" s="11">
        <v>46135</v>
      </c>
      <c r="L350" s="12" t="s">
        <v>53</v>
      </c>
      <c r="M350" s="12" t="s">
        <v>53</v>
      </c>
      <c r="N350" s="11"/>
      <c r="O350" s="12"/>
      <c r="P350" s="12" t="s">
        <v>53</v>
      </c>
      <c r="Q350" s="14"/>
      <c r="R350" s="14"/>
      <c r="S350" s="12" t="s">
        <v>53</v>
      </c>
      <c r="T350" s="11"/>
      <c r="U350" s="12" t="str">
        <f t="shared" si="45"/>
        <v>N</v>
      </c>
      <c r="V350" s="12" t="str">
        <f t="shared" si="46"/>
        <v>N</v>
      </c>
      <c r="W350" s="12" t="str">
        <f t="shared" si="47"/>
        <v>N</v>
      </c>
      <c r="X350" s="12" t="str">
        <f t="shared" si="48"/>
        <v>N</v>
      </c>
      <c r="Y350" s="12" t="str">
        <f t="shared" si="49"/>
        <v>N</v>
      </c>
      <c r="Z350" s="12" t="str">
        <f t="shared" si="50"/>
        <v>N</v>
      </c>
      <c r="AA350" s="12">
        <f t="shared" si="51"/>
        <v>2</v>
      </c>
      <c r="AB350" s="12" t="str">
        <f t="shared" si="52"/>
        <v>MULTI-SIGNAL</v>
      </c>
      <c r="AC350" s="14" t="str">
        <f t="shared" si="53"/>
        <v>Settlement Authorization | Open Stipulation</v>
      </c>
    </row>
    <row r="351" spans="1:29" x14ac:dyDescent="0.45">
      <c r="A351" s="2" t="s">
        <v>1010</v>
      </c>
      <c r="B351" s="2" t="s">
        <v>1011</v>
      </c>
      <c r="C351" s="2" t="s">
        <v>989</v>
      </c>
      <c r="D351" s="2" t="s">
        <v>102</v>
      </c>
      <c r="E351" s="11">
        <v>45747</v>
      </c>
      <c r="F351" s="12" t="s">
        <v>53</v>
      </c>
      <c r="G351" s="13"/>
      <c r="H351" s="12"/>
      <c r="I351" s="11"/>
      <c r="J351" s="12" t="s">
        <v>53</v>
      </c>
      <c r="K351" s="11"/>
      <c r="L351" s="12"/>
      <c r="M351" s="12" t="s">
        <v>51</v>
      </c>
      <c r="N351" s="11">
        <v>47402</v>
      </c>
      <c r="O351" s="12" t="s">
        <v>1012</v>
      </c>
      <c r="P351" s="12" t="s">
        <v>53</v>
      </c>
      <c r="Q351" s="14"/>
      <c r="R351" s="14"/>
      <c r="S351" s="12" t="s">
        <v>53</v>
      </c>
      <c r="T351" s="11"/>
      <c r="U351" s="12" t="str">
        <f t="shared" si="45"/>
        <v>N</v>
      </c>
      <c r="V351" s="12" t="str">
        <f t="shared" si="46"/>
        <v>N</v>
      </c>
      <c r="W351" s="12" t="str">
        <f t="shared" si="47"/>
        <v>N</v>
      </c>
      <c r="X351" s="12" t="str">
        <f t="shared" si="48"/>
        <v>N</v>
      </c>
      <c r="Y351" s="12" t="str">
        <f t="shared" si="49"/>
        <v>N</v>
      </c>
      <c r="Z351" s="12" t="str">
        <f t="shared" si="50"/>
        <v>N</v>
      </c>
      <c r="AA351" s="12">
        <f t="shared" si="51"/>
        <v>1</v>
      </c>
      <c r="AB351" s="12" t="str">
        <f t="shared" si="52"/>
        <v>SINGLE-SIGNAL</v>
      </c>
      <c r="AC351" s="14" t="str">
        <f t="shared" si="53"/>
        <v>Pending QME</v>
      </c>
    </row>
    <row r="352" spans="1:29" x14ac:dyDescent="0.45">
      <c r="A352" s="2" t="s">
        <v>1013</v>
      </c>
      <c r="B352" s="2" t="s">
        <v>1014</v>
      </c>
      <c r="C352" s="2" t="s">
        <v>989</v>
      </c>
      <c r="D352" s="2" t="s">
        <v>108</v>
      </c>
      <c r="E352" s="11">
        <v>43905</v>
      </c>
      <c r="F352" s="12" t="s">
        <v>53</v>
      </c>
      <c r="G352" s="13"/>
      <c r="H352" s="12"/>
      <c r="I352" s="11"/>
      <c r="J352" s="12" t="s">
        <v>53</v>
      </c>
      <c r="K352" s="11"/>
      <c r="L352" s="12"/>
      <c r="M352" s="12" t="s">
        <v>53</v>
      </c>
      <c r="N352" s="11"/>
      <c r="O352" s="12"/>
      <c r="P352" s="12" t="s">
        <v>51</v>
      </c>
      <c r="Q352" s="14" t="s">
        <v>227</v>
      </c>
      <c r="R352" s="14" t="s">
        <v>209</v>
      </c>
      <c r="S352" s="12" t="s">
        <v>53</v>
      </c>
      <c r="T352" s="11"/>
      <c r="U352" s="12" t="str">
        <f t="shared" si="45"/>
        <v>Y</v>
      </c>
      <c r="V352" s="12" t="str">
        <f t="shared" si="46"/>
        <v>Y</v>
      </c>
      <c r="W352" s="12" t="str">
        <f t="shared" si="47"/>
        <v>N</v>
      </c>
      <c r="X352" s="12" t="str">
        <f t="shared" si="48"/>
        <v>N</v>
      </c>
      <c r="Y352" s="12" t="str">
        <f t="shared" si="49"/>
        <v>N</v>
      </c>
      <c r="Z352" s="12" t="str">
        <f t="shared" si="50"/>
        <v>N</v>
      </c>
      <c r="AA352" s="12">
        <f t="shared" si="51"/>
        <v>1</v>
      </c>
      <c r="AB352" s="12" t="str">
        <f t="shared" si="52"/>
        <v>SINGLE-SIGNAL</v>
      </c>
      <c r="AC352" s="14" t="str">
        <f t="shared" si="53"/>
        <v>Automated Claim Alert</v>
      </c>
    </row>
    <row r="353" spans="1:29" x14ac:dyDescent="0.45">
      <c r="A353" s="2" t="s">
        <v>1015</v>
      </c>
      <c r="B353" s="2" t="s">
        <v>1016</v>
      </c>
      <c r="C353" s="2" t="s">
        <v>989</v>
      </c>
      <c r="D353" s="2" t="s">
        <v>289</v>
      </c>
      <c r="E353" s="11">
        <v>43684</v>
      </c>
      <c r="F353" s="12" t="s">
        <v>53</v>
      </c>
      <c r="G353" s="13"/>
      <c r="H353" s="12"/>
      <c r="I353" s="11"/>
      <c r="J353" s="12" t="s">
        <v>53</v>
      </c>
      <c r="K353" s="11"/>
      <c r="L353" s="12"/>
      <c r="M353" s="12" t="s">
        <v>53</v>
      </c>
      <c r="N353" s="11"/>
      <c r="O353" s="12"/>
      <c r="P353" s="12" t="s">
        <v>53</v>
      </c>
      <c r="Q353" s="14"/>
      <c r="R353" s="14"/>
      <c r="S353" s="12" t="s">
        <v>51</v>
      </c>
      <c r="T353" s="11">
        <v>44352</v>
      </c>
      <c r="U353" s="12" t="str">
        <f t="shared" si="45"/>
        <v>N</v>
      </c>
      <c r="V353" s="12" t="str">
        <f t="shared" si="46"/>
        <v>N</v>
      </c>
      <c r="W353" s="12" t="str">
        <f t="shared" si="47"/>
        <v>N</v>
      </c>
      <c r="X353" s="12" t="str">
        <f t="shared" si="48"/>
        <v>N</v>
      </c>
      <c r="Y353" s="12" t="str">
        <f t="shared" si="49"/>
        <v>N</v>
      </c>
      <c r="Z353" s="12" t="str">
        <f t="shared" si="50"/>
        <v>N</v>
      </c>
      <c r="AA353" s="12">
        <f t="shared" si="51"/>
        <v>1</v>
      </c>
      <c r="AB353" s="12" t="str">
        <f t="shared" si="52"/>
        <v>SINGLE-SIGNAL</v>
      </c>
      <c r="AC353" s="14" t="str">
        <f t="shared" si="53"/>
        <v>Inactive Customer</v>
      </c>
    </row>
    <row r="354" spans="1:29" x14ac:dyDescent="0.45">
      <c r="A354" s="2" t="s">
        <v>1017</v>
      </c>
      <c r="B354" s="2" t="s">
        <v>1018</v>
      </c>
      <c r="C354" s="2" t="s">
        <v>989</v>
      </c>
      <c r="D354" s="2" t="s">
        <v>1019</v>
      </c>
      <c r="E354" s="11">
        <v>45150</v>
      </c>
      <c r="F354" s="12" t="s">
        <v>51</v>
      </c>
      <c r="G354" s="13">
        <v>86500</v>
      </c>
      <c r="H354" s="12" t="s">
        <v>93</v>
      </c>
      <c r="I354" s="11">
        <v>46907</v>
      </c>
      <c r="J354" s="12" t="s">
        <v>53</v>
      </c>
      <c r="K354" s="11"/>
      <c r="L354" s="12" t="s">
        <v>53</v>
      </c>
      <c r="M354" s="12" t="s">
        <v>53</v>
      </c>
      <c r="N354" s="11"/>
      <c r="O354" s="12"/>
      <c r="P354" s="12" t="s">
        <v>53</v>
      </c>
      <c r="Q354" s="14"/>
      <c r="R354" s="14"/>
      <c r="S354" s="12" t="s">
        <v>53</v>
      </c>
      <c r="T354" s="11"/>
      <c r="U354" s="12" t="str">
        <f t="shared" si="45"/>
        <v>N</v>
      </c>
      <c r="V354" s="12" t="str">
        <f t="shared" si="46"/>
        <v>N</v>
      </c>
      <c r="W354" s="12" t="str">
        <f t="shared" si="47"/>
        <v>N</v>
      </c>
      <c r="X354" s="12" t="str">
        <f t="shared" si="48"/>
        <v>N</v>
      </c>
      <c r="Y354" s="12" t="str">
        <f t="shared" si="49"/>
        <v>N</v>
      </c>
      <c r="Z354" s="12" t="str">
        <f t="shared" si="50"/>
        <v>N</v>
      </c>
      <c r="AA354" s="12">
        <f t="shared" si="51"/>
        <v>1</v>
      </c>
      <c r="AB354" s="12" t="str">
        <f t="shared" si="52"/>
        <v>SINGLE-SIGNAL</v>
      </c>
      <c r="AC354" s="14" t="str">
        <f t="shared" si="53"/>
        <v>Settlement Authorization</v>
      </c>
    </row>
    <row r="355" spans="1:29" ht="28.5" x14ac:dyDescent="0.45">
      <c r="A355" s="2" t="s">
        <v>1020</v>
      </c>
      <c r="B355" s="2" t="s">
        <v>1021</v>
      </c>
      <c r="C355" s="2" t="s">
        <v>989</v>
      </c>
      <c r="D355" s="2" t="s">
        <v>347</v>
      </c>
      <c r="E355" s="11">
        <v>44667</v>
      </c>
      <c r="F355" s="12" t="s">
        <v>51</v>
      </c>
      <c r="G355" s="13">
        <v>1500</v>
      </c>
      <c r="H355" s="12" t="s">
        <v>71</v>
      </c>
      <c r="I355" s="11">
        <v>46200</v>
      </c>
      <c r="J355" s="12" t="s">
        <v>53</v>
      </c>
      <c r="K355" s="11"/>
      <c r="L355" s="12" t="s">
        <v>51</v>
      </c>
      <c r="M355" s="12" t="s">
        <v>51</v>
      </c>
      <c r="N355" s="11">
        <v>45729</v>
      </c>
      <c r="O355" s="12" t="s">
        <v>286</v>
      </c>
      <c r="P355" s="12" t="s">
        <v>53</v>
      </c>
      <c r="Q355" s="14"/>
      <c r="R355" s="14"/>
      <c r="S355" s="12" t="s">
        <v>51</v>
      </c>
      <c r="T355" s="11">
        <v>46552</v>
      </c>
      <c r="U355" s="12" t="str">
        <f t="shared" si="45"/>
        <v>N</v>
      </c>
      <c r="V355" s="12" t="str">
        <f t="shared" si="46"/>
        <v>N</v>
      </c>
      <c r="W355" s="12" t="str">
        <f t="shared" si="47"/>
        <v>N</v>
      </c>
      <c r="X355" s="12" t="str">
        <f t="shared" si="48"/>
        <v>N</v>
      </c>
      <c r="Y355" s="12" t="str">
        <f t="shared" si="49"/>
        <v>N</v>
      </c>
      <c r="Z355" s="12" t="str">
        <f t="shared" si="50"/>
        <v>N</v>
      </c>
      <c r="AA355" s="12">
        <f t="shared" si="51"/>
        <v>3</v>
      </c>
      <c r="AB355" s="12" t="str">
        <f t="shared" si="52"/>
        <v>ELEVATED MULTI-SIGNAL</v>
      </c>
      <c r="AC355" s="14" t="str">
        <f t="shared" si="53"/>
        <v>Settlement Authorization | Pending QME | Inactive Customer</v>
      </c>
    </row>
    <row r="356" spans="1:29" x14ac:dyDescent="0.45">
      <c r="A356" s="2" t="s">
        <v>1022</v>
      </c>
      <c r="B356" s="2" t="s">
        <v>1023</v>
      </c>
      <c r="C356" s="2" t="s">
        <v>989</v>
      </c>
      <c r="D356" s="2" t="s">
        <v>397</v>
      </c>
      <c r="E356" s="11">
        <v>44787</v>
      </c>
      <c r="F356" s="12" t="s">
        <v>51</v>
      </c>
      <c r="G356" s="13">
        <v>135750</v>
      </c>
      <c r="H356" s="12" t="s">
        <v>116</v>
      </c>
      <c r="I356" s="11">
        <v>44872</v>
      </c>
      <c r="J356" s="12" t="s">
        <v>53</v>
      </c>
      <c r="K356" s="11"/>
      <c r="L356" s="12" t="s">
        <v>51</v>
      </c>
      <c r="M356" s="12" t="s">
        <v>53</v>
      </c>
      <c r="N356" s="11"/>
      <c r="O356" s="12"/>
      <c r="P356" s="12" t="s">
        <v>53</v>
      </c>
      <c r="Q356" s="14"/>
      <c r="R356" s="14"/>
      <c r="S356" s="12" t="s">
        <v>51</v>
      </c>
      <c r="T356" s="11">
        <v>46268</v>
      </c>
      <c r="U356" s="12" t="str">
        <f t="shared" si="45"/>
        <v>N</v>
      </c>
      <c r="V356" s="12" t="str">
        <f t="shared" si="46"/>
        <v>N</v>
      </c>
      <c r="W356" s="12" t="str">
        <f t="shared" si="47"/>
        <v>N</v>
      </c>
      <c r="X356" s="12" t="str">
        <f t="shared" si="48"/>
        <v>N</v>
      </c>
      <c r="Y356" s="12" t="str">
        <f t="shared" si="49"/>
        <v>N</v>
      </c>
      <c r="Z356" s="12" t="str">
        <f t="shared" si="50"/>
        <v>N</v>
      </c>
      <c r="AA356" s="12">
        <f t="shared" si="51"/>
        <v>2</v>
      </c>
      <c r="AB356" s="12" t="str">
        <f t="shared" si="52"/>
        <v>MULTI-SIGNAL</v>
      </c>
      <c r="AC356" s="14" t="str">
        <f t="shared" si="53"/>
        <v>Settlement Authorization | Inactive Customer</v>
      </c>
    </row>
    <row r="357" spans="1:29" x14ac:dyDescent="0.45">
      <c r="A357" s="2" t="s">
        <v>1024</v>
      </c>
      <c r="B357" s="2" t="s">
        <v>1025</v>
      </c>
      <c r="C357" s="2" t="s">
        <v>989</v>
      </c>
      <c r="D357" s="2" t="s">
        <v>326</v>
      </c>
      <c r="E357" s="11">
        <v>45103</v>
      </c>
      <c r="F357" s="12" t="s">
        <v>53</v>
      </c>
      <c r="G357" s="13"/>
      <c r="H357" s="12"/>
      <c r="I357" s="11"/>
      <c r="J357" s="12" t="s">
        <v>51</v>
      </c>
      <c r="K357" s="11">
        <v>46213</v>
      </c>
      <c r="L357" s="12" t="s">
        <v>53</v>
      </c>
      <c r="M357" s="12" t="s">
        <v>53</v>
      </c>
      <c r="N357" s="11"/>
      <c r="O357" s="12"/>
      <c r="P357" s="12" t="s">
        <v>53</v>
      </c>
      <c r="Q357" s="14"/>
      <c r="R357" s="14"/>
      <c r="S357" s="12" t="s">
        <v>53</v>
      </c>
      <c r="T357" s="11"/>
      <c r="U357" s="12" t="str">
        <f t="shared" si="45"/>
        <v>N</v>
      </c>
      <c r="V357" s="12" t="str">
        <f t="shared" si="46"/>
        <v>N</v>
      </c>
      <c r="W357" s="12" t="str">
        <f t="shared" si="47"/>
        <v>N</v>
      </c>
      <c r="X357" s="12" t="str">
        <f t="shared" si="48"/>
        <v>N</v>
      </c>
      <c r="Y357" s="12" t="str">
        <f t="shared" si="49"/>
        <v>N</v>
      </c>
      <c r="Z357" s="12" t="str">
        <f t="shared" si="50"/>
        <v>N</v>
      </c>
      <c r="AA357" s="12">
        <f t="shared" si="51"/>
        <v>1</v>
      </c>
      <c r="AB357" s="12" t="str">
        <f t="shared" si="52"/>
        <v>SINGLE-SIGNAL</v>
      </c>
      <c r="AC357" s="14" t="str">
        <f t="shared" si="53"/>
        <v>Open Stipulation</v>
      </c>
    </row>
    <row r="358" spans="1:29" ht="28.5" x14ac:dyDescent="0.45">
      <c r="A358" s="2" t="s">
        <v>1026</v>
      </c>
      <c r="B358" s="2" t="s">
        <v>1027</v>
      </c>
      <c r="C358" s="2" t="s">
        <v>989</v>
      </c>
      <c r="D358" s="2" t="s">
        <v>1028</v>
      </c>
      <c r="E358" s="11">
        <v>43392</v>
      </c>
      <c r="F358" s="12" t="s">
        <v>51</v>
      </c>
      <c r="G358" s="13">
        <v>136250</v>
      </c>
      <c r="H358" s="12" t="s">
        <v>52</v>
      </c>
      <c r="I358" s="11">
        <v>44739</v>
      </c>
      <c r="J358" s="12" t="s">
        <v>53</v>
      </c>
      <c r="K358" s="11"/>
      <c r="L358" s="12" t="s">
        <v>51</v>
      </c>
      <c r="M358" s="12" t="s">
        <v>51</v>
      </c>
      <c r="N358" s="11">
        <v>44862</v>
      </c>
      <c r="O358" s="12" t="s">
        <v>458</v>
      </c>
      <c r="P358" s="12" t="s">
        <v>53</v>
      </c>
      <c r="Q358" s="14"/>
      <c r="R358" s="14"/>
      <c r="S358" s="12" t="s">
        <v>51</v>
      </c>
      <c r="T358" s="11">
        <v>44343</v>
      </c>
      <c r="U358" s="12" t="str">
        <f t="shared" si="45"/>
        <v>N</v>
      </c>
      <c r="V358" s="12" t="str">
        <f t="shared" si="46"/>
        <v>N</v>
      </c>
      <c r="W358" s="12" t="str">
        <f t="shared" si="47"/>
        <v>N</v>
      </c>
      <c r="X358" s="12" t="str">
        <f t="shared" si="48"/>
        <v>N</v>
      </c>
      <c r="Y358" s="12" t="str">
        <f t="shared" si="49"/>
        <v>N</v>
      </c>
      <c r="Z358" s="12" t="str">
        <f t="shared" si="50"/>
        <v>N</v>
      </c>
      <c r="AA358" s="12">
        <f t="shared" si="51"/>
        <v>3</v>
      </c>
      <c r="AB358" s="12" t="str">
        <f t="shared" si="52"/>
        <v>ELEVATED MULTI-SIGNAL</v>
      </c>
      <c r="AC358" s="14" t="str">
        <f t="shared" si="53"/>
        <v>Settlement Authorization | Pending QME | Inactive Customer</v>
      </c>
    </row>
    <row r="359" spans="1:29" ht="28.5" x14ac:dyDescent="0.45">
      <c r="A359" s="2" t="s">
        <v>1029</v>
      </c>
      <c r="B359" s="2" t="s">
        <v>1030</v>
      </c>
      <c r="C359" s="2" t="s">
        <v>989</v>
      </c>
      <c r="D359" s="2" t="s">
        <v>492</v>
      </c>
      <c r="E359" s="11">
        <v>44476</v>
      </c>
      <c r="F359" s="12" t="s">
        <v>53</v>
      </c>
      <c r="G359" s="13"/>
      <c r="H359" s="12"/>
      <c r="I359" s="11"/>
      <c r="J359" s="12" t="s">
        <v>53</v>
      </c>
      <c r="K359" s="11"/>
      <c r="L359" s="12"/>
      <c r="M359" s="12" t="s">
        <v>53</v>
      </c>
      <c r="N359" s="11"/>
      <c r="O359" s="12"/>
      <c r="P359" s="12" t="s">
        <v>51</v>
      </c>
      <c r="Q359" s="14" t="s">
        <v>802</v>
      </c>
      <c r="R359" s="14" t="s">
        <v>149</v>
      </c>
      <c r="S359" s="12" t="s">
        <v>53</v>
      </c>
      <c r="T359" s="11"/>
      <c r="U359" s="12" t="str">
        <f t="shared" si="45"/>
        <v>Y</v>
      </c>
      <c r="V359" s="12" t="str">
        <f t="shared" si="46"/>
        <v>N</v>
      </c>
      <c r="W359" s="12" t="str">
        <f t="shared" si="47"/>
        <v>N</v>
      </c>
      <c r="X359" s="12" t="str">
        <f t="shared" si="48"/>
        <v>N</v>
      </c>
      <c r="Y359" s="12" t="str">
        <f t="shared" si="49"/>
        <v>Y</v>
      </c>
      <c r="Z359" s="12" t="str">
        <f t="shared" si="50"/>
        <v>Y</v>
      </c>
      <c r="AA359" s="12">
        <f t="shared" si="51"/>
        <v>1</v>
      </c>
      <c r="AB359" s="12" t="str">
        <f t="shared" si="52"/>
        <v>SINGLE-SIGNAL</v>
      </c>
      <c r="AC359" s="14" t="str">
        <f t="shared" si="53"/>
        <v>Automated Claim Alert</v>
      </c>
    </row>
    <row r="360" spans="1:29" x14ac:dyDescent="0.45">
      <c r="A360" s="2" t="s">
        <v>1031</v>
      </c>
      <c r="B360" s="2" t="s">
        <v>1032</v>
      </c>
      <c r="C360" s="2" t="s">
        <v>989</v>
      </c>
      <c r="D360" s="2" t="s">
        <v>176</v>
      </c>
      <c r="E360" s="11">
        <v>43124</v>
      </c>
      <c r="F360" s="12" t="s">
        <v>51</v>
      </c>
      <c r="G360" s="13">
        <v>147750</v>
      </c>
      <c r="H360" s="12" t="s">
        <v>66</v>
      </c>
      <c r="I360" s="11">
        <v>44386</v>
      </c>
      <c r="J360" s="12" t="s">
        <v>53</v>
      </c>
      <c r="K360" s="11"/>
      <c r="L360" s="12" t="s">
        <v>53</v>
      </c>
      <c r="M360" s="12" t="s">
        <v>53</v>
      </c>
      <c r="N360" s="11"/>
      <c r="O360" s="12"/>
      <c r="P360" s="12" t="s">
        <v>53</v>
      </c>
      <c r="Q360" s="14"/>
      <c r="R360" s="14"/>
      <c r="S360" s="12" t="s">
        <v>53</v>
      </c>
      <c r="T360" s="11"/>
      <c r="U360" s="12" t="str">
        <f t="shared" si="45"/>
        <v>N</v>
      </c>
      <c r="V360" s="12" t="str">
        <f t="shared" si="46"/>
        <v>N</v>
      </c>
      <c r="W360" s="12" t="str">
        <f t="shared" si="47"/>
        <v>N</v>
      </c>
      <c r="X360" s="12" t="str">
        <f t="shared" si="48"/>
        <v>N</v>
      </c>
      <c r="Y360" s="12" t="str">
        <f t="shared" si="49"/>
        <v>N</v>
      </c>
      <c r="Z360" s="12" t="str">
        <f t="shared" si="50"/>
        <v>N</v>
      </c>
      <c r="AA360" s="12">
        <f t="shared" si="51"/>
        <v>1</v>
      </c>
      <c r="AB360" s="12" t="str">
        <f t="shared" si="52"/>
        <v>SINGLE-SIGNAL</v>
      </c>
      <c r="AC360" s="14" t="str">
        <f t="shared" si="53"/>
        <v>Settlement Authorization</v>
      </c>
    </row>
    <row r="361" spans="1:29" x14ac:dyDescent="0.45">
      <c r="A361" s="2" t="s">
        <v>1033</v>
      </c>
      <c r="B361" s="2" t="s">
        <v>1034</v>
      </c>
      <c r="C361" s="2" t="s">
        <v>989</v>
      </c>
      <c r="D361" s="2" t="s">
        <v>84</v>
      </c>
      <c r="E361" s="11">
        <v>43514</v>
      </c>
      <c r="F361" s="12" t="s">
        <v>53</v>
      </c>
      <c r="G361" s="13"/>
      <c r="H361" s="12"/>
      <c r="I361" s="11"/>
      <c r="J361" s="12" t="s">
        <v>51</v>
      </c>
      <c r="K361" s="11">
        <v>43562</v>
      </c>
      <c r="L361" s="12" t="s">
        <v>51</v>
      </c>
      <c r="M361" s="12" t="s">
        <v>53</v>
      </c>
      <c r="N361" s="11"/>
      <c r="O361" s="12"/>
      <c r="P361" s="12" t="s">
        <v>53</v>
      </c>
      <c r="Q361" s="14"/>
      <c r="R361" s="14"/>
      <c r="S361" s="12" t="s">
        <v>53</v>
      </c>
      <c r="T361" s="11"/>
      <c r="U361" s="12" t="str">
        <f t="shared" si="45"/>
        <v>N</v>
      </c>
      <c r="V361" s="12" t="str">
        <f t="shared" si="46"/>
        <v>N</v>
      </c>
      <c r="W361" s="12" t="str">
        <f t="shared" si="47"/>
        <v>N</v>
      </c>
      <c r="X361" s="12" t="str">
        <f t="shared" si="48"/>
        <v>N</v>
      </c>
      <c r="Y361" s="12" t="str">
        <f t="shared" si="49"/>
        <v>N</v>
      </c>
      <c r="Z361" s="12" t="str">
        <f t="shared" si="50"/>
        <v>N</v>
      </c>
      <c r="AA361" s="12">
        <f t="shared" si="51"/>
        <v>1</v>
      </c>
      <c r="AB361" s="12" t="str">
        <f t="shared" si="52"/>
        <v>SINGLE-SIGNAL</v>
      </c>
      <c r="AC361" s="14" t="str">
        <f t="shared" si="53"/>
        <v>Open Stipulation</v>
      </c>
    </row>
    <row r="362" spans="1:29" ht="28.5" x14ac:dyDescent="0.45">
      <c r="A362" s="2" t="s">
        <v>1035</v>
      </c>
      <c r="B362" s="2" t="s">
        <v>1036</v>
      </c>
      <c r="C362" s="2" t="s">
        <v>989</v>
      </c>
      <c r="D362" s="2" t="s">
        <v>410</v>
      </c>
      <c r="E362" s="11">
        <v>44370</v>
      </c>
      <c r="F362" s="12" t="s">
        <v>53</v>
      </c>
      <c r="G362" s="13"/>
      <c r="H362" s="12"/>
      <c r="I362" s="11"/>
      <c r="J362" s="12" t="s">
        <v>51</v>
      </c>
      <c r="K362" s="11">
        <v>45378</v>
      </c>
      <c r="L362" s="12" t="s">
        <v>53</v>
      </c>
      <c r="M362" s="12" t="s">
        <v>51</v>
      </c>
      <c r="N362" s="11">
        <v>45530</v>
      </c>
      <c r="O362" s="12" t="s">
        <v>847</v>
      </c>
      <c r="P362" s="12" t="s">
        <v>51</v>
      </c>
      <c r="Q362" s="14" t="s">
        <v>183</v>
      </c>
      <c r="R362" s="14" t="s">
        <v>469</v>
      </c>
      <c r="S362" s="12" t="s">
        <v>53</v>
      </c>
      <c r="T362" s="11"/>
      <c r="U362" s="12" t="str">
        <f t="shared" si="45"/>
        <v>Y</v>
      </c>
      <c r="V362" s="12" t="str">
        <f t="shared" si="46"/>
        <v>N</v>
      </c>
      <c r="W362" s="12" t="str">
        <f t="shared" si="47"/>
        <v>Y</v>
      </c>
      <c r="X362" s="12" t="str">
        <f t="shared" si="48"/>
        <v>N</v>
      </c>
      <c r="Y362" s="12" t="str">
        <f t="shared" si="49"/>
        <v>N</v>
      </c>
      <c r="Z362" s="12" t="str">
        <f t="shared" si="50"/>
        <v>Y</v>
      </c>
      <c r="AA362" s="12">
        <f t="shared" si="51"/>
        <v>3</v>
      </c>
      <c r="AB362" s="12" t="str">
        <f t="shared" si="52"/>
        <v>ELEVATED MULTI-SIGNAL</v>
      </c>
      <c r="AC362" s="14" t="str">
        <f t="shared" si="53"/>
        <v>Open Stipulation | Pending QME | Automated Claim Alert</v>
      </c>
    </row>
    <row r="363" spans="1:29" x14ac:dyDescent="0.45">
      <c r="A363" s="2" t="s">
        <v>1037</v>
      </c>
      <c r="B363" s="2" t="s">
        <v>1038</v>
      </c>
      <c r="C363" s="2" t="s">
        <v>989</v>
      </c>
      <c r="D363" s="2" t="s">
        <v>77</v>
      </c>
      <c r="E363" s="11">
        <v>43799</v>
      </c>
      <c r="F363" s="12" t="s">
        <v>51</v>
      </c>
      <c r="G363" s="13">
        <v>168250</v>
      </c>
      <c r="H363" s="12" t="s">
        <v>71</v>
      </c>
      <c r="I363" s="11">
        <v>44694</v>
      </c>
      <c r="J363" s="12" t="s">
        <v>53</v>
      </c>
      <c r="K363" s="11"/>
      <c r="L363" s="12" t="s">
        <v>51</v>
      </c>
      <c r="M363" s="12" t="s">
        <v>53</v>
      </c>
      <c r="N363" s="11"/>
      <c r="O363" s="12"/>
      <c r="P363" s="12" t="s">
        <v>53</v>
      </c>
      <c r="Q363" s="14"/>
      <c r="R363" s="14"/>
      <c r="S363" s="12" t="s">
        <v>53</v>
      </c>
      <c r="T363" s="11"/>
      <c r="U363" s="12" t="str">
        <f t="shared" si="45"/>
        <v>N</v>
      </c>
      <c r="V363" s="12" t="str">
        <f t="shared" si="46"/>
        <v>N</v>
      </c>
      <c r="W363" s="12" t="str">
        <f t="shared" si="47"/>
        <v>N</v>
      </c>
      <c r="X363" s="12" t="str">
        <f t="shared" si="48"/>
        <v>N</v>
      </c>
      <c r="Y363" s="12" t="str">
        <f t="shared" si="49"/>
        <v>N</v>
      </c>
      <c r="Z363" s="12" t="str">
        <f t="shared" si="50"/>
        <v>N</v>
      </c>
      <c r="AA363" s="12">
        <f t="shared" si="51"/>
        <v>1</v>
      </c>
      <c r="AB363" s="12" t="str">
        <f t="shared" si="52"/>
        <v>SINGLE-SIGNAL</v>
      </c>
      <c r="AC363" s="14" t="str">
        <f t="shared" si="53"/>
        <v>Settlement Authorization</v>
      </c>
    </row>
    <row r="364" spans="1:29" x14ac:dyDescent="0.45">
      <c r="A364" s="2" t="s">
        <v>1039</v>
      </c>
      <c r="B364" s="2" t="s">
        <v>1040</v>
      </c>
      <c r="C364" s="2" t="s">
        <v>270</v>
      </c>
      <c r="D364" s="2" t="s">
        <v>247</v>
      </c>
      <c r="E364" s="11">
        <v>43235</v>
      </c>
      <c r="F364" s="12" t="s">
        <v>53</v>
      </c>
      <c r="G364" s="13"/>
      <c r="H364" s="12"/>
      <c r="I364" s="11"/>
      <c r="J364" s="12" t="s">
        <v>53</v>
      </c>
      <c r="K364" s="11"/>
      <c r="L364" s="12"/>
      <c r="M364" s="12" t="s">
        <v>53</v>
      </c>
      <c r="N364" s="11"/>
      <c r="O364" s="12"/>
      <c r="P364" s="12" t="s">
        <v>53</v>
      </c>
      <c r="Q364" s="14"/>
      <c r="R364" s="14"/>
      <c r="S364" s="12" t="s">
        <v>51</v>
      </c>
      <c r="T364" s="11">
        <v>44215</v>
      </c>
      <c r="U364" s="12" t="str">
        <f t="shared" si="45"/>
        <v>N</v>
      </c>
      <c r="V364" s="12" t="str">
        <f t="shared" si="46"/>
        <v>N</v>
      </c>
      <c r="W364" s="12" t="str">
        <f t="shared" si="47"/>
        <v>N</v>
      </c>
      <c r="X364" s="12" t="str">
        <f t="shared" si="48"/>
        <v>N</v>
      </c>
      <c r="Y364" s="12" t="str">
        <f t="shared" si="49"/>
        <v>N</v>
      </c>
      <c r="Z364" s="12" t="str">
        <f t="shared" si="50"/>
        <v>N</v>
      </c>
      <c r="AA364" s="12">
        <f t="shared" si="51"/>
        <v>1</v>
      </c>
      <c r="AB364" s="12" t="str">
        <f t="shared" si="52"/>
        <v>SINGLE-SIGNAL</v>
      </c>
      <c r="AC364" s="14" t="str">
        <f t="shared" si="53"/>
        <v>Inactive Customer</v>
      </c>
    </row>
    <row r="365" spans="1:29" x14ac:dyDescent="0.45">
      <c r="A365" s="2" t="s">
        <v>1041</v>
      </c>
      <c r="B365" s="2" t="s">
        <v>1042</v>
      </c>
      <c r="C365" s="2" t="s">
        <v>270</v>
      </c>
      <c r="D365" s="2" t="s">
        <v>201</v>
      </c>
      <c r="E365" s="11">
        <v>43665</v>
      </c>
      <c r="F365" s="12" t="s">
        <v>53</v>
      </c>
      <c r="G365" s="13"/>
      <c r="H365" s="12"/>
      <c r="I365" s="11"/>
      <c r="J365" s="12" t="s">
        <v>53</v>
      </c>
      <c r="K365" s="11"/>
      <c r="L365" s="12"/>
      <c r="M365" s="12" t="s">
        <v>51</v>
      </c>
      <c r="N365" s="11">
        <v>44542</v>
      </c>
      <c r="O365" s="12" t="s">
        <v>458</v>
      </c>
      <c r="P365" s="12" t="s">
        <v>53</v>
      </c>
      <c r="Q365" s="14"/>
      <c r="R365" s="14"/>
      <c r="S365" s="12" t="s">
        <v>53</v>
      </c>
      <c r="T365" s="11"/>
      <c r="U365" s="12" t="str">
        <f t="shared" si="45"/>
        <v>N</v>
      </c>
      <c r="V365" s="12" t="str">
        <f t="shared" si="46"/>
        <v>N</v>
      </c>
      <c r="W365" s="12" t="str">
        <f t="shared" si="47"/>
        <v>N</v>
      </c>
      <c r="X365" s="12" t="str">
        <f t="shared" si="48"/>
        <v>N</v>
      </c>
      <c r="Y365" s="12" t="str">
        <f t="shared" si="49"/>
        <v>N</v>
      </c>
      <c r="Z365" s="12" t="str">
        <f t="shared" si="50"/>
        <v>N</v>
      </c>
      <c r="AA365" s="12">
        <f t="shared" si="51"/>
        <v>1</v>
      </c>
      <c r="AB365" s="12" t="str">
        <f t="shared" si="52"/>
        <v>SINGLE-SIGNAL</v>
      </c>
      <c r="AC365" s="14" t="str">
        <f t="shared" si="53"/>
        <v>Pending QME</v>
      </c>
    </row>
    <row r="366" spans="1:29" x14ac:dyDescent="0.45">
      <c r="A366" s="2" t="s">
        <v>1043</v>
      </c>
      <c r="B366" s="2" t="s">
        <v>1044</v>
      </c>
      <c r="C366" s="2" t="s">
        <v>270</v>
      </c>
      <c r="D366" s="2" t="s">
        <v>1045</v>
      </c>
      <c r="E366" s="11">
        <v>43232</v>
      </c>
      <c r="F366" s="12" t="s">
        <v>51</v>
      </c>
      <c r="G366" s="13">
        <v>42250</v>
      </c>
      <c r="H366" s="12" t="s">
        <v>277</v>
      </c>
      <c r="I366" s="11">
        <v>44758</v>
      </c>
      <c r="J366" s="12" t="s">
        <v>53</v>
      </c>
      <c r="K366" s="11"/>
      <c r="L366" s="12" t="s">
        <v>51</v>
      </c>
      <c r="M366" s="12" t="s">
        <v>53</v>
      </c>
      <c r="N366" s="11"/>
      <c r="O366" s="12"/>
      <c r="P366" s="12" t="s">
        <v>53</v>
      </c>
      <c r="Q366" s="14"/>
      <c r="R366" s="14"/>
      <c r="S366" s="12" t="s">
        <v>53</v>
      </c>
      <c r="T366" s="11"/>
      <c r="U366" s="12" t="str">
        <f t="shared" si="45"/>
        <v>N</v>
      </c>
      <c r="V366" s="12" t="str">
        <f t="shared" si="46"/>
        <v>N</v>
      </c>
      <c r="W366" s="12" t="str">
        <f t="shared" si="47"/>
        <v>N</v>
      </c>
      <c r="X366" s="12" t="str">
        <f t="shared" si="48"/>
        <v>N</v>
      </c>
      <c r="Y366" s="12" t="str">
        <f t="shared" si="49"/>
        <v>N</v>
      </c>
      <c r="Z366" s="12" t="str">
        <f t="shared" si="50"/>
        <v>N</v>
      </c>
      <c r="AA366" s="12">
        <f t="shared" si="51"/>
        <v>1</v>
      </c>
      <c r="AB366" s="12" t="str">
        <f t="shared" si="52"/>
        <v>SINGLE-SIGNAL</v>
      </c>
      <c r="AC366" s="14" t="str">
        <f t="shared" si="53"/>
        <v>Settlement Authorization</v>
      </c>
    </row>
    <row r="367" spans="1:29" x14ac:dyDescent="0.45">
      <c r="A367" s="2" t="s">
        <v>1046</v>
      </c>
      <c r="B367" s="2" t="s">
        <v>1047</v>
      </c>
      <c r="C367" s="2" t="s">
        <v>270</v>
      </c>
      <c r="D367" s="2" t="s">
        <v>353</v>
      </c>
      <c r="E367" s="11">
        <v>43534</v>
      </c>
      <c r="F367" s="12" t="s">
        <v>51</v>
      </c>
      <c r="G367" s="13">
        <v>47500</v>
      </c>
      <c r="H367" s="12" t="s">
        <v>93</v>
      </c>
      <c r="I367" s="11">
        <v>43987</v>
      </c>
      <c r="J367" s="12" t="s">
        <v>53</v>
      </c>
      <c r="K367" s="11"/>
      <c r="L367" s="12" t="s">
        <v>51</v>
      </c>
      <c r="M367" s="12" t="s">
        <v>53</v>
      </c>
      <c r="N367" s="11"/>
      <c r="O367" s="12"/>
      <c r="P367" s="12" t="s">
        <v>53</v>
      </c>
      <c r="Q367" s="14"/>
      <c r="R367" s="14"/>
      <c r="S367" s="12" t="s">
        <v>53</v>
      </c>
      <c r="T367" s="11"/>
      <c r="U367" s="12" t="str">
        <f t="shared" si="45"/>
        <v>N</v>
      </c>
      <c r="V367" s="12" t="str">
        <f t="shared" si="46"/>
        <v>N</v>
      </c>
      <c r="W367" s="12" t="str">
        <f t="shared" si="47"/>
        <v>N</v>
      </c>
      <c r="X367" s="12" t="str">
        <f t="shared" si="48"/>
        <v>N</v>
      </c>
      <c r="Y367" s="12" t="str">
        <f t="shared" si="49"/>
        <v>N</v>
      </c>
      <c r="Z367" s="12" t="str">
        <f t="shared" si="50"/>
        <v>N</v>
      </c>
      <c r="AA367" s="12">
        <f t="shared" si="51"/>
        <v>1</v>
      </c>
      <c r="AB367" s="12" t="str">
        <f t="shared" si="52"/>
        <v>SINGLE-SIGNAL</v>
      </c>
      <c r="AC367" s="14" t="str">
        <f t="shared" si="53"/>
        <v>Settlement Authorization</v>
      </c>
    </row>
    <row r="368" spans="1:29" x14ac:dyDescent="0.45">
      <c r="A368" s="2" t="s">
        <v>1048</v>
      </c>
      <c r="B368" s="2" t="s">
        <v>1049</v>
      </c>
      <c r="C368" s="2" t="s">
        <v>270</v>
      </c>
      <c r="D368" s="2" t="s">
        <v>1050</v>
      </c>
      <c r="E368" s="11">
        <v>43358</v>
      </c>
      <c r="F368" s="12" t="s">
        <v>53</v>
      </c>
      <c r="G368" s="13"/>
      <c r="H368" s="12"/>
      <c r="I368" s="11"/>
      <c r="J368" s="12" t="s">
        <v>51</v>
      </c>
      <c r="K368" s="11">
        <v>43720</v>
      </c>
      <c r="L368" s="12" t="s">
        <v>53</v>
      </c>
      <c r="M368" s="12" t="s">
        <v>51</v>
      </c>
      <c r="N368" s="11">
        <v>45184</v>
      </c>
      <c r="O368" s="12" t="s">
        <v>1051</v>
      </c>
      <c r="P368" s="12" t="s">
        <v>53</v>
      </c>
      <c r="Q368" s="14"/>
      <c r="R368" s="14"/>
      <c r="S368" s="12" t="s">
        <v>53</v>
      </c>
      <c r="T368" s="11"/>
      <c r="U368" s="12" t="str">
        <f t="shared" si="45"/>
        <v>N</v>
      </c>
      <c r="V368" s="12" t="str">
        <f t="shared" si="46"/>
        <v>N</v>
      </c>
      <c r="W368" s="12" t="str">
        <f t="shared" si="47"/>
        <v>N</v>
      </c>
      <c r="X368" s="12" t="str">
        <f t="shared" si="48"/>
        <v>N</v>
      </c>
      <c r="Y368" s="12" t="str">
        <f t="shared" si="49"/>
        <v>N</v>
      </c>
      <c r="Z368" s="12" t="str">
        <f t="shared" si="50"/>
        <v>N</v>
      </c>
      <c r="AA368" s="12">
        <f t="shared" si="51"/>
        <v>2</v>
      </c>
      <c r="AB368" s="12" t="str">
        <f t="shared" si="52"/>
        <v>MULTI-SIGNAL</v>
      </c>
      <c r="AC368" s="14" t="str">
        <f t="shared" si="53"/>
        <v>Open Stipulation | Pending QME</v>
      </c>
    </row>
    <row r="369" spans="1:29" x14ac:dyDescent="0.45">
      <c r="A369" s="2" t="s">
        <v>1052</v>
      </c>
      <c r="B369" s="2" t="s">
        <v>1053</v>
      </c>
      <c r="C369" s="2" t="s">
        <v>270</v>
      </c>
      <c r="D369" s="2" t="s">
        <v>295</v>
      </c>
      <c r="E369" s="11">
        <v>43174</v>
      </c>
      <c r="F369" s="12" t="s">
        <v>53</v>
      </c>
      <c r="G369" s="13"/>
      <c r="H369" s="12"/>
      <c r="I369" s="11"/>
      <c r="J369" s="12" t="s">
        <v>53</v>
      </c>
      <c r="K369" s="11"/>
      <c r="L369" s="12"/>
      <c r="M369" s="12" t="s">
        <v>51</v>
      </c>
      <c r="N369" s="11">
        <v>44104</v>
      </c>
      <c r="O369" s="12" t="s">
        <v>1054</v>
      </c>
      <c r="P369" s="12" t="s">
        <v>53</v>
      </c>
      <c r="Q369" s="14"/>
      <c r="R369" s="14"/>
      <c r="S369" s="12" t="s">
        <v>53</v>
      </c>
      <c r="T369" s="11"/>
      <c r="U369" s="12" t="str">
        <f t="shared" si="45"/>
        <v>N</v>
      </c>
      <c r="V369" s="12" t="str">
        <f t="shared" si="46"/>
        <v>N</v>
      </c>
      <c r="W369" s="12" t="str">
        <f t="shared" si="47"/>
        <v>N</v>
      </c>
      <c r="X369" s="12" t="str">
        <f t="shared" si="48"/>
        <v>N</v>
      </c>
      <c r="Y369" s="12" t="str">
        <f t="shared" si="49"/>
        <v>N</v>
      </c>
      <c r="Z369" s="12" t="str">
        <f t="shared" si="50"/>
        <v>N</v>
      </c>
      <c r="AA369" s="12">
        <f t="shared" si="51"/>
        <v>1</v>
      </c>
      <c r="AB369" s="12" t="str">
        <f t="shared" si="52"/>
        <v>SINGLE-SIGNAL</v>
      </c>
      <c r="AC369" s="14" t="str">
        <f t="shared" si="53"/>
        <v>Pending QME</v>
      </c>
    </row>
    <row r="370" spans="1:29" x14ac:dyDescent="0.45">
      <c r="A370" s="2" t="s">
        <v>1055</v>
      </c>
      <c r="B370" s="2" t="s">
        <v>1056</v>
      </c>
      <c r="C370" s="2" t="s">
        <v>270</v>
      </c>
      <c r="D370" s="2" t="s">
        <v>247</v>
      </c>
      <c r="E370" s="11">
        <v>43784</v>
      </c>
      <c r="F370" s="12" t="s">
        <v>51</v>
      </c>
      <c r="G370" s="13">
        <v>172500</v>
      </c>
      <c r="H370" s="12" t="s">
        <v>78</v>
      </c>
      <c r="I370" s="11">
        <v>45428</v>
      </c>
      <c r="J370" s="12" t="s">
        <v>53</v>
      </c>
      <c r="K370" s="11"/>
      <c r="L370" s="12" t="s">
        <v>51</v>
      </c>
      <c r="M370" s="12" t="s">
        <v>53</v>
      </c>
      <c r="N370" s="11"/>
      <c r="O370" s="12"/>
      <c r="P370" s="12" t="s">
        <v>53</v>
      </c>
      <c r="Q370" s="14"/>
      <c r="R370" s="14"/>
      <c r="S370" s="12" t="s">
        <v>53</v>
      </c>
      <c r="T370" s="11"/>
      <c r="U370" s="12" t="str">
        <f t="shared" si="45"/>
        <v>N</v>
      </c>
      <c r="V370" s="12" t="str">
        <f t="shared" si="46"/>
        <v>N</v>
      </c>
      <c r="W370" s="12" t="str">
        <f t="shared" si="47"/>
        <v>N</v>
      </c>
      <c r="X370" s="12" t="str">
        <f t="shared" si="48"/>
        <v>N</v>
      </c>
      <c r="Y370" s="12" t="str">
        <f t="shared" si="49"/>
        <v>N</v>
      </c>
      <c r="Z370" s="12" t="str">
        <f t="shared" si="50"/>
        <v>N</v>
      </c>
      <c r="AA370" s="12">
        <f t="shared" si="51"/>
        <v>1</v>
      </c>
      <c r="AB370" s="12" t="str">
        <f t="shared" si="52"/>
        <v>SINGLE-SIGNAL</v>
      </c>
      <c r="AC370" s="14" t="str">
        <f t="shared" si="53"/>
        <v>Settlement Authorization</v>
      </c>
    </row>
    <row r="371" spans="1:29" x14ac:dyDescent="0.45">
      <c r="A371" s="2" t="s">
        <v>1057</v>
      </c>
      <c r="B371" s="2" t="s">
        <v>1058</v>
      </c>
      <c r="C371" s="2" t="s">
        <v>270</v>
      </c>
      <c r="D371" s="2" t="s">
        <v>930</v>
      </c>
      <c r="E371" s="11">
        <v>44462</v>
      </c>
      <c r="F371" s="12" t="s">
        <v>53</v>
      </c>
      <c r="G371" s="13"/>
      <c r="H371" s="12"/>
      <c r="I371" s="11"/>
      <c r="J371" s="12" t="s">
        <v>51</v>
      </c>
      <c r="K371" s="11">
        <v>45196</v>
      </c>
      <c r="L371" s="12" t="s">
        <v>53</v>
      </c>
      <c r="M371" s="12" t="s">
        <v>53</v>
      </c>
      <c r="N371" s="11"/>
      <c r="O371" s="12"/>
      <c r="P371" s="12" t="s">
        <v>53</v>
      </c>
      <c r="Q371" s="14"/>
      <c r="R371" s="14"/>
      <c r="S371" s="12" t="s">
        <v>53</v>
      </c>
      <c r="T371" s="11"/>
      <c r="U371" s="12" t="str">
        <f t="shared" si="45"/>
        <v>N</v>
      </c>
      <c r="V371" s="12" t="str">
        <f t="shared" si="46"/>
        <v>N</v>
      </c>
      <c r="W371" s="12" t="str">
        <f t="shared" si="47"/>
        <v>N</v>
      </c>
      <c r="X371" s="12" t="str">
        <f t="shared" si="48"/>
        <v>N</v>
      </c>
      <c r="Y371" s="12" t="str">
        <f t="shared" si="49"/>
        <v>N</v>
      </c>
      <c r="Z371" s="12" t="str">
        <f t="shared" si="50"/>
        <v>N</v>
      </c>
      <c r="AA371" s="12">
        <f t="shared" si="51"/>
        <v>1</v>
      </c>
      <c r="AB371" s="12" t="str">
        <f t="shared" si="52"/>
        <v>SINGLE-SIGNAL</v>
      </c>
      <c r="AC371" s="14" t="str">
        <f t="shared" si="53"/>
        <v>Open Stipulation</v>
      </c>
    </row>
    <row r="372" spans="1:29" x14ac:dyDescent="0.45">
      <c r="A372" s="2" t="s">
        <v>1059</v>
      </c>
      <c r="B372" s="2" t="s">
        <v>1060</v>
      </c>
      <c r="C372" s="2" t="s">
        <v>270</v>
      </c>
      <c r="D372" s="2" t="s">
        <v>760</v>
      </c>
      <c r="E372" s="11">
        <v>43279</v>
      </c>
      <c r="F372" s="12" t="s">
        <v>53</v>
      </c>
      <c r="G372" s="13"/>
      <c r="H372" s="12"/>
      <c r="I372" s="11"/>
      <c r="J372" s="12" t="s">
        <v>53</v>
      </c>
      <c r="K372" s="11"/>
      <c r="L372" s="12"/>
      <c r="M372" s="12" t="s">
        <v>51</v>
      </c>
      <c r="N372" s="11">
        <v>44431</v>
      </c>
      <c r="O372" s="12" t="s">
        <v>1061</v>
      </c>
      <c r="P372" s="12" t="s">
        <v>53</v>
      </c>
      <c r="Q372" s="14"/>
      <c r="R372" s="14"/>
      <c r="S372" s="12" t="s">
        <v>53</v>
      </c>
      <c r="T372" s="11"/>
      <c r="U372" s="12" t="str">
        <f t="shared" si="45"/>
        <v>N</v>
      </c>
      <c r="V372" s="12" t="str">
        <f t="shared" si="46"/>
        <v>N</v>
      </c>
      <c r="W372" s="12" t="str">
        <f t="shared" si="47"/>
        <v>N</v>
      </c>
      <c r="X372" s="12" t="str">
        <f t="shared" si="48"/>
        <v>N</v>
      </c>
      <c r="Y372" s="12" t="str">
        <f t="shared" si="49"/>
        <v>N</v>
      </c>
      <c r="Z372" s="12" t="str">
        <f t="shared" si="50"/>
        <v>N</v>
      </c>
      <c r="AA372" s="12">
        <f t="shared" si="51"/>
        <v>1</v>
      </c>
      <c r="AB372" s="12" t="str">
        <f t="shared" si="52"/>
        <v>SINGLE-SIGNAL</v>
      </c>
      <c r="AC372" s="14" t="str">
        <f t="shared" si="53"/>
        <v>Pending QME</v>
      </c>
    </row>
    <row r="373" spans="1:29" ht="28.5" x14ac:dyDescent="0.45">
      <c r="A373" s="2" t="s">
        <v>1062</v>
      </c>
      <c r="B373" s="2" t="s">
        <v>1063</v>
      </c>
      <c r="C373" s="2" t="s">
        <v>270</v>
      </c>
      <c r="D373" s="2" t="s">
        <v>788</v>
      </c>
      <c r="E373" s="11">
        <v>44401</v>
      </c>
      <c r="F373" s="12" t="s">
        <v>51</v>
      </c>
      <c r="G373" s="13">
        <v>139750</v>
      </c>
      <c r="H373" s="12" t="s">
        <v>85</v>
      </c>
      <c r="I373" s="11">
        <v>45881</v>
      </c>
      <c r="J373" s="12" t="s">
        <v>51</v>
      </c>
      <c r="K373" s="11">
        <v>45658</v>
      </c>
      <c r="L373" s="12" t="s">
        <v>53</v>
      </c>
      <c r="M373" s="12" t="s">
        <v>53</v>
      </c>
      <c r="N373" s="11"/>
      <c r="O373" s="12"/>
      <c r="P373" s="12" t="s">
        <v>51</v>
      </c>
      <c r="Q373" s="14" t="s">
        <v>477</v>
      </c>
      <c r="R373" s="14" t="s">
        <v>441</v>
      </c>
      <c r="S373" s="12" t="s">
        <v>53</v>
      </c>
      <c r="T373" s="11"/>
      <c r="U373" s="12" t="str">
        <f t="shared" si="45"/>
        <v>Y</v>
      </c>
      <c r="V373" s="12" t="str">
        <f t="shared" si="46"/>
        <v>N</v>
      </c>
      <c r="W373" s="12" t="str">
        <f t="shared" si="47"/>
        <v>Y</v>
      </c>
      <c r="X373" s="12" t="str">
        <f t="shared" si="48"/>
        <v>Y</v>
      </c>
      <c r="Y373" s="12" t="str">
        <f t="shared" si="49"/>
        <v>Y</v>
      </c>
      <c r="Z373" s="12" t="str">
        <f t="shared" si="50"/>
        <v>N</v>
      </c>
      <c r="AA373" s="12">
        <f t="shared" si="51"/>
        <v>3</v>
      </c>
      <c r="AB373" s="12" t="str">
        <f t="shared" si="52"/>
        <v>ELEVATED MULTI-SIGNAL</v>
      </c>
      <c r="AC373" s="14" t="str">
        <f t="shared" si="53"/>
        <v>Settlement Authorization | Open Stipulation | Automated Claim Alert</v>
      </c>
    </row>
    <row r="374" spans="1:29" x14ac:dyDescent="0.45">
      <c r="A374" s="2" t="s">
        <v>1064</v>
      </c>
      <c r="B374" s="2" t="s">
        <v>1065</v>
      </c>
      <c r="C374" s="2" t="s">
        <v>270</v>
      </c>
      <c r="D374" s="2" t="s">
        <v>419</v>
      </c>
      <c r="E374" s="11">
        <v>43651</v>
      </c>
      <c r="F374" s="12" t="s">
        <v>53</v>
      </c>
      <c r="G374" s="13"/>
      <c r="H374" s="12"/>
      <c r="I374" s="11"/>
      <c r="J374" s="12" t="s">
        <v>53</v>
      </c>
      <c r="K374" s="11"/>
      <c r="L374" s="12"/>
      <c r="M374" s="12" t="s">
        <v>51</v>
      </c>
      <c r="N374" s="11">
        <v>45497</v>
      </c>
      <c r="O374" s="12" t="s">
        <v>1066</v>
      </c>
      <c r="P374" s="12" t="s">
        <v>53</v>
      </c>
      <c r="Q374" s="14"/>
      <c r="R374" s="14"/>
      <c r="S374" s="12" t="s">
        <v>53</v>
      </c>
      <c r="T374" s="11"/>
      <c r="U374" s="12" t="str">
        <f t="shared" si="45"/>
        <v>N</v>
      </c>
      <c r="V374" s="12" t="str">
        <f t="shared" si="46"/>
        <v>N</v>
      </c>
      <c r="W374" s="12" t="str">
        <f t="shared" si="47"/>
        <v>N</v>
      </c>
      <c r="X374" s="12" t="str">
        <f t="shared" si="48"/>
        <v>N</v>
      </c>
      <c r="Y374" s="12" t="str">
        <f t="shared" si="49"/>
        <v>N</v>
      </c>
      <c r="Z374" s="12" t="str">
        <f t="shared" si="50"/>
        <v>N</v>
      </c>
      <c r="AA374" s="12">
        <f t="shared" si="51"/>
        <v>1</v>
      </c>
      <c r="AB374" s="12" t="str">
        <f t="shared" si="52"/>
        <v>SINGLE-SIGNAL</v>
      </c>
      <c r="AC374" s="14" t="str">
        <f t="shared" si="53"/>
        <v>Pending QME</v>
      </c>
    </row>
    <row r="375" spans="1:29" x14ac:dyDescent="0.45">
      <c r="A375" s="2" t="s">
        <v>1067</v>
      </c>
      <c r="B375" s="2" t="s">
        <v>1068</v>
      </c>
      <c r="C375" s="2" t="s">
        <v>270</v>
      </c>
      <c r="D375" s="2" t="s">
        <v>1069</v>
      </c>
      <c r="E375" s="11">
        <v>44810</v>
      </c>
      <c r="F375" s="12" t="s">
        <v>51</v>
      </c>
      <c r="G375" s="13">
        <v>83250</v>
      </c>
      <c r="H375" s="12" t="s">
        <v>89</v>
      </c>
      <c r="I375" s="11">
        <v>45110</v>
      </c>
      <c r="J375" s="12" t="s">
        <v>53</v>
      </c>
      <c r="K375" s="11"/>
      <c r="L375" s="12" t="s">
        <v>53</v>
      </c>
      <c r="M375" s="12" t="s">
        <v>53</v>
      </c>
      <c r="N375" s="11"/>
      <c r="O375" s="12"/>
      <c r="P375" s="12" t="s">
        <v>53</v>
      </c>
      <c r="Q375" s="14"/>
      <c r="R375" s="14"/>
      <c r="S375" s="12" t="s">
        <v>53</v>
      </c>
      <c r="T375" s="11"/>
      <c r="U375" s="12" t="str">
        <f t="shared" si="45"/>
        <v>N</v>
      </c>
      <c r="V375" s="12" t="str">
        <f t="shared" si="46"/>
        <v>N</v>
      </c>
      <c r="W375" s="12" t="str">
        <f t="shared" si="47"/>
        <v>N</v>
      </c>
      <c r="X375" s="12" t="str">
        <f t="shared" si="48"/>
        <v>N</v>
      </c>
      <c r="Y375" s="12" t="str">
        <f t="shared" si="49"/>
        <v>N</v>
      </c>
      <c r="Z375" s="12" t="str">
        <f t="shared" si="50"/>
        <v>N</v>
      </c>
      <c r="AA375" s="12">
        <f t="shared" si="51"/>
        <v>1</v>
      </c>
      <c r="AB375" s="12" t="str">
        <f t="shared" si="52"/>
        <v>SINGLE-SIGNAL</v>
      </c>
      <c r="AC375" s="14" t="str">
        <f t="shared" si="53"/>
        <v>Settlement Authorization</v>
      </c>
    </row>
    <row r="376" spans="1:29" x14ac:dyDescent="0.45">
      <c r="A376" s="2" t="s">
        <v>1070</v>
      </c>
      <c r="B376" s="2" t="s">
        <v>1071</v>
      </c>
      <c r="C376" s="2" t="s">
        <v>270</v>
      </c>
      <c r="D376" s="2" t="s">
        <v>337</v>
      </c>
      <c r="E376" s="11">
        <v>45468</v>
      </c>
      <c r="F376" s="12" t="s">
        <v>53</v>
      </c>
      <c r="G376" s="13"/>
      <c r="H376" s="12"/>
      <c r="I376" s="11"/>
      <c r="J376" s="12" t="s">
        <v>53</v>
      </c>
      <c r="K376" s="11"/>
      <c r="L376" s="12"/>
      <c r="M376" s="12" t="s">
        <v>53</v>
      </c>
      <c r="N376" s="11"/>
      <c r="O376" s="12"/>
      <c r="P376" s="12" t="s">
        <v>53</v>
      </c>
      <c r="Q376" s="14"/>
      <c r="R376" s="14"/>
      <c r="S376" s="12" t="s">
        <v>51</v>
      </c>
      <c r="T376" s="11">
        <v>47036</v>
      </c>
      <c r="U376" s="12" t="str">
        <f t="shared" si="45"/>
        <v>N</v>
      </c>
      <c r="V376" s="12" t="str">
        <f t="shared" si="46"/>
        <v>N</v>
      </c>
      <c r="W376" s="12" t="str">
        <f t="shared" si="47"/>
        <v>N</v>
      </c>
      <c r="X376" s="12" t="str">
        <f t="shared" si="48"/>
        <v>N</v>
      </c>
      <c r="Y376" s="12" t="str">
        <f t="shared" si="49"/>
        <v>N</v>
      </c>
      <c r="Z376" s="12" t="str">
        <f t="shared" si="50"/>
        <v>N</v>
      </c>
      <c r="AA376" s="12">
        <f t="shared" si="51"/>
        <v>1</v>
      </c>
      <c r="AB376" s="12" t="str">
        <f t="shared" si="52"/>
        <v>SINGLE-SIGNAL</v>
      </c>
      <c r="AC376" s="14" t="str">
        <f t="shared" si="53"/>
        <v>Inactive Customer</v>
      </c>
    </row>
    <row r="377" spans="1:29" ht="28.5" x14ac:dyDescent="0.45">
      <c r="A377" s="2" t="s">
        <v>1072</v>
      </c>
      <c r="B377" s="2" t="s">
        <v>1073</v>
      </c>
      <c r="C377" s="2" t="s">
        <v>270</v>
      </c>
      <c r="D377" s="2" t="s">
        <v>88</v>
      </c>
      <c r="E377" s="11">
        <v>45098</v>
      </c>
      <c r="F377" s="12" t="s">
        <v>53</v>
      </c>
      <c r="G377" s="13"/>
      <c r="H377" s="12"/>
      <c r="I377" s="11"/>
      <c r="J377" s="12" t="s">
        <v>53</v>
      </c>
      <c r="K377" s="11"/>
      <c r="L377" s="12"/>
      <c r="M377" s="12" t="s">
        <v>53</v>
      </c>
      <c r="N377" s="11"/>
      <c r="O377" s="12"/>
      <c r="P377" s="12" t="s">
        <v>51</v>
      </c>
      <c r="Q377" s="14" t="s">
        <v>183</v>
      </c>
      <c r="R377" s="14" t="s">
        <v>560</v>
      </c>
      <c r="S377" s="12" t="s">
        <v>53</v>
      </c>
      <c r="T377" s="11"/>
      <c r="U377" s="12" t="str">
        <f t="shared" si="45"/>
        <v>N</v>
      </c>
      <c r="V377" s="12" t="str">
        <f t="shared" si="46"/>
        <v>Y</v>
      </c>
      <c r="W377" s="12" t="str">
        <f t="shared" si="47"/>
        <v>Y</v>
      </c>
      <c r="X377" s="12" t="str">
        <f t="shared" si="48"/>
        <v>N</v>
      </c>
      <c r="Y377" s="12" t="str">
        <f t="shared" si="49"/>
        <v>Y</v>
      </c>
      <c r="Z377" s="12" t="str">
        <f t="shared" si="50"/>
        <v>N</v>
      </c>
      <c r="AA377" s="12">
        <f t="shared" si="51"/>
        <v>1</v>
      </c>
      <c r="AB377" s="12" t="str">
        <f t="shared" si="52"/>
        <v>SINGLE-SIGNAL</v>
      </c>
      <c r="AC377" s="14" t="str">
        <f t="shared" si="53"/>
        <v>Automated Claim Alert</v>
      </c>
    </row>
    <row r="378" spans="1:29" x14ac:dyDescent="0.45">
      <c r="A378" s="2" t="s">
        <v>1074</v>
      </c>
      <c r="B378" s="2" t="s">
        <v>1075</v>
      </c>
      <c r="C378" s="2" t="s">
        <v>270</v>
      </c>
      <c r="D378" s="2" t="s">
        <v>431</v>
      </c>
      <c r="E378" s="11">
        <v>44873</v>
      </c>
      <c r="F378" s="12" t="s">
        <v>53</v>
      </c>
      <c r="G378" s="13"/>
      <c r="H378" s="12"/>
      <c r="I378" s="11"/>
      <c r="J378" s="12" t="s">
        <v>53</v>
      </c>
      <c r="K378" s="11"/>
      <c r="L378" s="12"/>
      <c r="M378" s="12" t="s">
        <v>53</v>
      </c>
      <c r="N378" s="11"/>
      <c r="O378" s="12"/>
      <c r="P378" s="12" t="s">
        <v>51</v>
      </c>
      <c r="Q378" s="14" t="s">
        <v>183</v>
      </c>
      <c r="R378" s="14" t="s">
        <v>122</v>
      </c>
      <c r="S378" s="12" t="s">
        <v>53</v>
      </c>
      <c r="T378" s="11"/>
      <c r="U378" s="12" t="str">
        <f t="shared" si="45"/>
        <v>N</v>
      </c>
      <c r="V378" s="12" t="str">
        <f t="shared" si="46"/>
        <v>N</v>
      </c>
      <c r="W378" s="12" t="str">
        <f t="shared" si="47"/>
        <v>Y</v>
      </c>
      <c r="X378" s="12" t="str">
        <f t="shared" si="48"/>
        <v>Y</v>
      </c>
      <c r="Y378" s="12" t="str">
        <f t="shared" si="49"/>
        <v>N</v>
      </c>
      <c r="Z378" s="12" t="str">
        <f t="shared" si="50"/>
        <v>N</v>
      </c>
      <c r="AA378" s="12">
        <f t="shared" si="51"/>
        <v>1</v>
      </c>
      <c r="AB378" s="12" t="str">
        <f t="shared" si="52"/>
        <v>SINGLE-SIGNAL</v>
      </c>
      <c r="AC378" s="14" t="str">
        <f t="shared" si="53"/>
        <v>Automated Claim Alert</v>
      </c>
    </row>
    <row r="379" spans="1:29" x14ac:dyDescent="0.45">
      <c r="A379" s="2" t="s">
        <v>1076</v>
      </c>
      <c r="B379" s="2" t="s">
        <v>1077</v>
      </c>
      <c r="C379" s="2" t="s">
        <v>270</v>
      </c>
      <c r="D379" s="2" t="s">
        <v>252</v>
      </c>
      <c r="E379" s="11">
        <v>45402</v>
      </c>
      <c r="F379" s="12" t="s">
        <v>53</v>
      </c>
      <c r="G379" s="13"/>
      <c r="H379" s="12"/>
      <c r="I379" s="11"/>
      <c r="J379" s="12" t="s">
        <v>53</v>
      </c>
      <c r="K379" s="11"/>
      <c r="L379" s="12"/>
      <c r="M379" s="12" t="s">
        <v>51</v>
      </c>
      <c r="N379" s="11">
        <v>45635</v>
      </c>
      <c r="O379" s="12" t="s">
        <v>440</v>
      </c>
      <c r="P379" s="12" t="s">
        <v>53</v>
      </c>
      <c r="Q379" s="14"/>
      <c r="R379" s="14"/>
      <c r="S379" s="12" t="s">
        <v>53</v>
      </c>
      <c r="T379" s="11"/>
      <c r="U379" s="12" t="str">
        <f t="shared" si="45"/>
        <v>N</v>
      </c>
      <c r="V379" s="12" t="str">
        <f t="shared" si="46"/>
        <v>N</v>
      </c>
      <c r="W379" s="12" t="str">
        <f t="shared" si="47"/>
        <v>N</v>
      </c>
      <c r="X379" s="12" t="str">
        <f t="shared" si="48"/>
        <v>N</v>
      </c>
      <c r="Y379" s="12" t="str">
        <f t="shared" si="49"/>
        <v>N</v>
      </c>
      <c r="Z379" s="12" t="str">
        <f t="shared" si="50"/>
        <v>N</v>
      </c>
      <c r="AA379" s="12">
        <f t="shared" si="51"/>
        <v>1</v>
      </c>
      <c r="AB379" s="12" t="str">
        <f t="shared" si="52"/>
        <v>SINGLE-SIGNAL</v>
      </c>
      <c r="AC379" s="14" t="str">
        <f t="shared" si="53"/>
        <v>Pending QME</v>
      </c>
    </row>
    <row r="380" spans="1:29" x14ac:dyDescent="0.45">
      <c r="A380" s="2" t="s">
        <v>1078</v>
      </c>
      <c r="B380" s="2" t="s">
        <v>1079</v>
      </c>
      <c r="C380" s="2" t="s">
        <v>270</v>
      </c>
      <c r="D380" s="2" t="s">
        <v>933</v>
      </c>
      <c r="E380" s="11">
        <v>45312</v>
      </c>
      <c r="F380" s="12" t="s">
        <v>53</v>
      </c>
      <c r="G380" s="13"/>
      <c r="H380" s="12"/>
      <c r="I380" s="11"/>
      <c r="J380" s="12" t="s">
        <v>51</v>
      </c>
      <c r="K380" s="11">
        <v>46437</v>
      </c>
      <c r="L380" s="12" t="s">
        <v>51</v>
      </c>
      <c r="M380" s="12" t="s">
        <v>53</v>
      </c>
      <c r="N380" s="11"/>
      <c r="O380" s="12"/>
      <c r="P380" s="12" t="s">
        <v>53</v>
      </c>
      <c r="Q380" s="14"/>
      <c r="R380" s="14"/>
      <c r="S380" s="12" t="s">
        <v>53</v>
      </c>
      <c r="T380" s="11"/>
      <c r="U380" s="12" t="str">
        <f t="shared" si="45"/>
        <v>N</v>
      </c>
      <c r="V380" s="12" t="str">
        <f t="shared" si="46"/>
        <v>N</v>
      </c>
      <c r="W380" s="12" t="str">
        <f t="shared" si="47"/>
        <v>N</v>
      </c>
      <c r="X380" s="12" t="str">
        <f t="shared" si="48"/>
        <v>N</v>
      </c>
      <c r="Y380" s="12" t="str">
        <f t="shared" si="49"/>
        <v>N</v>
      </c>
      <c r="Z380" s="12" t="str">
        <f t="shared" si="50"/>
        <v>N</v>
      </c>
      <c r="AA380" s="12">
        <f t="shared" si="51"/>
        <v>1</v>
      </c>
      <c r="AB380" s="12" t="str">
        <f t="shared" si="52"/>
        <v>SINGLE-SIGNAL</v>
      </c>
      <c r="AC380" s="14" t="str">
        <f t="shared" si="53"/>
        <v>Open Stipulation</v>
      </c>
    </row>
    <row r="381" spans="1:29" ht="28.5" x14ac:dyDescent="0.45">
      <c r="A381" s="2" t="s">
        <v>1080</v>
      </c>
      <c r="B381" s="2" t="s">
        <v>1081</v>
      </c>
      <c r="C381" s="2" t="s">
        <v>270</v>
      </c>
      <c r="D381" s="2" t="s">
        <v>1082</v>
      </c>
      <c r="E381" s="11">
        <v>43415</v>
      </c>
      <c r="F381" s="12" t="s">
        <v>51</v>
      </c>
      <c r="G381" s="13">
        <v>23000</v>
      </c>
      <c r="H381" s="12" t="s">
        <v>242</v>
      </c>
      <c r="I381" s="11">
        <v>43594</v>
      </c>
      <c r="J381" s="12" t="s">
        <v>53</v>
      </c>
      <c r="K381" s="11"/>
      <c r="L381" s="12" t="s">
        <v>53</v>
      </c>
      <c r="M381" s="12" t="s">
        <v>53</v>
      </c>
      <c r="N381" s="11"/>
      <c r="O381" s="12"/>
      <c r="P381" s="12" t="s">
        <v>51</v>
      </c>
      <c r="Q381" s="14" t="s">
        <v>122</v>
      </c>
      <c r="R381" s="14"/>
      <c r="S381" s="12" t="s">
        <v>53</v>
      </c>
      <c r="T381" s="11"/>
      <c r="U381" s="12" t="str">
        <f t="shared" si="45"/>
        <v>N</v>
      </c>
      <c r="V381" s="12" t="str">
        <f t="shared" si="46"/>
        <v>N</v>
      </c>
      <c r="W381" s="12" t="str">
        <f t="shared" si="47"/>
        <v>N</v>
      </c>
      <c r="X381" s="12" t="str">
        <f t="shared" si="48"/>
        <v>Y</v>
      </c>
      <c r="Y381" s="12" t="str">
        <f t="shared" si="49"/>
        <v>N</v>
      </c>
      <c r="Z381" s="12" t="str">
        <f t="shared" si="50"/>
        <v>N</v>
      </c>
      <c r="AA381" s="12">
        <f t="shared" si="51"/>
        <v>2</v>
      </c>
      <c r="AB381" s="12" t="str">
        <f t="shared" si="52"/>
        <v>MULTI-SIGNAL</v>
      </c>
      <c r="AC381" s="14" t="str">
        <f t="shared" si="53"/>
        <v>Settlement Authorization | Automated Claim Alert</v>
      </c>
    </row>
    <row r="382" spans="1:29" x14ac:dyDescent="0.45">
      <c r="A382" s="2" t="s">
        <v>1083</v>
      </c>
      <c r="B382" s="2" t="s">
        <v>1084</v>
      </c>
      <c r="C382" s="2" t="s">
        <v>270</v>
      </c>
      <c r="D382" s="2" t="s">
        <v>105</v>
      </c>
      <c r="E382" s="11">
        <v>44657</v>
      </c>
      <c r="F382" s="12" t="s">
        <v>53</v>
      </c>
      <c r="G382" s="13"/>
      <c r="H382" s="12"/>
      <c r="I382" s="11"/>
      <c r="J382" s="12" t="s">
        <v>53</v>
      </c>
      <c r="K382" s="11"/>
      <c r="L382" s="12"/>
      <c r="M382" s="12" t="s">
        <v>53</v>
      </c>
      <c r="N382" s="11"/>
      <c r="O382" s="12"/>
      <c r="P382" s="12" t="s">
        <v>51</v>
      </c>
      <c r="Q382" s="14" t="s">
        <v>149</v>
      </c>
      <c r="R382" s="14" t="s">
        <v>183</v>
      </c>
      <c r="S382" s="12" t="s">
        <v>53</v>
      </c>
      <c r="T382" s="11"/>
      <c r="U382" s="12" t="str">
        <f t="shared" si="45"/>
        <v>N</v>
      </c>
      <c r="V382" s="12" t="str">
        <f t="shared" si="46"/>
        <v>N</v>
      </c>
      <c r="W382" s="12" t="str">
        <f t="shared" si="47"/>
        <v>Y</v>
      </c>
      <c r="X382" s="12" t="str">
        <f t="shared" si="48"/>
        <v>N</v>
      </c>
      <c r="Y382" s="12" t="str">
        <f t="shared" si="49"/>
        <v>N</v>
      </c>
      <c r="Z382" s="12" t="str">
        <f t="shared" si="50"/>
        <v>Y</v>
      </c>
      <c r="AA382" s="12">
        <f t="shared" si="51"/>
        <v>1</v>
      </c>
      <c r="AB382" s="12" t="str">
        <f t="shared" si="52"/>
        <v>SINGLE-SIGNAL</v>
      </c>
      <c r="AC382" s="14" t="str">
        <f t="shared" si="53"/>
        <v>Automated Claim Alert</v>
      </c>
    </row>
    <row r="383" spans="1:29" x14ac:dyDescent="0.45">
      <c r="A383" s="2" t="s">
        <v>1085</v>
      </c>
      <c r="B383" s="2" t="s">
        <v>1086</v>
      </c>
      <c r="C383" s="2" t="s">
        <v>270</v>
      </c>
      <c r="D383" s="2" t="s">
        <v>120</v>
      </c>
      <c r="E383" s="11">
        <v>44006</v>
      </c>
      <c r="F383" s="12" t="s">
        <v>51</v>
      </c>
      <c r="G383" s="13">
        <v>73000</v>
      </c>
      <c r="H383" s="12" t="s">
        <v>85</v>
      </c>
      <c r="I383" s="11">
        <v>45663</v>
      </c>
      <c r="J383" s="12" t="s">
        <v>53</v>
      </c>
      <c r="K383" s="11"/>
      <c r="L383" s="12" t="s">
        <v>53</v>
      </c>
      <c r="M383" s="12" t="s">
        <v>53</v>
      </c>
      <c r="N383" s="11"/>
      <c r="O383" s="12"/>
      <c r="P383" s="12" t="s">
        <v>53</v>
      </c>
      <c r="Q383" s="14"/>
      <c r="R383" s="14"/>
      <c r="S383" s="12" t="s">
        <v>53</v>
      </c>
      <c r="T383" s="11"/>
      <c r="U383" s="12" t="str">
        <f t="shared" si="45"/>
        <v>N</v>
      </c>
      <c r="V383" s="12" t="str">
        <f t="shared" si="46"/>
        <v>N</v>
      </c>
      <c r="W383" s="12" t="str">
        <f t="shared" si="47"/>
        <v>N</v>
      </c>
      <c r="X383" s="12" t="str">
        <f t="shared" si="48"/>
        <v>N</v>
      </c>
      <c r="Y383" s="12" t="str">
        <f t="shared" si="49"/>
        <v>N</v>
      </c>
      <c r="Z383" s="12" t="str">
        <f t="shared" si="50"/>
        <v>N</v>
      </c>
      <c r="AA383" s="12">
        <f t="shared" si="51"/>
        <v>1</v>
      </c>
      <c r="AB383" s="12" t="str">
        <f t="shared" si="52"/>
        <v>SINGLE-SIGNAL</v>
      </c>
      <c r="AC383" s="14" t="str">
        <f t="shared" si="53"/>
        <v>Settlement Authorization</v>
      </c>
    </row>
    <row r="384" spans="1:29" x14ac:dyDescent="0.45">
      <c r="A384" s="2" t="s">
        <v>1087</v>
      </c>
      <c r="B384" s="2" t="s">
        <v>1088</v>
      </c>
      <c r="C384" s="2" t="s">
        <v>270</v>
      </c>
      <c r="D384" s="2" t="s">
        <v>207</v>
      </c>
      <c r="E384" s="11">
        <v>44541</v>
      </c>
      <c r="F384" s="12" t="s">
        <v>53</v>
      </c>
      <c r="G384" s="13"/>
      <c r="H384" s="12"/>
      <c r="I384" s="11"/>
      <c r="J384" s="12" t="s">
        <v>53</v>
      </c>
      <c r="K384" s="11"/>
      <c r="L384" s="12"/>
      <c r="M384" s="12" t="s">
        <v>51</v>
      </c>
      <c r="N384" s="11">
        <v>46254</v>
      </c>
      <c r="O384" s="12" t="s">
        <v>1066</v>
      </c>
      <c r="P384" s="12" t="s">
        <v>53</v>
      </c>
      <c r="Q384" s="14"/>
      <c r="R384" s="14"/>
      <c r="S384" s="12" t="s">
        <v>53</v>
      </c>
      <c r="T384" s="11"/>
      <c r="U384" s="12" t="str">
        <f t="shared" si="45"/>
        <v>N</v>
      </c>
      <c r="V384" s="12" t="str">
        <f t="shared" si="46"/>
        <v>N</v>
      </c>
      <c r="W384" s="12" t="str">
        <f t="shared" si="47"/>
        <v>N</v>
      </c>
      <c r="X384" s="12" t="str">
        <f t="shared" si="48"/>
        <v>N</v>
      </c>
      <c r="Y384" s="12" t="str">
        <f t="shared" si="49"/>
        <v>N</v>
      </c>
      <c r="Z384" s="12" t="str">
        <f t="shared" si="50"/>
        <v>N</v>
      </c>
      <c r="AA384" s="12">
        <f t="shared" si="51"/>
        <v>1</v>
      </c>
      <c r="AB384" s="12" t="str">
        <f t="shared" si="52"/>
        <v>SINGLE-SIGNAL</v>
      </c>
      <c r="AC384" s="14" t="str">
        <f t="shared" si="53"/>
        <v>Pending QME</v>
      </c>
    </row>
    <row r="385" spans="1:29" x14ac:dyDescent="0.45">
      <c r="A385" s="2" t="s">
        <v>1089</v>
      </c>
      <c r="B385" s="2" t="s">
        <v>1090</v>
      </c>
      <c r="C385" s="2" t="s">
        <v>270</v>
      </c>
      <c r="D385" s="2" t="s">
        <v>1091</v>
      </c>
      <c r="E385" s="11">
        <v>43377</v>
      </c>
      <c r="F385" s="12" t="s">
        <v>53</v>
      </c>
      <c r="G385" s="13"/>
      <c r="H385" s="12"/>
      <c r="I385" s="11"/>
      <c r="J385" s="12" t="s">
        <v>53</v>
      </c>
      <c r="K385" s="11"/>
      <c r="L385" s="12"/>
      <c r="M385" s="12" t="s">
        <v>53</v>
      </c>
      <c r="N385" s="11"/>
      <c r="O385" s="12"/>
      <c r="P385" s="12" t="s">
        <v>51</v>
      </c>
      <c r="Q385" s="14" t="s">
        <v>209</v>
      </c>
      <c r="R385" s="14" t="s">
        <v>149</v>
      </c>
      <c r="S385" s="12" t="s">
        <v>53</v>
      </c>
      <c r="T385" s="11"/>
      <c r="U385" s="12" t="str">
        <f t="shared" si="45"/>
        <v>Y</v>
      </c>
      <c r="V385" s="12" t="str">
        <f t="shared" si="46"/>
        <v>N</v>
      </c>
      <c r="W385" s="12" t="str">
        <f t="shared" si="47"/>
        <v>N</v>
      </c>
      <c r="X385" s="12" t="str">
        <f t="shared" si="48"/>
        <v>N</v>
      </c>
      <c r="Y385" s="12" t="str">
        <f t="shared" si="49"/>
        <v>N</v>
      </c>
      <c r="Z385" s="12" t="str">
        <f t="shared" si="50"/>
        <v>Y</v>
      </c>
      <c r="AA385" s="12">
        <f t="shared" si="51"/>
        <v>1</v>
      </c>
      <c r="AB385" s="12" t="str">
        <f t="shared" si="52"/>
        <v>SINGLE-SIGNAL</v>
      </c>
      <c r="AC385" s="14" t="str">
        <f t="shared" si="53"/>
        <v>Automated Claim Alert</v>
      </c>
    </row>
    <row r="386" spans="1:29" x14ac:dyDescent="0.45">
      <c r="A386" s="2" t="s">
        <v>1092</v>
      </c>
      <c r="B386" s="2" t="s">
        <v>1093</v>
      </c>
      <c r="C386" s="2" t="s">
        <v>270</v>
      </c>
      <c r="D386" s="2" t="s">
        <v>263</v>
      </c>
      <c r="E386" s="11">
        <v>45755</v>
      </c>
      <c r="F386" s="12" t="s">
        <v>53</v>
      </c>
      <c r="G386" s="13"/>
      <c r="H386" s="12"/>
      <c r="I386" s="11"/>
      <c r="J386" s="12" t="s">
        <v>53</v>
      </c>
      <c r="K386" s="11"/>
      <c r="L386" s="12"/>
      <c r="M386" s="12" t="s">
        <v>51</v>
      </c>
      <c r="N386" s="11">
        <v>46824</v>
      </c>
      <c r="O386" s="12" t="s">
        <v>1012</v>
      </c>
      <c r="P386" s="12" t="s">
        <v>53</v>
      </c>
      <c r="Q386" s="14"/>
      <c r="R386" s="14"/>
      <c r="S386" s="12" t="s">
        <v>53</v>
      </c>
      <c r="T386" s="11"/>
      <c r="U386" s="12" t="str">
        <f t="shared" ref="U386:U449" si="54">IF(ISNUMBER(SEARCH("SURGERY",Q386&amp;" "&amp;R386)),"Y","N")</f>
        <v>N</v>
      </c>
      <c r="V386" s="12" t="str">
        <f t="shared" ref="V386:V449" si="55">IF(ISNUMBER(SEARCH("MMI",Q386&amp;" "&amp;R386)),"Y","N")</f>
        <v>N</v>
      </c>
      <c r="W386" s="12" t="str">
        <f t="shared" ref="W386:W449" si="56">IF(ISNUMBER(SEARCH("DENIED TREATMENT",Q386&amp;" "&amp;R386)),"Y","N")</f>
        <v>N</v>
      </c>
      <c r="X386" s="12" t="str">
        <f t="shared" ref="X386:X449" si="57">IF(ISNUMBER(SEARCH("SPECIALIST CONSULTATION",Q386&amp;" "&amp;R386)),"Y","N")</f>
        <v>N</v>
      </c>
      <c r="Y386" s="12" t="str">
        <f t="shared" ref="Y386:Y449" si="58">IF(ISNUMBER(SEARCH("NON-RENEWED ACCOUNT",Q386&amp;" "&amp;R386)),"Y","N")</f>
        <v>N</v>
      </c>
      <c r="Z386" s="12" t="str">
        <f t="shared" ref="Z386:Z449" si="59">IF(ISNUMBER(SEARCH("MSA ELIGIBLE",Q386&amp;" "&amp;R386)),"Y","N")</f>
        <v>N</v>
      </c>
      <c r="AA386" s="12">
        <f t="shared" ref="AA386:AA449" si="60">COUNTIF(F386,"Y")+COUNTIF(J386,"Y")+COUNTIF(M386,"Y")+COUNTIF(P386,"Y")+COUNTIF(S386,"Y")</f>
        <v>1</v>
      </c>
      <c r="AB386" s="12" t="str">
        <f t="shared" ref="AB386:AB449" si="61">IF(AA386=5,"MAXIMUM MULTI-SIGNAL",IF(AA386=4,"HIGH MULTI-SIGNAL",IF(AA386=3,"ELEVATED MULTI-SIGNAL",IF(AA386=2,"MULTI-SIGNAL","SINGLE-SIGNAL"))))</f>
        <v>SINGLE-SIGNAL</v>
      </c>
      <c r="AC386" s="14" t="str">
        <f t="shared" ref="AC386:AC449" si="62">IF(F386="Y","Settlement Authorization","")&amp;IF(J386="Y",IF(F386="Y"," | ","")&amp;"Open Stipulation","")&amp;IF(M386="Y",IF(OR(F386="Y",J386="Y")," | ","")&amp;"Pending QME","")&amp;IF(P386="Y",IF(OR(F386="Y",J386="Y",M386="Y")," | ","")&amp;"Automated Claim Alert","")&amp;IF(S386="Y",IF(OR(F386="Y",J386="Y",M386="Y",P386="Y")," | ","")&amp;"Inactive Customer","")</f>
        <v>Pending QME</v>
      </c>
    </row>
    <row r="387" spans="1:29" x14ac:dyDescent="0.45">
      <c r="A387" s="2" t="s">
        <v>1094</v>
      </c>
      <c r="B387" s="2" t="s">
        <v>1095</v>
      </c>
      <c r="C387" s="2" t="s">
        <v>270</v>
      </c>
      <c r="D387" s="2" t="s">
        <v>397</v>
      </c>
      <c r="E387" s="11">
        <v>44765</v>
      </c>
      <c r="F387" s="12" t="s">
        <v>53</v>
      </c>
      <c r="G387" s="13"/>
      <c r="H387" s="12"/>
      <c r="I387" s="11"/>
      <c r="J387" s="12" t="s">
        <v>53</v>
      </c>
      <c r="K387" s="11"/>
      <c r="L387" s="12"/>
      <c r="M387" s="12" t="s">
        <v>51</v>
      </c>
      <c r="N387" s="11">
        <v>45569</v>
      </c>
      <c r="O387" s="12" t="s">
        <v>862</v>
      </c>
      <c r="P387" s="12" t="s">
        <v>53</v>
      </c>
      <c r="Q387" s="14"/>
      <c r="R387" s="14"/>
      <c r="S387" s="12" t="s">
        <v>51</v>
      </c>
      <c r="T387" s="11">
        <v>46562</v>
      </c>
      <c r="U387" s="12" t="str">
        <f t="shared" si="54"/>
        <v>N</v>
      </c>
      <c r="V387" s="12" t="str">
        <f t="shared" si="55"/>
        <v>N</v>
      </c>
      <c r="W387" s="12" t="str">
        <f t="shared" si="56"/>
        <v>N</v>
      </c>
      <c r="X387" s="12" t="str">
        <f t="shared" si="57"/>
        <v>N</v>
      </c>
      <c r="Y387" s="12" t="str">
        <f t="shared" si="58"/>
        <v>N</v>
      </c>
      <c r="Z387" s="12" t="str">
        <f t="shared" si="59"/>
        <v>N</v>
      </c>
      <c r="AA387" s="12">
        <f t="shared" si="60"/>
        <v>2</v>
      </c>
      <c r="AB387" s="12" t="str">
        <f t="shared" si="61"/>
        <v>MULTI-SIGNAL</v>
      </c>
      <c r="AC387" s="14" t="str">
        <f t="shared" si="62"/>
        <v>Pending QME | Inactive Customer</v>
      </c>
    </row>
    <row r="388" spans="1:29" x14ac:dyDescent="0.45">
      <c r="A388" s="2" t="s">
        <v>1096</v>
      </c>
      <c r="B388" s="2" t="s">
        <v>1097</v>
      </c>
      <c r="C388" s="2" t="s">
        <v>270</v>
      </c>
      <c r="D388" s="2" t="s">
        <v>720</v>
      </c>
      <c r="E388" s="11">
        <v>44978</v>
      </c>
      <c r="F388" s="12" t="s">
        <v>51</v>
      </c>
      <c r="G388" s="13">
        <v>137250</v>
      </c>
      <c r="H388" s="12" t="s">
        <v>93</v>
      </c>
      <c r="I388" s="11">
        <v>45039</v>
      </c>
      <c r="J388" s="12" t="s">
        <v>53</v>
      </c>
      <c r="K388" s="11"/>
      <c r="L388" s="12" t="s">
        <v>53</v>
      </c>
      <c r="M388" s="12" t="s">
        <v>53</v>
      </c>
      <c r="N388" s="11"/>
      <c r="O388" s="12"/>
      <c r="P388" s="12" t="s">
        <v>53</v>
      </c>
      <c r="Q388" s="14"/>
      <c r="R388" s="14"/>
      <c r="S388" s="12" t="s">
        <v>51</v>
      </c>
      <c r="T388" s="11">
        <v>45644</v>
      </c>
      <c r="U388" s="12" t="str">
        <f t="shared" si="54"/>
        <v>N</v>
      </c>
      <c r="V388" s="12" t="str">
        <f t="shared" si="55"/>
        <v>N</v>
      </c>
      <c r="W388" s="12" t="str">
        <f t="shared" si="56"/>
        <v>N</v>
      </c>
      <c r="X388" s="12" t="str">
        <f t="shared" si="57"/>
        <v>N</v>
      </c>
      <c r="Y388" s="12" t="str">
        <f t="shared" si="58"/>
        <v>N</v>
      </c>
      <c r="Z388" s="12" t="str">
        <f t="shared" si="59"/>
        <v>N</v>
      </c>
      <c r="AA388" s="12">
        <f t="shared" si="60"/>
        <v>2</v>
      </c>
      <c r="AB388" s="12" t="str">
        <f t="shared" si="61"/>
        <v>MULTI-SIGNAL</v>
      </c>
      <c r="AC388" s="14" t="str">
        <f t="shared" si="62"/>
        <v>Settlement Authorization | Inactive Customer</v>
      </c>
    </row>
    <row r="389" spans="1:29" x14ac:dyDescent="0.45">
      <c r="A389" s="2" t="s">
        <v>1098</v>
      </c>
      <c r="B389" s="2" t="s">
        <v>1099</v>
      </c>
      <c r="C389" s="2" t="s">
        <v>270</v>
      </c>
      <c r="D389" s="2" t="s">
        <v>844</v>
      </c>
      <c r="E389" s="11">
        <v>44781</v>
      </c>
      <c r="F389" s="12" t="s">
        <v>51</v>
      </c>
      <c r="G389" s="13">
        <v>109750</v>
      </c>
      <c r="H389" s="12" t="s">
        <v>109</v>
      </c>
      <c r="I389" s="11">
        <v>46115</v>
      </c>
      <c r="J389" s="12" t="s">
        <v>53</v>
      </c>
      <c r="K389" s="11"/>
      <c r="L389" s="12" t="s">
        <v>53</v>
      </c>
      <c r="M389" s="12" t="s">
        <v>53</v>
      </c>
      <c r="N389" s="11"/>
      <c r="O389" s="12"/>
      <c r="P389" s="12" t="s">
        <v>53</v>
      </c>
      <c r="Q389" s="14"/>
      <c r="R389" s="14"/>
      <c r="S389" s="12" t="s">
        <v>53</v>
      </c>
      <c r="T389" s="11"/>
      <c r="U389" s="12" t="str">
        <f t="shared" si="54"/>
        <v>N</v>
      </c>
      <c r="V389" s="12" t="str">
        <f t="shared" si="55"/>
        <v>N</v>
      </c>
      <c r="W389" s="12" t="str">
        <f t="shared" si="56"/>
        <v>N</v>
      </c>
      <c r="X389" s="12" t="str">
        <f t="shared" si="57"/>
        <v>N</v>
      </c>
      <c r="Y389" s="12" t="str">
        <f t="shared" si="58"/>
        <v>N</v>
      </c>
      <c r="Z389" s="12" t="str">
        <f t="shared" si="59"/>
        <v>N</v>
      </c>
      <c r="AA389" s="12">
        <f t="shared" si="60"/>
        <v>1</v>
      </c>
      <c r="AB389" s="12" t="str">
        <f t="shared" si="61"/>
        <v>SINGLE-SIGNAL</v>
      </c>
      <c r="AC389" s="14" t="str">
        <f t="shared" si="62"/>
        <v>Settlement Authorization</v>
      </c>
    </row>
    <row r="390" spans="1:29" x14ac:dyDescent="0.45">
      <c r="A390" s="2" t="s">
        <v>1100</v>
      </c>
      <c r="B390" s="2" t="s">
        <v>1101</v>
      </c>
      <c r="C390" s="2" t="s">
        <v>270</v>
      </c>
      <c r="D390" s="2" t="s">
        <v>788</v>
      </c>
      <c r="E390" s="11">
        <v>45434</v>
      </c>
      <c r="F390" s="12" t="s">
        <v>53</v>
      </c>
      <c r="G390" s="13"/>
      <c r="H390" s="12"/>
      <c r="I390" s="11"/>
      <c r="J390" s="12" t="s">
        <v>53</v>
      </c>
      <c r="K390" s="11"/>
      <c r="L390" s="12"/>
      <c r="M390" s="12" t="s">
        <v>53</v>
      </c>
      <c r="N390" s="11"/>
      <c r="O390" s="12"/>
      <c r="P390" s="12" t="s">
        <v>53</v>
      </c>
      <c r="Q390" s="14"/>
      <c r="R390" s="14"/>
      <c r="S390" s="12" t="s">
        <v>51</v>
      </c>
      <c r="T390" s="11">
        <v>47534</v>
      </c>
      <c r="U390" s="12" t="str">
        <f t="shared" si="54"/>
        <v>N</v>
      </c>
      <c r="V390" s="12" t="str">
        <f t="shared" si="55"/>
        <v>N</v>
      </c>
      <c r="W390" s="12" t="str">
        <f t="shared" si="56"/>
        <v>N</v>
      </c>
      <c r="X390" s="12" t="str">
        <f t="shared" si="57"/>
        <v>N</v>
      </c>
      <c r="Y390" s="12" t="str">
        <f t="shared" si="58"/>
        <v>N</v>
      </c>
      <c r="Z390" s="12" t="str">
        <f t="shared" si="59"/>
        <v>N</v>
      </c>
      <c r="AA390" s="12">
        <f t="shared" si="60"/>
        <v>1</v>
      </c>
      <c r="AB390" s="12" t="str">
        <f t="shared" si="61"/>
        <v>SINGLE-SIGNAL</v>
      </c>
      <c r="AC390" s="14" t="str">
        <f t="shared" si="62"/>
        <v>Inactive Customer</v>
      </c>
    </row>
    <row r="391" spans="1:29" x14ac:dyDescent="0.45">
      <c r="A391" s="2" t="s">
        <v>1102</v>
      </c>
      <c r="B391" s="2" t="s">
        <v>1103</v>
      </c>
      <c r="C391" s="2" t="s">
        <v>270</v>
      </c>
      <c r="D391" s="2" t="s">
        <v>198</v>
      </c>
      <c r="E391" s="11">
        <v>45289</v>
      </c>
      <c r="F391" s="12" t="s">
        <v>51</v>
      </c>
      <c r="G391" s="13">
        <v>72750</v>
      </c>
      <c r="H391" s="12" t="s">
        <v>78</v>
      </c>
      <c r="I391" s="11">
        <v>46392</v>
      </c>
      <c r="J391" s="12" t="s">
        <v>53</v>
      </c>
      <c r="K391" s="11"/>
      <c r="L391" s="12" t="s">
        <v>53</v>
      </c>
      <c r="M391" s="12" t="s">
        <v>51</v>
      </c>
      <c r="N391" s="11">
        <v>46665</v>
      </c>
      <c r="O391" s="12" t="s">
        <v>1066</v>
      </c>
      <c r="P391" s="12" t="s">
        <v>53</v>
      </c>
      <c r="Q391" s="14"/>
      <c r="R391" s="14"/>
      <c r="S391" s="12" t="s">
        <v>53</v>
      </c>
      <c r="T391" s="11"/>
      <c r="U391" s="12" t="str">
        <f t="shared" si="54"/>
        <v>N</v>
      </c>
      <c r="V391" s="12" t="str">
        <f t="shared" si="55"/>
        <v>N</v>
      </c>
      <c r="W391" s="12" t="str">
        <f t="shared" si="56"/>
        <v>N</v>
      </c>
      <c r="X391" s="12" t="str">
        <f t="shared" si="57"/>
        <v>N</v>
      </c>
      <c r="Y391" s="12" t="str">
        <f t="shared" si="58"/>
        <v>N</v>
      </c>
      <c r="Z391" s="12" t="str">
        <f t="shared" si="59"/>
        <v>N</v>
      </c>
      <c r="AA391" s="12">
        <f t="shared" si="60"/>
        <v>2</v>
      </c>
      <c r="AB391" s="12" t="str">
        <f t="shared" si="61"/>
        <v>MULTI-SIGNAL</v>
      </c>
      <c r="AC391" s="14" t="str">
        <f t="shared" si="62"/>
        <v>Settlement Authorization | Pending QME</v>
      </c>
    </row>
    <row r="392" spans="1:29" ht="28.5" x14ac:dyDescent="0.45">
      <c r="A392" s="2" t="s">
        <v>1104</v>
      </c>
      <c r="B392" s="2" t="s">
        <v>1105</v>
      </c>
      <c r="C392" s="2" t="s">
        <v>270</v>
      </c>
      <c r="D392" s="2" t="s">
        <v>510</v>
      </c>
      <c r="E392" s="11">
        <v>43736</v>
      </c>
      <c r="F392" s="12" t="s">
        <v>51</v>
      </c>
      <c r="G392" s="13">
        <v>139000</v>
      </c>
      <c r="H392" s="12" t="s">
        <v>89</v>
      </c>
      <c r="I392" s="11">
        <v>44332</v>
      </c>
      <c r="J392" s="12" t="s">
        <v>53</v>
      </c>
      <c r="K392" s="11"/>
      <c r="L392" s="12" t="s">
        <v>51</v>
      </c>
      <c r="M392" s="12" t="s">
        <v>53</v>
      </c>
      <c r="N392" s="11"/>
      <c r="O392" s="12"/>
      <c r="P392" s="12" t="s">
        <v>51</v>
      </c>
      <c r="Q392" s="14" t="s">
        <v>469</v>
      </c>
      <c r="R392" s="14"/>
      <c r="S392" s="12" t="s">
        <v>53</v>
      </c>
      <c r="T392" s="11"/>
      <c r="U392" s="12" t="str">
        <f t="shared" si="54"/>
        <v>Y</v>
      </c>
      <c r="V392" s="12" t="str">
        <f t="shared" si="55"/>
        <v>N</v>
      </c>
      <c r="W392" s="12" t="str">
        <f t="shared" si="56"/>
        <v>N</v>
      </c>
      <c r="X392" s="12" t="str">
        <f t="shared" si="57"/>
        <v>N</v>
      </c>
      <c r="Y392" s="12" t="str">
        <f t="shared" si="58"/>
        <v>N</v>
      </c>
      <c r="Z392" s="12" t="str">
        <f t="shared" si="59"/>
        <v>Y</v>
      </c>
      <c r="AA392" s="12">
        <f t="shared" si="60"/>
        <v>2</v>
      </c>
      <c r="AB392" s="12" t="str">
        <f t="shared" si="61"/>
        <v>MULTI-SIGNAL</v>
      </c>
      <c r="AC392" s="14" t="str">
        <f t="shared" si="62"/>
        <v>Settlement Authorization | Automated Claim Alert</v>
      </c>
    </row>
    <row r="393" spans="1:29" ht="28.5" x14ac:dyDescent="0.45">
      <c r="A393" s="2" t="s">
        <v>1106</v>
      </c>
      <c r="B393" s="2" t="s">
        <v>1107</v>
      </c>
      <c r="C393" s="2" t="s">
        <v>270</v>
      </c>
      <c r="D393" s="2" t="s">
        <v>1108</v>
      </c>
      <c r="E393" s="11">
        <v>43145</v>
      </c>
      <c r="F393" s="12" t="s">
        <v>51</v>
      </c>
      <c r="G393" s="13">
        <v>163500</v>
      </c>
      <c r="H393" s="12" t="s">
        <v>78</v>
      </c>
      <c r="I393" s="11">
        <v>43583</v>
      </c>
      <c r="J393" s="12" t="s">
        <v>51</v>
      </c>
      <c r="K393" s="11">
        <v>44392</v>
      </c>
      <c r="L393" s="12" t="s">
        <v>53</v>
      </c>
      <c r="M393" s="12" t="s">
        <v>53</v>
      </c>
      <c r="N393" s="11"/>
      <c r="O393" s="12"/>
      <c r="P393" s="12" t="s">
        <v>53</v>
      </c>
      <c r="Q393" s="14"/>
      <c r="R393" s="14"/>
      <c r="S393" s="12" t="s">
        <v>51</v>
      </c>
      <c r="T393" s="11">
        <v>43972</v>
      </c>
      <c r="U393" s="12" t="str">
        <f t="shared" si="54"/>
        <v>N</v>
      </c>
      <c r="V393" s="12" t="str">
        <f t="shared" si="55"/>
        <v>N</v>
      </c>
      <c r="W393" s="12" t="str">
        <f t="shared" si="56"/>
        <v>N</v>
      </c>
      <c r="X393" s="12" t="str">
        <f t="shared" si="57"/>
        <v>N</v>
      </c>
      <c r="Y393" s="12" t="str">
        <f t="shared" si="58"/>
        <v>N</v>
      </c>
      <c r="Z393" s="12" t="str">
        <f t="shared" si="59"/>
        <v>N</v>
      </c>
      <c r="AA393" s="12">
        <f t="shared" si="60"/>
        <v>3</v>
      </c>
      <c r="AB393" s="12" t="str">
        <f t="shared" si="61"/>
        <v>ELEVATED MULTI-SIGNAL</v>
      </c>
      <c r="AC393" s="14" t="str">
        <f t="shared" si="62"/>
        <v>Settlement Authorization | Open Stipulation | Inactive Customer</v>
      </c>
    </row>
    <row r="394" spans="1:29" x14ac:dyDescent="0.45">
      <c r="A394" s="2" t="s">
        <v>1109</v>
      </c>
      <c r="B394" s="2" t="s">
        <v>1110</v>
      </c>
      <c r="C394" s="2" t="s">
        <v>270</v>
      </c>
      <c r="D394" s="2" t="s">
        <v>427</v>
      </c>
      <c r="E394" s="11">
        <v>46013</v>
      </c>
      <c r="F394" s="12" t="s">
        <v>53</v>
      </c>
      <c r="G394" s="13"/>
      <c r="H394" s="12"/>
      <c r="I394" s="11"/>
      <c r="J394" s="12" t="s">
        <v>53</v>
      </c>
      <c r="K394" s="11"/>
      <c r="L394" s="12"/>
      <c r="M394" s="12" t="s">
        <v>51</v>
      </c>
      <c r="N394" s="11">
        <v>47184</v>
      </c>
      <c r="O394" s="12" t="s">
        <v>1012</v>
      </c>
      <c r="P394" s="12" t="s">
        <v>53</v>
      </c>
      <c r="Q394" s="14"/>
      <c r="R394" s="14"/>
      <c r="S394" s="12" t="s">
        <v>53</v>
      </c>
      <c r="T394" s="11"/>
      <c r="U394" s="12" t="str">
        <f t="shared" si="54"/>
        <v>N</v>
      </c>
      <c r="V394" s="12" t="str">
        <f t="shared" si="55"/>
        <v>N</v>
      </c>
      <c r="W394" s="12" t="str">
        <f t="shared" si="56"/>
        <v>N</v>
      </c>
      <c r="X394" s="12" t="str">
        <f t="shared" si="57"/>
        <v>N</v>
      </c>
      <c r="Y394" s="12" t="str">
        <f t="shared" si="58"/>
        <v>N</v>
      </c>
      <c r="Z394" s="12" t="str">
        <f t="shared" si="59"/>
        <v>N</v>
      </c>
      <c r="AA394" s="12">
        <f t="shared" si="60"/>
        <v>1</v>
      </c>
      <c r="AB394" s="12" t="str">
        <f t="shared" si="61"/>
        <v>SINGLE-SIGNAL</v>
      </c>
      <c r="AC394" s="14" t="str">
        <f t="shared" si="62"/>
        <v>Pending QME</v>
      </c>
    </row>
    <row r="395" spans="1:29" ht="28.5" x14ac:dyDescent="0.45">
      <c r="A395" s="2" t="s">
        <v>1111</v>
      </c>
      <c r="B395" s="2" t="s">
        <v>1112</v>
      </c>
      <c r="C395" s="2" t="s">
        <v>270</v>
      </c>
      <c r="D395" s="2" t="s">
        <v>844</v>
      </c>
      <c r="E395" s="11">
        <v>43550</v>
      </c>
      <c r="F395" s="12" t="s">
        <v>53</v>
      </c>
      <c r="G395" s="13"/>
      <c r="H395" s="12"/>
      <c r="I395" s="11"/>
      <c r="J395" s="12" t="s">
        <v>53</v>
      </c>
      <c r="K395" s="11"/>
      <c r="L395" s="12"/>
      <c r="M395" s="12" t="s">
        <v>53</v>
      </c>
      <c r="N395" s="11"/>
      <c r="O395" s="12"/>
      <c r="P395" s="12" t="s">
        <v>51</v>
      </c>
      <c r="Q395" s="14" t="s">
        <v>341</v>
      </c>
      <c r="R395" s="14" t="s">
        <v>477</v>
      </c>
      <c r="S395" s="12" t="s">
        <v>53</v>
      </c>
      <c r="T395" s="11"/>
      <c r="U395" s="12" t="str">
        <f t="shared" si="54"/>
        <v>Y</v>
      </c>
      <c r="V395" s="12" t="str">
        <f t="shared" si="55"/>
        <v>Y</v>
      </c>
      <c r="W395" s="12" t="str">
        <f t="shared" si="56"/>
        <v>Y</v>
      </c>
      <c r="X395" s="12" t="str">
        <f t="shared" si="57"/>
        <v>N</v>
      </c>
      <c r="Y395" s="12" t="str">
        <f t="shared" si="58"/>
        <v>Y</v>
      </c>
      <c r="Z395" s="12" t="str">
        <f t="shared" si="59"/>
        <v>Y</v>
      </c>
      <c r="AA395" s="12">
        <f t="shared" si="60"/>
        <v>1</v>
      </c>
      <c r="AB395" s="12" t="str">
        <f t="shared" si="61"/>
        <v>SINGLE-SIGNAL</v>
      </c>
      <c r="AC395" s="14" t="str">
        <f t="shared" si="62"/>
        <v>Automated Claim Alert</v>
      </c>
    </row>
    <row r="396" spans="1:29" ht="28.5" x14ac:dyDescent="0.45">
      <c r="A396" s="2" t="s">
        <v>1113</v>
      </c>
      <c r="B396" s="2" t="s">
        <v>1114</v>
      </c>
      <c r="C396" s="2" t="s">
        <v>270</v>
      </c>
      <c r="D396" s="2" t="s">
        <v>65</v>
      </c>
      <c r="E396" s="11">
        <v>45109</v>
      </c>
      <c r="F396" s="12" t="s">
        <v>51</v>
      </c>
      <c r="G396" s="13">
        <v>71500</v>
      </c>
      <c r="H396" s="12" t="s">
        <v>78</v>
      </c>
      <c r="I396" s="11">
        <v>45892</v>
      </c>
      <c r="J396" s="12" t="s">
        <v>53</v>
      </c>
      <c r="K396" s="11"/>
      <c r="L396" s="12" t="s">
        <v>51</v>
      </c>
      <c r="M396" s="12" t="s">
        <v>51</v>
      </c>
      <c r="N396" s="11">
        <v>46146</v>
      </c>
      <c r="O396" s="12" t="s">
        <v>868</v>
      </c>
      <c r="P396" s="12" t="s">
        <v>51</v>
      </c>
      <c r="Q396" s="14" t="s">
        <v>1115</v>
      </c>
      <c r="R396" s="14" t="s">
        <v>61</v>
      </c>
      <c r="S396" s="12" t="s">
        <v>53</v>
      </c>
      <c r="T396" s="11"/>
      <c r="U396" s="12" t="str">
        <f t="shared" si="54"/>
        <v>Y</v>
      </c>
      <c r="V396" s="12" t="str">
        <f t="shared" si="55"/>
        <v>N</v>
      </c>
      <c r="W396" s="12" t="str">
        <f t="shared" si="56"/>
        <v>Y</v>
      </c>
      <c r="X396" s="12" t="str">
        <f t="shared" si="57"/>
        <v>Y</v>
      </c>
      <c r="Y396" s="12" t="str">
        <f t="shared" si="58"/>
        <v>Y</v>
      </c>
      <c r="Z396" s="12" t="str">
        <f t="shared" si="59"/>
        <v>Y</v>
      </c>
      <c r="AA396" s="12">
        <f t="shared" si="60"/>
        <v>3</v>
      </c>
      <c r="AB396" s="12" t="str">
        <f t="shared" si="61"/>
        <v>ELEVATED MULTI-SIGNAL</v>
      </c>
      <c r="AC396" s="14" t="str">
        <f t="shared" si="62"/>
        <v>Settlement Authorization | Pending QME | Automated Claim Alert</v>
      </c>
    </row>
    <row r="397" spans="1:29" x14ac:dyDescent="0.45">
      <c r="A397" s="2" t="s">
        <v>1116</v>
      </c>
      <c r="B397" s="2" t="s">
        <v>1117</v>
      </c>
      <c r="C397" s="2" t="s">
        <v>270</v>
      </c>
      <c r="D397" s="2" t="s">
        <v>105</v>
      </c>
      <c r="E397" s="11">
        <v>44689</v>
      </c>
      <c r="F397" s="12" t="s">
        <v>53</v>
      </c>
      <c r="G397" s="13"/>
      <c r="H397" s="12"/>
      <c r="I397" s="11"/>
      <c r="J397" s="12" t="s">
        <v>53</v>
      </c>
      <c r="K397" s="11"/>
      <c r="L397" s="12"/>
      <c r="M397" s="12" t="s">
        <v>53</v>
      </c>
      <c r="N397" s="11"/>
      <c r="O397" s="12"/>
      <c r="P397" s="12" t="s">
        <v>53</v>
      </c>
      <c r="Q397" s="14"/>
      <c r="R397" s="14"/>
      <c r="S397" s="12" t="s">
        <v>51</v>
      </c>
      <c r="T397" s="11">
        <v>46111</v>
      </c>
      <c r="U397" s="12" t="str">
        <f t="shared" si="54"/>
        <v>N</v>
      </c>
      <c r="V397" s="12" t="str">
        <f t="shared" si="55"/>
        <v>N</v>
      </c>
      <c r="W397" s="12" t="str">
        <f t="shared" si="56"/>
        <v>N</v>
      </c>
      <c r="X397" s="12" t="str">
        <f t="shared" si="57"/>
        <v>N</v>
      </c>
      <c r="Y397" s="12" t="str">
        <f t="shared" si="58"/>
        <v>N</v>
      </c>
      <c r="Z397" s="12" t="str">
        <f t="shared" si="59"/>
        <v>N</v>
      </c>
      <c r="AA397" s="12">
        <f t="shared" si="60"/>
        <v>1</v>
      </c>
      <c r="AB397" s="12" t="str">
        <f t="shared" si="61"/>
        <v>SINGLE-SIGNAL</v>
      </c>
      <c r="AC397" s="14" t="str">
        <f t="shared" si="62"/>
        <v>Inactive Customer</v>
      </c>
    </row>
    <row r="398" spans="1:29" x14ac:dyDescent="0.45">
      <c r="A398" s="2" t="s">
        <v>1118</v>
      </c>
      <c r="B398" s="2" t="s">
        <v>1119</v>
      </c>
      <c r="C398" s="2" t="s">
        <v>270</v>
      </c>
      <c r="D398" s="2" t="s">
        <v>181</v>
      </c>
      <c r="E398" s="11">
        <v>44974</v>
      </c>
      <c r="F398" s="12" t="s">
        <v>51</v>
      </c>
      <c r="G398" s="13">
        <v>65250</v>
      </c>
      <c r="H398" s="12" t="s">
        <v>66</v>
      </c>
      <c r="I398" s="11">
        <v>46232</v>
      </c>
      <c r="J398" s="12" t="s">
        <v>53</v>
      </c>
      <c r="K398" s="11"/>
      <c r="L398" s="12" t="s">
        <v>53</v>
      </c>
      <c r="M398" s="12" t="s">
        <v>53</v>
      </c>
      <c r="N398" s="11"/>
      <c r="O398" s="12"/>
      <c r="P398" s="12" t="s">
        <v>53</v>
      </c>
      <c r="Q398" s="14"/>
      <c r="R398" s="14"/>
      <c r="S398" s="12" t="s">
        <v>53</v>
      </c>
      <c r="T398" s="11"/>
      <c r="U398" s="12" t="str">
        <f t="shared" si="54"/>
        <v>N</v>
      </c>
      <c r="V398" s="12" t="str">
        <f t="shared" si="55"/>
        <v>N</v>
      </c>
      <c r="W398" s="12" t="str">
        <f t="shared" si="56"/>
        <v>N</v>
      </c>
      <c r="X398" s="12" t="str">
        <f t="shared" si="57"/>
        <v>N</v>
      </c>
      <c r="Y398" s="12" t="str">
        <f t="shared" si="58"/>
        <v>N</v>
      </c>
      <c r="Z398" s="12" t="str">
        <f t="shared" si="59"/>
        <v>N</v>
      </c>
      <c r="AA398" s="12">
        <f t="shared" si="60"/>
        <v>1</v>
      </c>
      <c r="AB398" s="12" t="str">
        <f t="shared" si="61"/>
        <v>SINGLE-SIGNAL</v>
      </c>
      <c r="AC398" s="14" t="str">
        <f t="shared" si="62"/>
        <v>Settlement Authorization</v>
      </c>
    </row>
    <row r="399" spans="1:29" x14ac:dyDescent="0.45">
      <c r="A399" s="2" t="s">
        <v>1120</v>
      </c>
      <c r="B399" s="2" t="s">
        <v>1121</v>
      </c>
      <c r="C399" s="2" t="s">
        <v>270</v>
      </c>
      <c r="D399" s="2" t="s">
        <v>334</v>
      </c>
      <c r="E399" s="11">
        <v>43720</v>
      </c>
      <c r="F399" s="12" t="s">
        <v>51</v>
      </c>
      <c r="G399" s="13">
        <v>135750</v>
      </c>
      <c r="H399" s="12" t="s">
        <v>78</v>
      </c>
      <c r="I399" s="11">
        <v>44766</v>
      </c>
      <c r="J399" s="12" t="s">
        <v>51</v>
      </c>
      <c r="K399" s="11">
        <v>44062</v>
      </c>
      <c r="L399" s="12" t="s">
        <v>51</v>
      </c>
      <c r="M399" s="12" t="s">
        <v>53</v>
      </c>
      <c r="N399" s="11"/>
      <c r="O399" s="12"/>
      <c r="P399" s="12" t="s">
        <v>53</v>
      </c>
      <c r="Q399" s="14"/>
      <c r="R399" s="14"/>
      <c r="S399" s="12" t="s">
        <v>53</v>
      </c>
      <c r="T399" s="11"/>
      <c r="U399" s="12" t="str">
        <f t="shared" si="54"/>
        <v>N</v>
      </c>
      <c r="V399" s="12" t="str">
        <f t="shared" si="55"/>
        <v>N</v>
      </c>
      <c r="W399" s="12" t="str">
        <f t="shared" si="56"/>
        <v>N</v>
      </c>
      <c r="X399" s="12" t="str">
        <f t="shared" si="57"/>
        <v>N</v>
      </c>
      <c r="Y399" s="12" t="str">
        <f t="shared" si="58"/>
        <v>N</v>
      </c>
      <c r="Z399" s="12" t="str">
        <f t="shared" si="59"/>
        <v>N</v>
      </c>
      <c r="AA399" s="12">
        <f t="shared" si="60"/>
        <v>2</v>
      </c>
      <c r="AB399" s="12" t="str">
        <f t="shared" si="61"/>
        <v>MULTI-SIGNAL</v>
      </c>
      <c r="AC399" s="14" t="str">
        <f t="shared" si="62"/>
        <v>Settlement Authorization | Open Stipulation</v>
      </c>
    </row>
    <row r="400" spans="1:29" x14ac:dyDescent="0.45">
      <c r="A400" s="2" t="s">
        <v>1122</v>
      </c>
      <c r="B400" s="2" t="s">
        <v>1123</v>
      </c>
      <c r="C400" s="2" t="s">
        <v>69</v>
      </c>
      <c r="D400" s="2" t="s">
        <v>431</v>
      </c>
      <c r="E400" s="11">
        <v>43850</v>
      </c>
      <c r="F400" s="12" t="s">
        <v>51</v>
      </c>
      <c r="G400" s="13">
        <v>77250</v>
      </c>
      <c r="H400" s="12" t="s">
        <v>78</v>
      </c>
      <c r="I400" s="11">
        <v>45373</v>
      </c>
      <c r="J400" s="12" t="s">
        <v>53</v>
      </c>
      <c r="K400" s="11"/>
      <c r="L400" s="12" t="s">
        <v>51</v>
      </c>
      <c r="M400" s="12" t="s">
        <v>53</v>
      </c>
      <c r="N400" s="11"/>
      <c r="O400" s="12"/>
      <c r="P400" s="12" t="s">
        <v>53</v>
      </c>
      <c r="Q400" s="14"/>
      <c r="R400" s="14"/>
      <c r="S400" s="12" t="s">
        <v>53</v>
      </c>
      <c r="T400" s="11"/>
      <c r="U400" s="12" t="str">
        <f t="shared" si="54"/>
        <v>N</v>
      </c>
      <c r="V400" s="12" t="str">
        <f t="shared" si="55"/>
        <v>N</v>
      </c>
      <c r="W400" s="12" t="str">
        <f t="shared" si="56"/>
        <v>N</v>
      </c>
      <c r="X400" s="12" t="str">
        <f t="shared" si="57"/>
        <v>N</v>
      </c>
      <c r="Y400" s="12" t="str">
        <f t="shared" si="58"/>
        <v>N</v>
      </c>
      <c r="Z400" s="12" t="str">
        <f t="shared" si="59"/>
        <v>N</v>
      </c>
      <c r="AA400" s="12">
        <f t="shared" si="60"/>
        <v>1</v>
      </c>
      <c r="AB400" s="12" t="str">
        <f t="shared" si="61"/>
        <v>SINGLE-SIGNAL</v>
      </c>
      <c r="AC400" s="14" t="str">
        <f t="shared" si="62"/>
        <v>Settlement Authorization</v>
      </c>
    </row>
    <row r="401" spans="1:29" x14ac:dyDescent="0.45">
      <c r="A401" s="2" t="s">
        <v>1124</v>
      </c>
      <c r="B401" s="2" t="s">
        <v>1125</v>
      </c>
      <c r="C401" s="2" t="s">
        <v>69</v>
      </c>
      <c r="D401" s="2" t="s">
        <v>717</v>
      </c>
      <c r="E401" s="11">
        <v>43431</v>
      </c>
      <c r="F401" s="12" t="s">
        <v>53</v>
      </c>
      <c r="G401" s="13"/>
      <c r="H401" s="12"/>
      <c r="I401" s="11"/>
      <c r="J401" s="12" t="s">
        <v>53</v>
      </c>
      <c r="K401" s="11"/>
      <c r="L401" s="12"/>
      <c r="M401" s="12" t="s">
        <v>53</v>
      </c>
      <c r="N401" s="11"/>
      <c r="O401" s="12"/>
      <c r="P401" s="12" t="s">
        <v>51</v>
      </c>
      <c r="Q401" s="14" t="s">
        <v>183</v>
      </c>
      <c r="R401" s="14" t="s">
        <v>209</v>
      </c>
      <c r="S401" s="12" t="s">
        <v>53</v>
      </c>
      <c r="T401" s="11"/>
      <c r="U401" s="12" t="str">
        <f t="shared" si="54"/>
        <v>Y</v>
      </c>
      <c r="V401" s="12" t="str">
        <f t="shared" si="55"/>
        <v>N</v>
      </c>
      <c r="W401" s="12" t="str">
        <f t="shared" si="56"/>
        <v>Y</v>
      </c>
      <c r="X401" s="12" t="str">
        <f t="shared" si="57"/>
        <v>N</v>
      </c>
      <c r="Y401" s="12" t="str">
        <f t="shared" si="58"/>
        <v>N</v>
      </c>
      <c r="Z401" s="12" t="str">
        <f t="shared" si="59"/>
        <v>N</v>
      </c>
      <c r="AA401" s="12">
        <f t="shared" si="60"/>
        <v>1</v>
      </c>
      <c r="AB401" s="12" t="str">
        <f t="shared" si="61"/>
        <v>SINGLE-SIGNAL</v>
      </c>
      <c r="AC401" s="14" t="str">
        <f t="shared" si="62"/>
        <v>Automated Claim Alert</v>
      </c>
    </row>
    <row r="402" spans="1:29" ht="28.5" x14ac:dyDescent="0.45">
      <c r="A402" s="2" t="s">
        <v>1126</v>
      </c>
      <c r="B402" s="2" t="s">
        <v>1127</v>
      </c>
      <c r="C402" s="2" t="s">
        <v>69</v>
      </c>
      <c r="D402" s="2" t="s">
        <v>437</v>
      </c>
      <c r="E402" s="11">
        <v>45991</v>
      </c>
      <c r="F402" s="12" t="s">
        <v>51</v>
      </c>
      <c r="G402" s="13">
        <v>171000</v>
      </c>
      <c r="H402" s="12" t="s">
        <v>52</v>
      </c>
      <c r="I402" s="11">
        <v>47183</v>
      </c>
      <c r="J402" s="12" t="s">
        <v>53</v>
      </c>
      <c r="K402" s="11"/>
      <c r="L402" s="12" t="s">
        <v>51</v>
      </c>
      <c r="M402" s="12" t="s">
        <v>53</v>
      </c>
      <c r="N402" s="11"/>
      <c r="O402" s="12"/>
      <c r="P402" s="12" t="s">
        <v>51</v>
      </c>
      <c r="Q402" s="14" t="s">
        <v>1128</v>
      </c>
      <c r="R402" s="14"/>
      <c r="S402" s="12" t="s">
        <v>53</v>
      </c>
      <c r="T402" s="11"/>
      <c r="U402" s="12" t="str">
        <f t="shared" si="54"/>
        <v>Y</v>
      </c>
      <c r="V402" s="12" t="str">
        <f t="shared" si="55"/>
        <v>N</v>
      </c>
      <c r="W402" s="12" t="str">
        <f t="shared" si="56"/>
        <v>Y</v>
      </c>
      <c r="X402" s="12" t="str">
        <f t="shared" si="57"/>
        <v>N</v>
      </c>
      <c r="Y402" s="12" t="str">
        <f t="shared" si="58"/>
        <v>Y</v>
      </c>
      <c r="Z402" s="12" t="str">
        <f t="shared" si="59"/>
        <v>N</v>
      </c>
      <c r="AA402" s="12">
        <f t="shared" si="60"/>
        <v>2</v>
      </c>
      <c r="AB402" s="12" t="str">
        <f t="shared" si="61"/>
        <v>MULTI-SIGNAL</v>
      </c>
      <c r="AC402" s="14" t="str">
        <f t="shared" si="62"/>
        <v>Settlement Authorization | Automated Claim Alert</v>
      </c>
    </row>
    <row r="403" spans="1:29" x14ac:dyDescent="0.45">
      <c r="A403" s="2" t="s">
        <v>1129</v>
      </c>
      <c r="B403" s="2" t="s">
        <v>1130</v>
      </c>
      <c r="C403" s="2" t="s">
        <v>69</v>
      </c>
      <c r="D403" s="2" t="s">
        <v>221</v>
      </c>
      <c r="E403" s="11">
        <v>45136</v>
      </c>
      <c r="F403" s="12" t="s">
        <v>51</v>
      </c>
      <c r="G403" s="13">
        <v>51000</v>
      </c>
      <c r="H403" s="12" t="s">
        <v>59</v>
      </c>
      <c r="I403" s="11">
        <v>46018</v>
      </c>
      <c r="J403" s="12" t="s">
        <v>51</v>
      </c>
      <c r="K403" s="11">
        <v>45938</v>
      </c>
      <c r="L403" s="12" t="s">
        <v>51</v>
      </c>
      <c r="M403" s="12" t="s">
        <v>53</v>
      </c>
      <c r="N403" s="11"/>
      <c r="O403" s="12"/>
      <c r="P403" s="12" t="s">
        <v>53</v>
      </c>
      <c r="Q403" s="14"/>
      <c r="R403" s="14"/>
      <c r="S403" s="12" t="s">
        <v>53</v>
      </c>
      <c r="T403" s="11"/>
      <c r="U403" s="12" t="str">
        <f t="shared" si="54"/>
        <v>N</v>
      </c>
      <c r="V403" s="12" t="str">
        <f t="shared" si="55"/>
        <v>N</v>
      </c>
      <c r="W403" s="12" t="str">
        <f t="shared" si="56"/>
        <v>N</v>
      </c>
      <c r="X403" s="12" t="str">
        <f t="shared" si="57"/>
        <v>N</v>
      </c>
      <c r="Y403" s="12" t="str">
        <f t="shared" si="58"/>
        <v>N</v>
      </c>
      <c r="Z403" s="12" t="str">
        <f t="shared" si="59"/>
        <v>N</v>
      </c>
      <c r="AA403" s="12">
        <f t="shared" si="60"/>
        <v>2</v>
      </c>
      <c r="AB403" s="12" t="str">
        <f t="shared" si="61"/>
        <v>MULTI-SIGNAL</v>
      </c>
      <c r="AC403" s="14" t="str">
        <f t="shared" si="62"/>
        <v>Settlement Authorization | Open Stipulation</v>
      </c>
    </row>
    <row r="404" spans="1:29" x14ac:dyDescent="0.45">
      <c r="A404" s="2" t="s">
        <v>1131</v>
      </c>
      <c r="B404" s="2" t="s">
        <v>1132</v>
      </c>
      <c r="C404" s="2" t="s">
        <v>69</v>
      </c>
      <c r="D404" s="2" t="s">
        <v>922</v>
      </c>
      <c r="E404" s="11">
        <v>44759</v>
      </c>
      <c r="F404" s="12" t="s">
        <v>53</v>
      </c>
      <c r="G404" s="13"/>
      <c r="H404" s="12"/>
      <c r="I404" s="11"/>
      <c r="J404" s="12" t="s">
        <v>53</v>
      </c>
      <c r="K404" s="11"/>
      <c r="L404" s="12"/>
      <c r="M404" s="12" t="s">
        <v>53</v>
      </c>
      <c r="N404" s="11"/>
      <c r="O404" s="12"/>
      <c r="P404" s="12" t="s">
        <v>53</v>
      </c>
      <c r="Q404" s="14"/>
      <c r="R404" s="14"/>
      <c r="S404" s="12" t="s">
        <v>51</v>
      </c>
      <c r="T404" s="11">
        <v>45534</v>
      </c>
      <c r="U404" s="12" t="str">
        <f t="shared" si="54"/>
        <v>N</v>
      </c>
      <c r="V404" s="12" t="str">
        <f t="shared" si="55"/>
        <v>N</v>
      </c>
      <c r="W404" s="12" t="str">
        <f t="shared" si="56"/>
        <v>N</v>
      </c>
      <c r="X404" s="12" t="str">
        <f t="shared" si="57"/>
        <v>N</v>
      </c>
      <c r="Y404" s="12" t="str">
        <f t="shared" si="58"/>
        <v>N</v>
      </c>
      <c r="Z404" s="12" t="str">
        <f t="shared" si="59"/>
        <v>N</v>
      </c>
      <c r="AA404" s="12">
        <f t="shared" si="60"/>
        <v>1</v>
      </c>
      <c r="AB404" s="12" t="str">
        <f t="shared" si="61"/>
        <v>SINGLE-SIGNAL</v>
      </c>
      <c r="AC404" s="14" t="str">
        <f t="shared" si="62"/>
        <v>Inactive Customer</v>
      </c>
    </row>
    <row r="405" spans="1:29" ht="28.5" x14ac:dyDescent="0.45">
      <c r="A405" s="2" t="s">
        <v>1133</v>
      </c>
      <c r="B405" s="2" t="s">
        <v>1134</v>
      </c>
      <c r="C405" s="2" t="s">
        <v>69</v>
      </c>
      <c r="D405" s="2" t="s">
        <v>186</v>
      </c>
      <c r="E405" s="11">
        <v>44748</v>
      </c>
      <c r="F405" s="12" t="s">
        <v>53</v>
      </c>
      <c r="G405" s="13"/>
      <c r="H405" s="12"/>
      <c r="I405" s="11"/>
      <c r="J405" s="12" t="s">
        <v>53</v>
      </c>
      <c r="K405" s="11"/>
      <c r="L405" s="12"/>
      <c r="M405" s="12" t="s">
        <v>51</v>
      </c>
      <c r="N405" s="11">
        <v>45617</v>
      </c>
      <c r="O405" s="12" t="s">
        <v>1135</v>
      </c>
      <c r="P405" s="12" t="s">
        <v>51</v>
      </c>
      <c r="Q405" s="14" t="s">
        <v>149</v>
      </c>
      <c r="R405" s="14" t="s">
        <v>1136</v>
      </c>
      <c r="S405" s="12" t="s">
        <v>53</v>
      </c>
      <c r="T405" s="11"/>
      <c r="U405" s="12" t="str">
        <f t="shared" si="54"/>
        <v>N</v>
      </c>
      <c r="V405" s="12" t="str">
        <f t="shared" si="55"/>
        <v>Y</v>
      </c>
      <c r="W405" s="12" t="str">
        <f t="shared" si="56"/>
        <v>Y</v>
      </c>
      <c r="X405" s="12" t="str">
        <f t="shared" si="57"/>
        <v>N</v>
      </c>
      <c r="Y405" s="12" t="str">
        <f t="shared" si="58"/>
        <v>N</v>
      </c>
      <c r="Z405" s="12" t="str">
        <f t="shared" si="59"/>
        <v>Y</v>
      </c>
      <c r="AA405" s="12">
        <f t="shared" si="60"/>
        <v>2</v>
      </c>
      <c r="AB405" s="12" t="str">
        <f t="shared" si="61"/>
        <v>MULTI-SIGNAL</v>
      </c>
      <c r="AC405" s="14" t="str">
        <f t="shared" si="62"/>
        <v>Pending QME | Automated Claim Alert</v>
      </c>
    </row>
    <row r="406" spans="1:29" ht="42.75" x14ac:dyDescent="0.45">
      <c r="A406" s="2" t="s">
        <v>1137</v>
      </c>
      <c r="B406" s="2" t="s">
        <v>1138</v>
      </c>
      <c r="C406" s="2" t="s">
        <v>69</v>
      </c>
      <c r="D406" s="2" t="s">
        <v>747</v>
      </c>
      <c r="E406" s="11">
        <v>44149</v>
      </c>
      <c r="F406" s="12" t="s">
        <v>51</v>
      </c>
      <c r="G406" s="13">
        <v>36250</v>
      </c>
      <c r="H406" s="12" t="s">
        <v>78</v>
      </c>
      <c r="I406" s="11">
        <v>45088</v>
      </c>
      <c r="J406" s="12" t="s">
        <v>53</v>
      </c>
      <c r="K406" s="11"/>
      <c r="L406" s="12" t="s">
        <v>53</v>
      </c>
      <c r="M406" s="12" t="s">
        <v>53</v>
      </c>
      <c r="N406" s="11"/>
      <c r="O406" s="12"/>
      <c r="P406" s="12" t="s">
        <v>51</v>
      </c>
      <c r="Q406" s="14" t="s">
        <v>1139</v>
      </c>
      <c r="R406" s="14"/>
      <c r="S406" s="12" t="s">
        <v>53</v>
      </c>
      <c r="T406" s="11"/>
      <c r="U406" s="12" t="str">
        <f t="shared" si="54"/>
        <v>N</v>
      </c>
      <c r="V406" s="12" t="str">
        <f t="shared" si="55"/>
        <v>N</v>
      </c>
      <c r="W406" s="12" t="str">
        <f t="shared" si="56"/>
        <v>Y</v>
      </c>
      <c r="X406" s="12" t="str">
        <f t="shared" si="57"/>
        <v>Y</v>
      </c>
      <c r="Y406" s="12" t="str">
        <f t="shared" si="58"/>
        <v>N</v>
      </c>
      <c r="Z406" s="12" t="str">
        <f t="shared" si="59"/>
        <v>Y</v>
      </c>
      <c r="AA406" s="12">
        <f t="shared" si="60"/>
        <v>2</v>
      </c>
      <c r="AB406" s="12" t="str">
        <f t="shared" si="61"/>
        <v>MULTI-SIGNAL</v>
      </c>
      <c r="AC406" s="14" t="str">
        <f t="shared" si="62"/>
        <v>Settlement Authorization | Automated Claim Alert</v>
      </c>
    </row>
    <row r="407" spans="1:29" ht="42.75" x14ac:dyDescent="0.45">
      <c r="A407" s="2" t="s">
        <v>1140</v>
      </c>
      <c r="B407" s="2" t="s">
        <v>1141</v>
      </c>
      <c r="C407" s="2" t="s">
        <v>69</v>
      </c>
      <c r="D407" s="2" t="s">
        <v>537</v>
      </c>
      <c r="E407" s="11">
        <v>45982</v>
      </c>
      <c r="F407" s="12" t="s">
        <v>51</v>
      </c>
      <c r="G407" s="13">
        <v>39500</v>
      </c>
      <c r="H407" s="12" t="s">
        <v>71</v>
      </c>
      <c r="I407" s="11">
        <v>46378</v>
      </c>
      <c r="J407" s="12" t="s">
        <v>53</v>
      </c>
      <c r="K407" s="11"/>
      <c r="L407" s="12" t="s">
        <v>53</v>
      </c>
      <c r="M407" s="12" t="s">
        <v>53</v>
      </c>
      <c r="N407" s="11"/>
      <c r="O407" s="12"/>
      <c r="P407" s="12" t="s">
        <v>51</v>
      </c>
      <c r="Q407" s="14" t="s">
        <v>1142</v>
      </c>
      <c r="R407" s="14"/>
      <c r="S407" s="12" t="s">
        <v>53</v>
      </c>
      <c r="T407" s="11"/>
      <c r="U407" s="12" t="str">
        <f t="shared" si="54"/>
        <v>Y</v>
      </c>
      <c r="V407" s="12" t="str">
        <f t="shared" si="55"/>
        <v>N</v>
      </c>
      <c r="W407" s="12" t="str">
        <f t="shared" si="56"/>
        <v>N</v>
      </c>
      <c r="X407" s="12" t="str">
        <f t="shared" si="57"/>
        <v>Y</v>
      </c>
      <c r="Y407" s="12" t="str">
        <f t="shared" si="58"/>
        <v>Y</v>
      </c>
      <c r="Z407" s="12" t="str">
        <f t="shared" si="59"/>
        <v>N</v>
      </c>
      <c r="AA407" s="12">
        <f t="shared" si="60"/>
        <v>2</v>
      </c>
      <c r="AB407" s="12" t="str">
        <f t="shared" si="61"/>
        <v>MULTI-SIGNAL</v>
      </c>
      <c r="AC407" s="14" t="str">
        <f t="shared" si="62"/>
        <v>Settlement Authorization | Automated Claim Alert</v>
      </c>
    </row>
    <row r="408" spans="1:29" x14ac:dyDescent="0.45">
      <c r="A408" s="2" t="s">
        <v>1143</v>
      </c>
      <c r="B408" s="2" t="s">
        <v>1144</v>
      </c>
      <c r="C408" s="2" t="s">
        <v>69</v>
      </c>
      <c r="D408" s="2" t="s">
        <v>427</v>
      </c>
      <c r="E408" s="11">
        <v>45107</v>
      </c>
      <c r="F408" s="12" t="s">
        <v>51</v>
      </c>
      <c r="G408" s="13">
        <v>107500</v>
      </c>
      <c r="H408" s="12" t="s">
        <v>71</v>
      </c>
      <c r="I408" s="11">
        <v>46010</v>
      </c>
      <c r="J408" s="12" t="s">
        <v>53</v>
      </c>
      <c r="K408" s="11"/>
      <c r="L408" s="12" t="s">
        <v>51</v>
      </c>
      <c r="M408" s="12" t="s">
        <v>53</v>
      </c>
      <c r="N408" s="11"/>
      <c r="O408" s="12"/>
      <c r="P408" s="12" t="s">
        <v>53</v>
      </c>
      <c r="Q408" s="14"/>
      <c r="R408" s="14"/>
      <c r="S408" s="12" t="s">
        <v>51</v>
      </c>
      <c r="T408" s="11">
        <v>47047</v>
      </c>
      <c r="U408" s="12" t="str">
        <f t="shared" si="54"/>
        <v>N</v>
      </c>
      <c r="V408" s="12" t="str">
        <f t="shared" si="55"/>
        <v>N</v>
      </c>
      <c r="W408" s="12" t="str">
        <f t="shared" si="56"/>
        <v>N</v>
      </c>
      <c r="X408" s="12" t="str">
        <f t="shared" si="57"/>
        <v>N</v>
      </c>
      <c r="Y408" s="12" t="str">
        <f t="shared" si="58"/>
        <v>N</v>
      </c>
      <c r="Z408" s="12" t="str">
        <f t="shared" si="59"/>
        <v>N</v>
      </c>
      <c r="AA408" s="12">
        <f t="shared" si="60"/>
        <v>2</v>
      </c>
      <c r="AB408" s="12" t="str">
        <f t="shared" si="61"/>
        <v>MULTI-SIGNAL</v>
      </c>
      <c r="AC408" s="14" t="str">
        <f t="shared" si="62"/>
        <v>Settlement Authorization | Inactive Customer</v>
      </c>
    </row>
    <row r="409" spans="1:29" x14ac:dyDescent="0.45">
      <c r="A409" s="2" t="s">
        <v>1145</v>
      </c>
      <c r="B409" s="2" t="s">
        <v>1146</v>
      </c>
      <c r="C409" s="2" t="s">
        <v>69</v>
      </c>
      <c r="D409" s="2" t="s">
        <v>186</v>
      </c>
      <c r="E409" s="11">
        <v>44311</v>
      </c>
      <c r="F409" s="12" t="s">
        <v>53</v>
      </c>
      <c r="G409" s="13"/>
      <c r="H409" s="12"/>
      <c r="I409" s="11"/>
      <c r="J409" s="12" t="s">
        <v>51</v>
      </c>
      <c r="K409" s="11">
        <v>45081</v>
      </c>
      <c r="L409" s="12" t="s">
        <v>53</v>
      </c>
      <c r="M409" s="12" t="s">
        <v>53</v>
      </c>
      <c r="N409" s="11"/>
      <c r="O409" s="12"/>
      <c r="P409" s="12" t="s">
        <v>53</v>
      </c>
      <c r="Q409" s="14"/>
      <c r="R409" s="14"/>
      <c r="S409" s="12" t="s">
        <v>53</v>
      </c>
      <c r="T409" s="11"/>
      <c r="U409" s="12" t="str">
        <f t="shared" si="54"/>
        <v>N</v>
      </c>
      <c r="V409" s="12" t="str">
        <f t="shared" si="55"/>
        <v>N</v>
      </c>
      <c r="W409" s="12" t="str">
        <f t="shared" si="56"/>
        <v>N</v>
      </c>
      <c r="X409" s="12" t="str">
        <f t="shared" si="57"/>
        <v>N</v>
      </c>
      <c r="Y409" s="12" t="str">
        <f t="shared" si="58"/>
        <v>N</v>
      </c>
      <c r="Z409" s="12" t="str">
        <f t="shared" si="59"/>
        <v>N</v>
      </c>
      <c r="AA409" s="12">
        <f t="shared" si="60"/>
        <v>1</v>
      </c>
      <c r="AB409" s="12" t="str">
        <f t="shared" si="61"/>
        <v>SINGLE-SIGNAL</v>
      </c>
      <c r="AC409" s="14" t="str">
        <f t="shared" si="62"/>
        <v>Open Stipulation</v>
      </c>
    </row>
    <row r="410" spans="1:29" x14ac:dyDescent="0.45">
      <c r="A410" s="2" t="s">
        <v>1147</v>
      </c>
      <c r="B410" s="2" t="s">
        <v>1148</v>
      </c>
      <c r="C410" s="2" t="s">
        <v>69</v>
      </c>
      <c r="D410" s="2" t="s">
        <v>394</v>
      </c>
      <c r="E410" s="11">
        <v>43154</v>
      </c>
      <c r="F410" s="12" t="s">
        <v>51</v>
      </c>
      <c r="G410" s="13">
        <v>141750</v>
      </c>
      <c r="H410" s="12" t="s">
        <v>93</v>
      </c>
      <c r="I410" s="11">
        <v>43702</v>
      </c>
      <c r="J410" s="12" t="s">
        <v>53</v>
      </c>
      <c r="K410" s="11"/>
      <c r="L410" s="12" t="s">
        <v>53</v>
      </c>
      <c r="M410" s="12" t="s">
        <v>53</v>
      </c>
      <c r="N410" s="11"/>
      <c r="O410" s="12"/>
      <c r="P410" s="12" t="s">
        <v>53</v>
      </c>
      <c r="Q410" s="14"/>
      <c r="R410" s="14"/>
      <c r="S410" s="12" t="s">
        <v>53</v>
      </c>
      <c r="T410" s="11"/>
      <c r="U410" s="12" t="str">
        <f t="shared" si="54"/>
        <v>N</v>
      </c>
      <c r="V410" s="12" t="str">
        <f t="shared" si="55"/>
        <v>N</v>
      </c>
      <c r="W410" s="12" t="str">
        <f t="shared" si="56"/>
        <v>N</v>
      </c>
      <c r="X410" s="12" t="str">
        <f t="shared" si="57"/>
        <v>N</v>
      </c>
      <c r="Y410" s="12" t="str">
        <f t="shared" si="58"/>
        <v>N</v>
      </c>
      <c r="Z410" s="12" t="str">
        <f t="shared" si="59"/>
        <v>N</v>
      </c>
      <c r="AA410" s="12">
        <f t="shared" si="60"/>
        <v>1</v>
      </c>
      <c r="AB410" s="12" t="str">
        <f t="shared" si="61"/>
        <v>SINGLE-SIGNAL</v>
      </c>
      <c r="AC410" s="14" t="str">
        <f t="shared" si="62"/>
        <v>Settlement Authorization</v>
      </c>
    </row>
    <row r="411" spans="1:29" x14ac:dyDescent="0.45">
      <c r="A411" s="2" t="s">
        <v>1149</v>
      </c>
      <c r="B411" s="2" t="s">
        <v>1150</v>
      </c>
      <c r="C411" s="2" t="s">
        <v>69</v>
      </c>
      <c r="D411" s="2" t="s">
        <v>207</v>
      </c>
      <c r="E411" s="11">
        <v>45649</v>
      </c>
      <c r="F411" s="12" t="s">
        <v>51</v>
      </c>
      <c r="G411" s="13">
        <v>81500</v>
      </c>
      <c r="H411" s="12" t="s">
        <v>89</v>
      </c>
      <c r="I411" s="11">
        <v>46601</v>
      </c>
      <c r="J411" s="12" t="s">
        <v>53</v>
      </c>
      <c r="K411" s="11"/>
      <c r="L411" s="12" t="s">
        <v>53</v>
      </c>
      <c r="M411" s="12" t="s">
        <v>53</v>
      </c>
      <c r="N411" s="11"/>
      <c r="O411" s="12"/>
      <c r="P411" s="12" t="s">
        <v>53</v>
      </c>
      <c r="Q411" s="14"/>
      <c r="R411" s="14"/>
      <c r="S411" s="12" t="s">
        <v>53</v>
      </c>
      <c r="T411" s="11"/>
      <c r="U411" s="12" t="str">
        <f t="shared" si="54"/>
        <v>N</v>
      </c>
      <c r="V411" s="12" t="str">
        <f t="shared" si="55"/>
        <v>N</v>
      </c>
      <c r="W411" s="12" t="str">
        <f t="shared" si="56"/>
        <v>N</v>
      </c>
      <c r="X411" s="12" t="str">
        <f t="shared" si="57"/>
        <v>N</v>
      </c>
      <c r="Y411" s="12" t="str">
        <f t="shared" si="58"/>
        <v>N</v>
      </c>
      <c r="Z411" s="12" t="str">
        <f t="shared" si="59"/>
        <v>N</v>
      </c>
      <c r="AA411" s="12">
        <f t="shared" si="60"/>
        <v>1</v>
      </c>
      <c r="AB411" s="12" t="str">
        <f t="shared" si="61"/>
        <v>SINGLE-SIGNAL</v>
      </c>
      <c r="AC411" s="14" t="str">
        <f t="shared" si="62"/>
        <v>Settlement Authorization</v>
      </c>
    </row>
    <row r="412" spans="1:29" x14ac:dyDescent="0.45">
      <c r="A412" s="2" t="s">
        <v>1151</v>
      </c>
      <c r="B412" s="2" t="s">
        <v>1152</v>
      </c>
      <c r="C412" s="2" t="s">
        <v>69</v>
      </c>
      <c r="D412" s="2" t="s">
        <v>226</v>
      </c>
      <c r="E412" s="11">
        <v>45103</v>
      </c>
      <c r="F412" s="12" t="s">
        <v>51</v>
      </c>
      <c r="G412" s="13">
        <v>37750</v>
      </c>
      <c r="H412" s="12" t="s">
        <v>66</v>
      </c>
      <c r="I412" s="11">
        <v>46618</v>
      </c>
      <c r="J412" s="12" t="s">
        <v>53</v>
      </c>
      <c r="K412" s="11"/>
      <c r="L412" s="12" t="s">
        <v>51</v>
      </c>
      <c r="M412" s="12" t="s">
        <v>53</v>
      </c>
      <c r="N412" s="11"/>
      <c r="O412" s="12"/>
      <c r="P412" s="12" t="s">
        <v>53</v>
      </c>
      <c r="Q412" s="14"/>
      <c r="R412" s="14"/>
      <c r="S412" s="12" t="s">
        <v>51</v>
      </c>
      <c r="T412" s="11">
        <v>45940</v>
      </c>
      <c r="U412" s="12" t="str">
        <f t="shared" si="54"/>
        <v>N</v>
      </c>
      <c r="V412" s="12" t="str">
        <f t="shared" si="55"/>
        <v>N</v>
      </c>
      <c r="W412" s="12" t="str">
        <f t="shared" si="56"/>
        <v>N</v>
      </c>
      <c r="X412" s="12" t="str">
        <f t="shared" si="57"/>
        <v>N</v>
      </c>
      <c r="Y412" s="12" t="str">
        <f t="shared" si="58"/>
        <v>N</v>
      </c>
      <c r="Z412" s="12" t="str">
        <f t="shared" si="59"/>
        <v>N</v>
      </c>
      <c r="AA412" s="12">
        <f t="shared" si="60"/>
        <v>2</v>
      </c>
      <c r="AB412" s="12" t="str">
        <f t="shared" si="61"/>
        <v>MULTI-SIGNAL</v>
      </c>
      <c r="AC412" s="14" t="str">
        <f t="shared" si="62"/>
        <v>Settlement Authorization | Inactive Customer</v>
      </c>
    </row>
    <row r="413" spans="1:29" ht="28.5" x14ac:dyDescent="0.45">
      <c r="A413" s="2" t="s">
        <v>1153</v>
      </c>
      <c r="B413" s="2" t="s">
        <v>1154</v>
      </c>
      <c r="C413" s="2" t="s">
        <v>69</v>
      </c>
      <c r="D413" s="2" t="s">
        <v>405</v>
      </c>
      <c r="E413" s="11">
        <v>43486</v>
      </c>
      <c r="F413" s="12" t="s">
        <v>53</v>
      </c>
      <c r="G413" s="13"/>
      <c r="H413" s="12"/>
      <c r="I413" s="11"/>
      <c r="J413" s="12" t="s">
        <v>53</v>
      </c>
      <c r="K413" s="11"/>
      <c r="L413" s="12"/>
      <c r="M413" s="12" t="s">
        <v>53</v>
      </c>
      <c r="N413" s="11"/>
      <c r="O413" s="12"/>
      <c r="P413" s="12" t="s">
        <v>51</v>
      </c>
      <c r="Q413" s="14" t="s">
        <v>623</v>
      </c>
      <c r="R413" s="14" t="s">
        <v>183</v>
      </c>
      <c r="S413" s="12" t="s">
        <v>53</v>
      </c>
      <c r="T413" s="11"/>
      <c r="U413" s="12" t="str">
        <f t="shared" si="54"/>
        <v>Y</v>
      </c>
      <c r="V413" s="12" t="str">
        <f t="shared" si="55"/>
        <v>Y</v>
      </c>
      <c r="W413" s="12" t="str">
        <f t="shared" si="56"/>
        <v>Y</v>
      </c>
      <c r="X413" s="12" t="str">
        <f t="shared" si="57"/>
        <v>Y</v>
      </c>
      <c r="Y413" s="12" t="str">
        <f t="shared" si="58"/>
        <v>N</v>
      </c>
      <c r="Z413" s="12" t="str">
        <f t="shared" si="59"/>
        <v>N</v>
      </c>
      <c r="AA413" s="12">
        <f t="shared" si="60"/>
        <v>1</v>
      </c>
      <c r="AB413" s="12" t="str">
        <f t="shared" si="61"/>
        <v>SINGLE-SIGNAL</v>
      </c>
      <c r="AC413" s="14" t="str">
        <f t="shared" si="62"/>
        <v>Automated Claim Alert</v>
      </c>
    </row>
    <row r="414" spans="1:29" x14ac:dyDescent="0.45">
      <c r="A414" s="2" t="s">
        <v>1155</v>
      </c>
      <c r="B414" s="2" t="s">
        <v>1156</v>
      </c>
      <c r="C414" s="2" t="s">
        <v>69</v>
      </c>
      <c r="D414" s="2" t="s">
        <v>309</v>
      </c>
      <c r="E414" s="11">
        <v>45042</v>
      </c>
      <c r="F414" s="12" t="s">
        <v>51</v>
      </c>
      <c r="G414" s="13">
        <v>75250</v>
      </c>
      <c r="H414" s="12" t="s">
        <v>66</v>
      </c>
      <c r="I414" s="11">
        <v>45972</v>
      </c>
      <c r="J414" s="12" t="s">
        <v>51</v>
      </c>
      <c r="K414" s="11">
        <v>46428</v>
      </c>
      <c r="L414" s="12" t="s">
        <v>51</v>
      </c>
      <c r="M414" s="12" t="s">
        <v>53</v>
      </c>
      <c r="N414" s="11"/>
      <c r="O414" s="12"/>
      <c r="P414" s="12" t="s">
        <v>53</v>
      </c>
      <c r="Q414" s="14"/>
      <c r="R414" s="14"/>
      <c r="S414" s="12" t="s">
        <v>53</v>
      </c>
      <c r="T414" s="11"/>
      <c r="U414" s="12" t="str">
        <f t="shared" si="54"/>
        <v>N</v>
      </c>
      <c r="V414" s="12" t="str">
        <f t="shared" si="55"/>
        <v>N</v>
      </c>
      <c r="W414" s="12" t="str">
        <f t="shared" si="56"/>
        <v>N</v>
      </c>
      <c r="X414" s="12" t="str">
        <f t="shared" si="57"/>
        <v>N</v>
      </c>
      <c r="Y414" s="12" t="str">
        <f t="shared" si="58"/>
        <v>N</v>
      </c>
      <c r="Z414" s="12" t="str">
        <f t="shared" si="59"/>
        <v>N</v>
      </c>
      <c r="AA414" s="12">
        <f t="shared" si="60"/>
        <v>2</v>
      </c>
      <c r="AB414" s="12" t="str">
        <f t="shared" si="61"/>
        <v>MULTI-SIGNAL</v>
      </c>
      <c r="AC414" s="14" t="str">
        <f t="shared" si="62"/>
        <v>Settlement Authorization | Open Stipulation</v>
      </c>
    </row>
    <row r="415" spans="1:29" ht="28.5" x14ac:dyDescent="0.45">
      <c r="A415" s="2" t="s">
        <v>1157</v>
      </c>
      <c r="B415" s="2" t="s">
        <v>1158</v>
      </c>
      <c r="C415" s="2" t="s">
        <v>69</v>
      </c>
      <c r="D415" s="2" t="s">
        <v>563</v>
      </c>
      <c r="E415" s="11">
        <v>43797</v>
      </c>
      <c r="F415" s="12" t="s">
        <v>51</v>
      </c>
      <c r="G415" s="13">
        <v>98000</v>
      </c>
      <c r="H415" s="12" t="s">
        <v>59</v>
      </c>
      <c r="I415" s="11">
        <v>45282</v>
      </c>
      <c r="J415" s="12" t="s">
        <v>53</v>
      </c>
      <c r="K415" s="11"/>
      <c r="L415" s="12" t="s">
        <v>53</v>
      </c>
      <c r="M415" s="12" t="s">
        <v>53</v>
      </c>
      <c r="N415" s="11"/>
      <c r="O415" s="12"/>
      <c r="P415" s="12" t="s">
        <v>51</v>
      </c>
      <c r="Q415" s="14" t="s">
        <v>183</v>
      </c>
      <c r="R415" s="14"/>
      <c r="S415" s="12" t="s">
        <v>53</v>
      </c>
      <c r="T415" s="11"/>
      <c r="U415" s="12" t="str">
        <f t="shared" si="54"/>
        <v>N</v>
      </c>
      <c r="V415" s="12" t="str">
        <f t="shared" si="55"/>
        <v>N</v>
      </c>
      <c r="W415" s="12" t="str">
        <f t="shared" si="56"/>
        <v>Y</v>
      </c>
      <c r="X415" s="12" t="str">
        <f t="shared" si="57"/>
        <v>N</v>
      </c>
      <c r="Y415" s="12" t="str">
        <f t="shared" si="58"/>
        <v>N</v>
      </c>
      <c r="Z415" s="12" t="str">
        <f t="shared" si="59"/>
        <v>N</v>
      </c>
      <c r="AA415" s="12">
        <f t="shared" si="60"/>
        <v>2</v>
      </c>
      <c r="AB415" s="12" t="str">
        <f t="shared" si="61"/>
        <v>MULTI-SIGNAL</v>
      </c>
      <c r="AC415" s="14" t="str">
        <f t="shared" si="62"/>
        <v>Settlement Authorization | Automated Claim Alert</v>
      </c>
    </row>
    <row r="416" spans="1:29" ht="28.5" x14ac:dyDescent="0.45">
      <c r="A416" s="2" t="s">
        <v>1159</v>
      </c>
      <c r="B416" s="2" t="s">
        <v>1160</v>
      </c>
      <c r="C416" s="2" t="s">
        <v>69</v>
      </c>
      <c r="D416" s="2" t="s">
        <v>316</v>
      </c>
      <c r="E416" s="11">
        <v>45586</v>
      </c>
      <c r="F416" s="12" t="s">
        <v>51</v>
      </c>
      <c r="G416" s="13">
        <v>122000</v>
      </c>
      <c r="H416" s="12" t="s">
        <v>71</v>
      </c>
      <c r="I416" s="11">
        <v>45886</v>
      </c>
      <c r="J416" s="12" t="s">
        <v>51</v>
      </c>
      <c r="K416" s="11">
        <v>46667</v>
      </c>
      <c r="L416" s="12" t="s">
        <v>51</v>
      </c>
      <c r="M416" s="12" t="s">
        <v>53</v>
      </c>
      <c r="N416" s="11"/>
      <c r="O416" s="12"/>
      <c r="P416" s="12" t="s">
        <v>53</v>
      </c>
      <c r="Q416" s="14"/>
      <c r="R416" s="14"/>
      <c r="S416" s="12" t="s">
        <v>51</v>
      </c>
      <c r="T416" s="11">
        <v>46127</v>
      </c>
      <c r="U416" s="12" t="str">
        <f t="shared" si="54"/>
        <v>N</v>
      </c>
      <c r="V416" s="12" t="str">
        <f t="shared" si="55"/>
        <v>N</v>
      </c>
      <c r="W416" s="12" t="str">
        <f t="shared" si="56"/>
        <v>N</v>
      </c>
      <c r="X416" s="12" t="str">
        <f t="shared" si="57"/>
        <v>N</v>
      </c>
      <c r="Y416" s="12" t="str">
        <f t="shared" si="58"/>
        <v>N</v>
      </c>
      <c r="Z416" s="12" t="str">
        <f t="shared" si="59"/>
        <v>N</v>
      </c>
      <c r="AA416" s="12">
        <f t="shared" si="60"/>
        <v>3</v>
      </c>
      <c r="AB416" s="12" t="str">
        <f t="shared" si="61"/>
        <v>ELEVATED MULTI-SIGNAL</v>
      </c>
      <c r="AC416" s="14" t="str">
        <f t="shared" si="62"/>
        <v>Settlement Authorization | Open Stipulation | Inactive Customer</v>
      </c>
    </row>
    <row r="417" spans="1:29" x14ac:dyDescent="0.45">
      <c r="A417" s="2" t="s">
        <v>1161</v>
      </c>
      <c r="B417" s="2" t="s">
        <v>1162</v>
      </c>
      <c r="C417" s="2" t="s">
        <v>69</v>
      </c>
      <c r="D417" s="2" t="s">
        <v>907</v>
      </c>
      <c r="E417" s="11">
        <v>44731</v>
      </c>
      <c r="F417" s="12" t="s">
        <v>51</v>
      </c>
      <c r="G417" s="13">
        <v>106250</v>
      </c>
      <c r="H417" s="12" t="s">
        <v>93</v>
      </c>
      <c r="I417" s="11">
        <v>45891</v>
      </c>
      <c r="J417" s="12" t="s">
        <v>53</v>
      </c>
      <c r="K417" s="11"/>
      <c r="L417" s="12" t="s">
        <v>53</v>
      </c>
      <c r="M417" s="12" t="s">
        <v>53</v>
      </c>
      <c r="N417" s="11"/>
      <c r="O417" s="12"/>
      <c r="P417" s="12" t="s">
        <v>53</v>
      </c>
      <c r="Q417" s="14"/>
      <c r="R417" s="14"/>
      <c r="S417" s="12" t="s">
        <v>53</v>
      </c>
      <c r="T417" s="11"/>
      <c r="U417" s="12" t="str">
        <f t="shared" si="54"/>
        <v>N</v>
      </c>
      <c r="V417" s="12" t="str">
        <f t="shared" si="55"/>
        <v>N</v>
      </c>
      <c r="W417" s="12" t="str">
        <f t="shared" si="56"/>
        <v>N</v>
      </c>
      <c r="X417" s="12" t="str">
        <f t="shared" si="57"/>
        <v>N</v>
      </c>
      <c r="Y417" s="12" t="str">
        <f t="shared" si="58"/>
        <v>N</v>
      </c>
      <c r="Z417" s="12" t="str">
        <f t="shared" si="59"/>
        <v>N</v>
      </c>
      <c r="AA417" s="12">
        <f t="shared" si="60"/>
        <v>1</v>
      </c>
      <c r="AB417" s="12" t="str">
        <f t="shared" si="61"/>
        <v>SINGLE-SIGNAL</v>
      </c>
      <c r="AC417" s="14" t="str">
        <f t="shared" si="62"/>
        <v>Settlement Authorization</v>
      </c>
    </row>
    <row r="418" spans="1:29" x14ac:dyDescent="0.45">
      <c r="A418" s="2" t="s">
        <v>1163</v>
      </c>
      <c r="B418" s="2" t="s">
        <v>1164</v>
      </c>
      <c r="C418" s="2" t="s">
        <v>69</v>
      </c>
      <c r="D418" s="2" t="s">
        <v>173</v>
      </c>
      <c r="E418" s="11">
        <v>44708</v>
      </c>
      <c r="F418" s="12" t="s">
        <v>53</v>
      </c>
      <c r="G418" s="13"/>
      <c r="H418" s="12"/>
      <c r="I418" s="11"/>
      <c r="J418" s="12" t="s">
        <v>53</v>
      </c>
      <c r="K418" s="11"/>
      <c r="L418" s="12"/>
      <c r="M418" s="12" t="s">
        <v>53</v>
      </c>
      <c r="N418" s="11"/>
      <c r="O418" s="12"/>
      <c r="P418" s="12" t="s">
        <v>53</v>
      </c>
      <c r="Q418" s="14"/>
      <c r="R418" s="14"/>
      <c r="S418" s="12" t="s">
        <v>51</v>
      </c>
      <c r="T418" s="11">
        <v>45360</v>
      </c>
      <c r="U418" s="12" t="str">
        <f t="shared" si="54"/>
        <v>N</v>
      </c>
      <c r="V418" s="12" t="str">
        <f t="shared" si="55"/>
        <v>N</v>
      </c>
      <c r="W418" s="12" t="str">
        <f t="shared" si="56"/>
        <v>N</v>
      </c>
      <c r="X418" s="12" t="str">
        <f t="shared" si="57"/>
        <v>N</v>
      </c>
      <c r="Y418" s="12" t="str">
        <f t="shared" si="58"/>
        <v>N</v>
      </c>
      <c r="Z418" s="12" t="str">
        <f t="shared" si="59"/>
        <v>N</v>
      </c>
      <c r="AA418" s="12">
        <f t="shared" si="60"/>
        <v>1</v>
      </c>
      <c r="AB418" s="12" t="str">
        <f t="shared" si="61"/>
        <v>SINGLE-SIGNAL</v>
      </c>
      <c r="AC418" s="14" t="str">
        <f t="shared" si="62"/>
        <v>Inactive Customer</v>
      </c>
    </row>
    <row r="419" spans="1:29" x14ac:dyDescent="0.45">
      <c r="A419" s="2" t="s">
        <v>1165</v>
      </c>
      <c r="B419" s="2" t="s">
        <v>1166</v>
      </c>
      <c r="C419" s="2" t="s">
        <v>69</v>
      </c>
      <c r="D419" s="2" t="s">
        <v>161</v>
      </c>
      <c r="E419" s="11">
        <v>45966</v>
      </c>
      <c r="F419" s="12" t="s">
        <v>51</v>
      </c>
      <c r="G419" s="13">
        <v>6750</v>
      </c>
      <c r="H419" s="12" t="s">
        <v>242</v>
      </c>
      <c r="I419" s="11">
        <v>46297</v>
      </c>
      <c r="J419" s="12" t="s">
        <v>53</v>
      </c>
      <c r="K419" s="11"/>
      <c r="L419" s="12" t="s">
        <v>53</v>
      </c>
      <c r="M419" s="12" t="s">
        <v>53</v>
      </c>
      <c r="N419" s="11"/>
      <c r="O419" s="12"/>
      <c r="P419" s="12" t="s">
        <v>53</v>
      </c>
      <c r="Q419" s="14"/>
      <c r="R419" s="14"/>
      <c r="S419" s="12" t="s">
        <v>53</v>
      </c>
      <c r="T419" s="11"/>
      <c r="U419" s="12" t="str">
        <f t="shared" si="54"/>
        <v>N</v>
      </c>
      <c r="V419" s="12" t="str">
        <f t="shared" si="55"/>
        <v>N</v>
      </c>
      <c r="W419" s="12" t="str">
        <f t="shared" si="56"/>
        <v>N</v>
      </c>
      <c r="X419" s="12" t="str">
        <f t="shared" si="57"/>
        <v>N</v>
      </c>
      <c r="Y419" s="12" t="str">
        <f t="shared" si="58"/>
        <v>N</v>
      </c>
      <c r="Z419" s="12" t="str">
        <f t="shared" si="59"/>
        <v>N</v>
      </c>
      <c r="AA419" s="12">
        <f t="shared" si="60"/>
        <v>1</v>
      </c>
      <c r="AB419" s="12" t="str">
        <f t="shared" si="61"/>
        <v>SINGLE-SIGNAL</v>
      </c>
      <c r="AC419" s="14" t="str">
        <f t="shared" si="62"/>
        <v>Settlement Authorization</v>
      </c>
    </row>
    <row r="420" spans="1:29" x14ac:dyDescent="0.45">
      <c r="A420" s="2" t="s">
        <v>1167</v>
      </c>
      <c r="B420" s="2" t="s">
        <v>1168</v>
      </c>
      <c r="C420" s="2" t="s">
        <v>69</v>
      </c>
      <c r="D420" s="2" t="s">
        <v>500</v>
      </c>
      <c r="E420" s="11">
        <v>44408</v>
      </c>
      <c r="F420" s="12" t="s">
        <v>51</v>
      </c>
      <c r="G420" s="13">
        <v>87500</v>
      </c>
      <c r="H420" s="12" t="s">
        <v>116</v>
      </c>
      <c r="I420" s="11">
        <v>44610</v>
      </c>
      <c r="J420" s="12" t="s">
        <v>53</v>
      </c>
      <c r="K420" s="11"/>
      <c r="L420" s="12" t="s">
        <v>53</v>
      </c>
      <c r="M420" s="12" t="s">
        <v>53</v>
      </c>
      <c r="N420" s="11"/>
      <c r="O420" s="12"/>
      <c r="P420" s="12" t="s">
        <v>53</v>
      </c>
      <c r="Q420" s="14"/>
      <c r="R420" s="14"/>
      <c r="S420" s="12" t="s">
        <v>53</v>
      </c>
      <c r="T420" s="11"/>
      <c r="U420" s="12" t="str">
        <f t="shared" si="54"/>
        <v>N</v>
      </c>
      <c r="V420" s="12" t="str">
        <f t="shared" si="55"/>
        <v>N</v>
      </c>
      <c r="W420" s="12" t="str">
        <f t="shared" si="56"/>
        <v>N</v>
      </c>
      <c r="X420" s="12" t="str">
        <f t="shared" si="57"/>
        <v>N</v>
      </c>
      <c r="Y420" s="12" t="str">
        <f t="shared" si="58"/>
        <v>N</v>
      </c>
      <c r="Z420" s="12" t="str">
        <f t="shared" si="59"/>
        <v>N</v>
      </c>
      <c r="AA420" s="12">
        <f t="shared" si="60"/>
        <v>1</v>
      </c>
      <c r="AB420" s="12" t="str">
        <f t="shared" si="61"/>
        <v>SINGLE-SIGNAL</v>
      </c>
      <c r="AC420" s="14" t="str">
        <f t="shared" si="62"/>
        <v>Settlement Authorization</v>
      </c>
    </row>
    <row r="421" spans="1:29" x14ac:dyDescent="0.45">
      <c r="A421" s="2" t="s">
        <v>1169</v>
      </c>
      <c r="B421" s="2" t="s">
        <v>1170</v>
      </c>
      <c r="C421" s="2" t="s">
        <v>69</v>
      </c>
      <c r="D421" s="2" t="s">
        <v>537</v>
      </c>
      <c r="E421" s="11">
        <v>44617</v>
      </c>
      <c r="F421" s="12" t="s">
        <v>51</v>
      </c>
      <c r="G421" s="13">
        <v>4750</v>
      </c>
      <c r="H421" s="12" t="s">
        <v>116</v>
      </c>
      <c r="I421" s="11">
        <v>46027</v>
      </c>
      <c r="J421" s="12" t="s">
        <v>53</v>
      </c>
      <c r="K421" s="11"/>
      <c r="L421" s="12" t="s">
        <v>51</v>
      </c>
      <c r="M421" s="12" t="s">
        <v>53</v>
      </c>
      <c r="N421" s="11"/>
      <c r="O421" s="12"/>
      <c r="P421" s="12" t="s">
        <v>53</v>
      </c>
      <c r="Q421" s="14"/>
      <c r="R421" s="14"/>
      <c r="S421" s="12" t="s">
        <v>53</v>
      </c>
      <c r="T421" s="11"/>
      <c r="U421" s="12" t="str">
        <f t="shared" si="54"/>
        <v>N</v>
      </c>
      <c r="V421" s="12" t="str">
        <f t="shared" si="55"/>
        <v>N</v>
      </c>
      <c r="W421" s="12" t="str">
        <f t="shared" si="56"/>
        <v>N</v>
      </c>
      <c r="X421" s="12" t="str">
        <f t="shared" si="57"/>
        <v>N</v>
      </c>
      <c r="Y421" s="12" t="str">
        <f t="shared" si="58"/>
        <v>N</v>
      </c>
      <c r="Z421" s="12" t="str">
        <f t="shared" si="59"/>
        <v>N</v>
      </c>
      <c r="AA421" s="12">
        <f t="shared" si="60"/>
        <v>1</v>
      </c>
      <c r="AB421" s="12" t="str">
        <f t="shared" si="61"/>
        <v>SINGLE-SIGNAL</v>
      </c>
      <c r="AC421" s="14" t="str">
        <f t="shared" si="62"/>
        <v>Settlement Authorization</v>
      </c>
    </row>
    <row r="422" spans="1:29" x14ac:dyDescent="0.45">
      <c r="A422" s="2" t="s">
        <v>1171</v>
      </c>
      <c r="B422" s="2" t="s">
        <v>1172</v>
      </c>
      <c r="C422" s="2" t="s">
        <v>69</v>
      </c>
      <c r="D422" s="2" t="s">
        <v>652</v>
      </c>
      <c r="E422" s="11">
        <v>45499</v>
      </c>
      <c r="F422" s="12" t="s">
        <v>51</v>
      </c>
      <c r="G422" s="13">
        <v>63250</v>
      </c>
      <c r="H422" s="12" t="s">
        <v>242</v>
      </c>
      <c r="I422" s="11">
        <v>47078</v>
      </c>
      <c r="J422" s="12" t="s">
        <v>53</v>
      </c>
      <c r="K422" s="11"/>
      <c r="L422" s="12" t="s">
        <v>51</v>
      </c>
      <c r="M422" s="12" t="s">
        <v>53</v>
      </c>
      <c r="N422" s="11"/>
      <c r="O422" s="12"/>
      <c r="P422" s="12" t="s">
        <v>53</v>
      </c>
      <c r="Q422" s="14"/>
      <c r="R422" s="14"/>
      <c r="S422" s="12" t="s">
        <v>53</v>
      </c>
      <c r="T422" s="11"/>
      <c r="U422" s="12" t="str">
        <f t="shared" si="54"/>
        <v>N</v>
      </c>
      <c r="V422" s="12" t="str">
        <f t="shared" si="55"/>
        <v>N</v>
      </c>
      <c r="W422" s="12" t="str">
        <f t="shared" si="56"/>
        <v>N</v>
      </c>
      <c r="X422" s="12" t="str">
        <f t="shared" si="57"/>
        <v>N</v>
      </c>
      <c r="Y422" s="12" t="str">
        <f t="shared" si="58"/>
        <v>N</v>
      </c>
      <c r="Z422" s="12" t="str">
        <f t="shared" si="59"/>
        <v>N</v>
      </c>
      <c r="AA422" s="12">
        <f t="shared" si="60"/>
        <v>1</v>
      </c>
      <c r="AB422" s="12" t="str">
        <f t="shared" si="61"/>
        <v>SINGLE-SIGNAL</v>
      </c>
      <c r="AC422" s="14" t="str">
        <f t="shared" si="62"/>
        <v>Settlement Authorization</v>
      </c>
    </row>
    <row r="423" spans="1:29" ht="28.5" x14ac:dyDescent="0.45">
      <c r="A423" s="2" t="s">
        <v>1173</v>
      </c>
      <c r="B423" s="2" t="s">
        <v>1174</v>
      </c>
      <c r="C423" s="2" t="s">
        <v>69</v>
      </c>
      <c r="D423" s="2" t="s">
        <v>337</v>
      </c>
      <c r="E423" s="11">
        <v>43280</v>
      </c>
      <c r="F423" s="12" t="s">
        <v>53</v>
      </c>
      <c r="G423" s="13"/>
      <c r="H423" s="12"/>
      <c r="I423" s="11"/>
      <c r="J423" s="12" t="s">
        <v>53</v>
      </c>
      <c r="K423" s="11"/>
      <c r="L423" s="12"/>
      <c r="M423" s="12" t="s">
        <v>53</v>
      </c>
      <c r="N423" s="11"/>
      <c r="O423" s="12"/>
      <c r="P423" s="12" t="s">
        <v>51</v>
      </c>
      <c r="Q423" s="14" t="s">
        <v>445</v>
      </c>
      <c r="R423" s="14" t="s">
        <v>391</v>
      </c>
      <c r="S423" s="12" t="s">
        <v>53</v>
      </c>
      <c r="T423" s="11"/>
      <c r="U423" s="12" t="str">
        <f t="shared" si="54"/>
        <v>Y</v>
      </c>
      <c r="V423" s="12" t="str">
        <f t="shared" si="55"/>
        <v>Y</v>
      </c>
      <c r="W423" s="12" t="str">
        <f t="shared" si="56"/>
        <v>Y</v>
      </c>
      <c r="X423" s="12" t="str">
        <f t="shared" si="57"/>
        <v>N</v>
      </c>
      <c r="Y423" s="12" t="str">
        <f t="shared" si="58"/>
        <v>Y</v>
      </c>
      <c r="Z423" s="12" t="str">
        <f t="shared" si="59"/>
        <v>N</v>
      </c>
      <c r="AA423" s="12">
        <f t="shared" si="60"/>
        <v>1</v>
      </c>
      <c r="AB423" s="12" t="str">
        <f t="shared" si="61"/>
        <v>SINGLE-SIGNAL</v>
      </c>
      <c r="AC423" s="14" t="str">
        <f t="shared" si="62"/>
        <v>Automated Claim Alert</v>
      </c>
    </row>
    <row r="424" spans="1:29" x14ac:dyDescent="0.45">
      <c r="A424" s="2" t="s">
        <v>1175</v>
      </c>
      <c r="B424" s="2" t="s">
        <v>1176</v>
      </c>
      <c r="C424" s="2" t="s">
        <v>69</v>
      </c>
      <c r="D424" s="2" t="s">
        <v>1177</v>
      </c>
      <c r="E424" s="11">
        <v>43162</v>
      </c>
      <c r="F424" s="12" t="s">
        <v>51</v>
      </c>
      <c r="G424" s="13">
        <v>51750</v>
      </c>
      <c r="H424" s="12" t="s">
        <v>93</v>
      </c>
      <c r="I424" s="11">
        <v>43771</v>
      </c>
      <c r="J424" s="12" t="s">
        <v>53</v>
      </c>
      <c r="K424" s="11"/>
      <c r="L424" s="12" t="s">
        <v>53</v>
      </c>
      <c r="M424" s="12" t="s">
        <v>53</v>
      </c>
      <c r="N424" s="11"/>
      <c r="O424" s="12"/>
      <c r="P424" s="12" t="s">
        <v>53</v>
      </c>
      <c r="Q424" s="14"/>
      <c r="R424" s="14"/>
      <c r="S424" s="12" t="s">
        <v>53</v>
      </c>
      <c r="T424" s="11"/>
      <c r="U424" s="12" t="str">
        <f t="shared" si="54"/>
        <v>N</v>
      </c>
      <c r="V424" s="12" t="str">
        <f t="shared" si="55"/>
        <v>N</v>
      </c>
      <c r="W424" s="12" t="str">
        <f t="shared" si="56"/>
        <v>N</v>
      </c>
      <c r="X424" s="12" t="str">
        <f t="shared" si="57"/>
        <v>N</v>
      </c>
      <c r="Y424" s="12" t="str">
        <f t="shared" si="58"/>
        <v>N</v>
      </c>
      <c r="Z424" s="12" t="str">
        <f t="shared" si="59"/>
        <v>N</v>
      </c>
      <c r="AA424" s="12">
        <f t="shared" si="60"/>
        <v>1</v>
      </c>
      <c r="AB424" s="12" t="str">
        <f t="shared" si="61"/>
        <v>SINGLE-SIGNAL</v>
      </c>
      <c r="AC424" s="14" t="str">
        <f t="shared" si="62"/>
        <v>Settlement Authorization</v>
      </c>
    </row>
    <row r="425" spans="1:29" ht="28.5" x14ac:dyDescent="0.45">
      <c r="A425" s="2" t="s">
        <v>1178</v>
      </c>
      <c r="B425" s="2" t="s">
        <v>1179</v>
      </c>
      <c r="C425" s="2" t="s">
        <v>69</v>
      </c>
      <c r="D425" s="2" t="s">
        <v>192</v>
      </c>
      <c r="E425" s="11">
        <v>43389</v>
      </c>
      <c r="F425" s="12" t="s">
        <v>51</v>
      </c>
      <c r="G425" s="13">
        <v>143500</v>
      </c>
      <c r="H425" s="12" t="s">
        <v>277</v>
      </c>
      <c r="I425" s="11">
        <v>43488</v>
      </c>
      <c r="J425" s="12" t="s">
        <v>53</v>
      </c>
      <c r="K425" s="11"/>
      <c r="L425" s="12" t="s">
        <v>53</v>
      </c>
      <c r="M425" s="12" t="s">
        <v>53</v>
      </c>
      <c r="N425" s="11"/>
      <c r="O425" s="12"/>
      <c r="P425" s="12" t="s">
        <v>51</v>
      </c>
      <c r="Q425" s="14" t="s">
        <v>646</v>
      </c>
      <c r="R425" s="14" t="s">
        <v>321</v>
      </c>
      <c r="S425" s="12" t="s">
        <v>51</v>
      </c>
      <c r="T425" s="11">
        <v>45493</v>
      </c>
      <c r="U425" s="12" t="str">
        <f t="shared" si="54"/>
        <v>Y</v>
      </c>
      <c r="V425" s="12" t="str">
        <f t="shared" si="55"/>
        <v>Y</v>
      </c>
      <c r="W425" s="12" t="str">
        <f t="shared" si="56"/>
        <v>Y</v>
      </c>
      <c r="X425" s="12" t="str">
        <f t="shared" si="57"/>
        <v>N</v>
      </c>
      <c r="Y425" s="12" t="str">
        <f t="shared" si="58"/>
        <v>Y</v>
      </c>
      <c r="Z425" s="12" t="str">
        <f t="shared" si="59"/>
        <v>Y</v>
      </c>
      <c r="AA425" s="12">
        <f t="shared" si="60"/>
        <v>3</v>
      </c>
      <c r="AB425" s="12" t="str">
        <f t="shared" si="61"/>
        <v>ELEVATED MULTI-SIGNAL</v>
      </c>
      <c r="AC425" s="14" t="str">
        <f t="shared" si="62"/>
        <v>Settlement Authorization | Automated Claim Alert | Inactive Customer</v>
      </c>
    </row>
    <row r="426" spans="1:29" x14ac:dyDescent="0.45">
      <c r="A426" s="2" t="s">
        <v>1180</v>
      </c>
      <c r="B426" s="2" t="s">
        <v>1181</v>
      </c>
      <c r="C426" s="2" t="s">
        <v>69</v>
      </c>
      <c r="D426" s="2" t="s">
        <v>1182</v>
      </c>
      <c r="E426" s="11">
        <v>45323</v>
      </c>
      <c r="F426" s="12" t="s">
        <v>51</v>
      </c>
      <c r="G426" s="13">
        <v>159750</v>
      </c>
      <c r="H426" s="12" t="s">
        <v>52</v>
      </c>
      <c r="I426" s="11">
        <v>46084</v>
      </c>
      <c r="J426" s="12" t="s">
        <v>53</v>
      </c>
      <c r="K426" s="11"/>
      <c r="L426" s="12" t="s">
        <v>53</v>
      </c>
      <c r="M426" s="12" t="s">
        <v>53</v>
      </c>
      <c r="N426" s="11"/>
      <c r="O426" s="12"/>
      <c r="P426" s="12" t="s">
        <v>53</v>
      </c>
      <c r="Q426" s="14"/>
      <c r="R426" s="14"/>
      <c r="S426" s="12" t="s">
        <v>53</v>
      </c>
      <c r="T426" s="11"/>
      <c r="U426" s="12" t="str">
        <f t="shared" si="54"/>
        <v>N</v>
      </c>
      <c r="V426" s="12" t="str">
        <f t="shared" si="55"/>
        <v>N</v>
      </c>
      <c r="W426" s="12" t="str">
        <f t="shared" si="56"/>
        <v>N</v>
      </c>
      <c r="X426" s="12" t="str">
        <f t="shared" si="57"/>
        <v>N</v>
      </c>
      <c r="Y426" s="12" t="str">
        <f t="shared" si="58"/>
        <v>N</v>
      </c>
      <c r="Z426" s="12" t="str">
        <f t="shared" si="59"/>
        <v>N</v>
      </c>
      <c r="AA426" s="12">
        <f t="shared" si="60"/>
        <v>1</v>
      </c>
      <c r="AB426" s="12" t="str">
        <f t="shared" si="61"/>
        <v>SINGLE-SIGNAL</v>
      </c>
      <c r="AC426" s="14" t="str">
        <f t="shared" si="62"/>
        <v>Settlement Authorization</v>
      </c>
    </row>
    <row r="427" spans="1:29" ht="28.5" x14ac:dyDescent="0.45">
      <c r="A427" s="2" t="s">
        <v>1183</v>
      </c>
      <c r="B427" s="2" t="s">
        <v>1184</v>
      </c>
      <c r="C427" s="2" t="s">
        <v>69</v>
      </c>
      <c r="D427" s="2" t="s">
        <v>401</v>
      </c>
      <c r="E427" s="11">
        <v>45975</v>
      </c>
      <c r="F427" s="12" t="s">
        <v>53</v>
      </c>
      <c r="G427" s="13"/>
      <c r="H427" s="12"/>
      <c r="I427" s="11"/>
      <c r="J427" s="12" t="s">
        <v>53</v>
      </c>
      <c r="K427" s="11"/>
      <c r="L427" s="12"/>
      <c r="M427" s="12" t="s">
        <v>53</v>
      </c>
      <c r="N427" s="11"/>
      <c r="O427" s="12"/>
      <c r="P427" s="12" t="s">
        <v>51</v>
      </c>
      <c r="Q427" s="14" t="s">
        <v>209</v>
      </c>
      <c r="R427" s="14" t="s">
        <v>424</v>
      </c>
      <c r="S427" s="12" t="s">
        <v>53</v>
      </c>
      <c r="T427" s="11"/>
      <c r="U427" s="12" t="str">
        <f t="shared" si="54"/>
        <v>Y</v>
      </c>
      <c r="V427" s="12" t="str">
        <f t="shared" si="55"/>
        <v>Y</v>
      </c>
      <c r="W427" s="12" t="str">
        <f t="shared" si="56"/>
        <v>N</v>
      </c>
      <c r="X427" s="12" t="str">
        <f t="shared" si="57"/>
        <v>N</v>
      </c>
      <c r="Y427" s="12" t="str">
        <f t="shared" si="58"/>
        <v>N</v>
      </c>
      <c r="Z427" s="12" t="str">
        <f t="shared" si="59"/>
        <v>Y</v>
      </c>
      <c r="AA427" s="12">
        <f t="shared" si="60"/>
        <v>1</v>
      </c>
      <c r="AB427" s="12" t="str">
        <f t="shared" si="61"/>
        <v>SINGLE-SIGNAL</v>
      </c>
      <c r="AC427" s="14" t="str">
        <f t="shared" si="62"/>
        <v>Automated Claim Alert</v>
      </c>
    </row>
    <row r="428" spans="1:29" ht="28.5" x14ac:dyDescent="0.45">
      <c r="A428" s="2" t="s">
        <v>1185</v>
      </c>
      <c r="B428" s="2" t="s">
        <v>1186</v>
      </c>
      <c r="C428" s="2" t="s">
        <v>69</v>
      </c>
      <c r="D428" s="2" t="s">
        <v>410</v>
      </c>
      <c r="E428" s="11">
        <v>43525</v>
      </c>
      <c r="F428" s="12" t="s">
        <v>51</v>
      </c>
      <c r="G428" s="13">
        <v>115000</v>
      </c>
      <c r="H428" s="12" t="s">
        <v>59</v>
      </c>
      <c r="I428" s="11">
        <v>43788</v>
      </c>
      <c r="J428" s="12" t="s">
        <v>53</v>
      </c>
      <c r="K428" s="11"/>
      <c r="L428" s="12" t="s">
        <v>53</v>
      </c>
      <c r="M428" s="12" t="s">
        <v>53</v>
      </c>
      <c r="N428" s="11"/>
      <c r="O428" s="12"/>
      <c r="P428" s="12" t="s">
        <v>51</v>
      </c>
      <c r="Q428" s="14" t="s">
        <v>402</v>
      </c>
      <c r="R428" s="14"/>
      <c r="S428" s="12" t="s">
        <v>53</v>
      </c>
      <c r="T428" s="11"/>
      <c r="U428" s="12" t="str">
        <f t="shared" si="54"/>
        <v>N</v>
      </c>
      <c r="V428" s="12" t="str">
        <f t="shared" si="55"/>
        <v>Y</v>
      </c>
      <c r="W428" s="12" t="str">
        <f t="shared" si="56"/>
        <v>N</v>
      </c>
      <c r="X428" s="12" t="str">
        <f t="shared" si="57"/>
        <v>Y</v>
      </c>
      <c r="Y428" s="12" t="str">
        <f t="shared" si="58"/>
        <v>N</v>
      </c>
      <c r="Z428" s="12" t="str">
        <f t="shared" si="59"/>
        <v>N</v>
      </c>
      <c r="AA428" s="12">
        <f t="shared" si="60"/>
        <v>2</v>
      </c>
      <c r="AB428" s="12" t="str">
        <f t="shared" si="61"/>
        <v>MULTI-SIGNAL</v>
      </c>
      <c r="AC428" s="14" t="str">
        <f t="shared" si="62"/>
        <v>Settlement Authorization | Automated Claim Alert</v>
      </c>
    </row>
    <row r="429" spans="1:29" x14ac:dyDescent="0.45">
      <c r="A429" s="2" t="s">
        <v>1187</v>
      </c>
      <c r="B429" s="2" t="s">
        <v>1188</v>
      </c>
      <c r="C429" s="2" t="s">
        <v>69</v>
      </c>
      <c r="D429" s="2" t="s">
        <v>306</v>
      </c>
      <c r="E429" s="11">
        <v>43795</v>
      </c>
      <c r="F429" s="12" t="s">
        <v>51</v>
      </c>
      <c r="G429" s="13">
        <v>68750</v>
      </c>
      <c r="H429" s="12" t="s">
        <v>89</v>
      </c>
      <c r="I429" s="11">
        <v>45549</v>
      </c>
      <c r="J429" s="12" t="s">
        <v>53</v>
      </c>
      <c r="K429" s="11"/>
      <c r="L429" s="12" t="s">
        <v>53</v>
      </c>
      <c r="M429" s="12" t="s">
        <v>53</v>
      </c>
      <c r="N429" s="11"/>
      <c r="O429" s="12"/>
      <c r="P429" s="12" t="s">
        <v>53</v>
      </c>
      <c r="Q429" s="14"/>
      <c r="R429" s="14"/>
      <c r="S429" s="12" t="s">
        <v>53</v>
      </c>
      <c r="T429" s="11"/>
      <c r="U429" s="12" t="str">
        <f t="shared" si="54"/>
        <v>N</v>
      </c>
      <c r="V429" s="12" t="str">
        <f t="shared" si="55"/>
        <v>N</v>
      </c>
      <c r="W429" s="12" t="str">
        <f t="shared" si="56"/>
        <v>N</v>
      </c>
      <c r="X429" s="12" t="str">
        <f t="shared" si="57"/>
        <v>N</v>
      </c>
      <c r="Y429" s="12" t="str">
        <f t="shared" si="58"/>
        <v>N</v>
      </c>
      <c r="Z429" s="12" t="str">
        <f t="shared" si="59"/>
        <v>N</v>
      </c>
      <c r="AA429" s="12">
        <f t="shared" si="60"/>
        <v>1</v>
      </c>
      <c r="AB429" s="12" t="str">
        <f t="shared" si="61"/>
        <v>SINGLE-SIGNAL</v>
      </c>
      <c r="AC429" s="14" t="str">
        <f t="shared" si="62"/>
        <v>Settlement Authorization</v>
      </c>
    </row>
    <row r="430" spans="1:29" x14ac:dyDescent="0.45">
      <c r="A430" s="2" t="s">
        <v>1189</v>
      </c>
      <c r="B430" s="2" t="s">
        <v>1190</v>
      </c>
      <c r="C430" s="2" t="s">
        <v>69</v>
      </c>
      <c r="D430" s="2" t="s">
        <v>125</v>
      </c>
      <c r="E430" s="11">
        <v>43357</v>
      </c>
      <c r="F430" s="12" t="s">
        <v>53</v>
      </c>
      <c r="G430" s="13"/>
      <c r="H430" s="12"/>
      <c r="I430" s="11"/>
      <c r="J430" s="12" t="s">
        <v>53</v>
      </c>
      <c r="K430" s="11"/>
      <c r="L430" s="12"/>
      <c r="M430" s="12" t="s">
        <v>53</v>
      </c>
      <c r="N430" s="11"/>
      <c r="O430" s="12"/>
      <c r="P430" s="12" t="s">
        <v>51</v>
      </c>
      <c r="Q430" s="14" t="s">
        <v>209</v>
      </c>
      <c r="R430" s="14" t="s">
        <v>222</v>
      </c>
      <c r="S430" s="12" t="s">
        <v>53</v>
      </c>
      <c r="T430" s="11"/>
      <c r="U430" s="12" t="str">
        <f t="shared" si="54"/>
        <v>Y</v>
      </c>
      <c r="V430" s="12" t="str">
        <f t="shared" si="55"/>
        <v>N</v>
      </c>
      <c r="W430" s="12" t="str">
        <f t="shared" si="56"/>
        <v>N</v>
      </c>
      <c r="X430" s="12" t="str">
        <f t="shared" si="57"/>
        <v>N</v>
      </c>
      <c r="Y430" s="12" t="str">
        <f t="shared" si="58"/>
        <v>Y</v>
      </c>
      <c r="Z430" s="12" t="str">
        <f t="shared" si="59"/>
        <v>N</v>
      </c>
      <c r="AA430" s="12">
        <f t="shared" si="60"/>
        <v>1</v>
      </c>
      <c r="AB430" s="12" t="str">
        <f t="shared" si="61"/>
        <v>SINGLE-SIGNAL</v>
      </c>
      <c r="AC430" s="14" t="str">
        <f t="shared" si="62"/>
        <v>Automated Claim Alert</v>
      </c>
    </row>
    <row r="431" spans="1:29" x14ac:dyDescent="0.45">
      <c r="A431" s="2" t="s">
        <v>1191</v>
      </c>
      <c r="B431" s="2" t="s">
        <v>1192</v>
      </c>
      <c r="C431" s="2" t="s">
        <v>69</v>
      </c>
      <c r="D431" s="2" t="s">
        <v>492</v>
      </c>
      <c r="E431" s="11">
        <v>44943</v>
      </c>
      <c r="F431" s="12" t="s">
        <v>51</v>
      </c>
      <c r="G431" s="13">
        <v>163500</v>
      </c>
      <c r="H431" s="12" t="s">
        <v>66</v>
      </c>
      <c r="I431" s="11">
        <v>45306</v>
      </c>
      <c r="J431" s="12" t="s">
        <v>53</v>
      </c>
      <c r="K431" s="11"/>
      <c r="L431" s="12" t="s">
        <v>53</v>
      </c>
      <c r="M431" s="12" t="s">
        <v>51</v>
      </c>
      <c r="N431" s="11">
        <v>46732</v>
      </c>
      <c r="O431" s="12" t="s">
        <v>763</v>
      </c>
      <c r="P431" s="12" t="s">
        <v>53</v>
      </c>
      <c r="Q431" s="14"/>
      <c r="R431" s="14"/>
      <c r="S431" s="12" t="s">
        <v>53</v>
      </c>
      <c r="T431" s="11"/>
      <c r="U431" s="12" t="str">
        <f t="shared" si="54"/>
        <v>N</v>
      </c>
      <c r="V431" s="12" t="str">
        <f t="shared" si="55"/>
        <v>N</v>
      </c>
      <c r="W431" s="12" t="str">
        <f t="shared" si="56"/>
        <v>N</v>
      </c>
      <c r="X431" s="12" t="str">
        <f t="shared" si="57"/>
        <v>N</v>
      </c>
      <c r="Y431" s="12" t="str">
        <f t="shared" si="58"/>
        <v>N</v>
      </c>
      <c r="Z431" s="12" t="str">
        <f t="shared" si="59"/>
        <v>N</v>
      </c>
      <c r="AA431" s="12">
        <f t="shared" si="60"/>
        <v>2</v>
      </c>
      <c r="AB431" s="12" t="str">
        <f t="shared" si="61"/>
        <v>MULTI-SIGNAL</v>
      </c>
      <c r="AC431" s="14" t="str">
        <f t="shared" si="62"/>
        <v>Settlement Authorization | Pending QME</v>
      </c>
    </row>
    <row r="432" spans="1:29" x14ac:dyDescent="0.45">
      <c r="A432" s="2" t="s">
        <v>1193</v>
      </c>
      <c r="B432" s="2" t="s">
        <v>1194</v>
      </c>
      <c r="C432" s="2" t="s">
        <v>69</v>
      </c>
      <c r="D432" s="2" t="s">
        <v>115</v>
      </c>
      <c r="E432" s="11">
        <v>45805</v>
      </c>
      <c r="F432" s="12" t="s">
        <v>51</v>
      </c>
      <c r="G432" s="13">
        <v>28750</v>
      </c>
      <c r="H432" s="12" t="s">
        <v>85</v>
      </c>
      <c r="I432" s="11">
        <v>46106</v>
      </c>
      <c r="J432" s="12" t="s">
        <v>53</v>
      </c>
      <c r="K432" s="11"/>
      <c r="L432" s="12" t="s">
        <v>53</v>
      </c>
      <c r="M432" s="12" t="s">
        <v>53</v>
      </c>
      <c r="N432" s="11"/>
      <c r="O432" s="12"/>
      <c r="P432" s="12" t="s">
        <v>53</v>
      </c>
      <c r="Q432" s="14"/>
      <c r="R432" s="14"/>
      <c r="S432" s="12" t="s">
        <v>53</v>
      </c>
      <c r="T432" s="11"/>
      <c r="U432" s="12" t="str">
        <f t="shared" si="54"/>
        <v>N</v>
      </c>
      <c r="V432" s="12" t="str">
        <f t="shared" si="55"/>
        <v>N</v>
      </c>
      <c r="W432" s="12" t="str">
        <f t="shared" si="56"/>
        <v>N</v>
      </c>
      <c r="X432" s="12" t="str">
        <f t="shared" si="57"/>
        <v>N</v>
      </c>
      <c r="Y432" s="12" t="str">
        <f t="shared" si="58"/>
        <v>N</v>
      </c>
      <c r="Z432" s="12" t="str">
        <f t="shared" si="59"/>
        <v>N</v>
      </c>
      <c r="AA432" s="12">
        <f t="shared" si="60"/>
        <v>1</v>
      </c>
      <c r="AB432" s="12" t="str">
        <f t="shared" si="61"/>
        <v>SINGLE-SIGNAL</v>
      </c>
      <c r="AC432" s="14" t="str">
        <f t="shared" si="62"/>
        <v>Settlement Authorization</v>
      </c>
    </row>
    <row r="433" spans="1:29" x14ac:dyDescent="0.45">
      <c r="A433" s="2" t="s">
        <v>1195</v>
      </c>
      <c r="B433" s="2" t="s">
        <v>1196</v>
      </c>
      <c r="C433" s="2" t="s">
        <v>69</v>
      </c>
      <c r="D433" s="2" t="s">
        <v>84</v>
      </c>
      <c r="E433" s="11">
        <v>45190</v>
      </c>
      <c r="F433" s="12" t="s">
        <v>51</v>
      </c>
      <c r="G433" s="13">
        <v>33500</v>
      </c>
      <c r="H433" s="12" t="s">
        <v>93</v>
      </c>
      <c r="I433" s="11">
        <v>45691</v>
      </c>
      <c r="J433" s="12" t="s">
        <v>51</v>
      </c>
      <c r="K433" s="11">
        <v>45908</v>
      </c>
      <c r="L433" s="12" t="s">
        <v>51</v>
      </c>
      <c r="M433" s="12" t="s">
        <v>53</v>
      </c>
      <c r="N433" s="11"/>
      <c r="O433" s="12"/>
      <c r="P433" s="12" t="s">
        <v>53</v>
      </c>
      <c r="Q433" s="14"/>
      <c r="R433" s="14"/>
      <c r="S433" s="12" t="s">
        <v>53</v>
      </c>
      <c r="T433" s="11"/>
      <c r="U433" s="12" t="str">
        <f t="shared" si="54"/>
        <v>N</v>
      </c>
      <c r="V433" s="12" t="str">
        <f t="shared" si="55"/>
        <v>N</v>
      </c>
      <c r="W433" s="12" t="str">
        <f t="shared" si="56"/>
        <v>N</v>
      </c>
      <c r="X433" s="12" t="str">
        <f t="shared" si="57"/>
        <v>N</v>
      </c>
      <c r="Y433" s="12" t="str">
        <f t="shared" si="58"/>
        <v>N</v>
      </c>
      <c r="Z433" s="12" t="str">
        <f t="shared" si="59"/>
        <v>N</v>
      </c>
      <c r="AA433" s="12">
        <f t="shared" si="60"/>
        <v>2</v>
      </c>
      <c r="AB433" s="12" t="str">
        <f t="shared" si="61"/>
        <v>MULTI-SIGNAL</v>
      </c>
      <c r="AC433" s="14" t="str">
        <f t="shared" si="62"/>
        <v>Settlement Authorization | Open Stipulation</v>
      </c>
    </row>
    <row r="434" spans="1:29" x14ac:dyDescent="0.45">
      <c r="A434" s="2" t="s">
        <v>1197</v>
      </c>
      <c r="B434" s="2" t="s">
        <v>1198</v>
      </c>
      <c r="C434" s="2" t="s">
        <v>69</v>
      </c>
      <c r="D434" s="2" t="s">
        <v>212</v>
      </c>
      <c r="E434" s="11">
        <v>43687</v>
      </c>
      <c r="F434" s="12" t="s">
        <v>51</v>
      </c>
      <c r="G434" s="13">
        <v>116250</v>
      </c>
      <c r="H434" s="12" t="s">
        <v>52</v>
      </c>
      <c r="I434" s="11">
        <v>44156</v>
      </c>
      <c r="J434" s="12" t="s">
        <v>53</v>
      </c>
      <c r="K434" s="11"/>
      <c r="L434" s="12" t="s">
        <v>51</v>
      </c>
      <c r="M434" s="12" t="s">
        <v>53</v>
      </c>
      <c r="N434" s="11"/>
      <c r="O434" s="12"/>
      <c r="P434" s="12" t="s">
        <v>53</v>
      </c>
      <c r="Q434" s="14"/>
      <c r="R434" s="14"/>
      <c r="S434" s="12" t="s">
        <v>53</v>
      </c>
      <c r="T434" s="11"/>
      <c r="U434" s="12" t="str">
        <f t="shared" si="54"/>
        <v>N</v>
      </c>
      <c r="V434" s="12" t="str">
        <f t="shared" si="55"/>
        <v>N</v>
      </c>
      <c r="W434" s="12" t="str">
        <f t="shared" si="56"/>
        <v>N</v>
      </c>
      <c r="X434" s="12" t="str">
        <f t="shared" si="57"/>
        <v>N</v>
      </c>
      <c r="Y434" s="12" t="str">
        <f t="shared" si="58"/>
        <v>N</v>
      </c>
      <c r="Z434" s="12" t="str">
        <f t="shared" si="59"/>
        <v>N</v>
      </c>
      <c r="AA434" s="12">
        <f t="shared" si="60"/>
        <v>1</v>
      </c>
      <c r="AB434" s="12" t="str">
        <f t="shared" si="61"/>
        <v>SINGLE-SIGNAL</v>
      </c>
      <c r="AC434" s="14" t="str">
        <f t="shared" si="62"/>
        <v>Settlement Authorization</v>
      </c>
    </row>
    <row r="435" spans="1:29" ht="28.5" x14ac:dyDescent="0.45">
      <c r="A435" s="2" t="s">
        <v>1199</v>
      </c>
      <c r="B435" s="2" t="s">
        <v>1200</v>
      </c>
      <c r="C435" s="2" t="s">
        <v>69</v>
      </c>
      <c r="D435" s="2" t="s">
        <v>221</v>
      </c>
      <c r="E435" s="11">
        <v>44578</v>
      </c>
      <c r="F435" s="12" t="s">
        <v>51</v>
      </c>
      <c r="G435" s="13">
        <v>127250</v>
      </c>
      <c r="H435" s="12" t="s">
        <v>71</v>
      </c>
      <c r="I435" s="11">
        <v>45675</v>
      </c>
      <c r="J435" s="12" t="s">
        <v>53</v>
      </c>
      <c r="K435" s="11"/>
      <c r="L435" s="12" t="s">
        <v>51</v>
      </c>
      <c r="M435" s="12" t="s">
        <v>53</v>
      </c>
      <c r="N435" s="11"/>
      <c r="O435" s="12"/>
      <c r="P435" s="12" t="s">
        <v>51</v>
      </c>
      <c r="Q435" s="14" t="s">
        <v>428</v>
      </c>
      <c r="R435" s="14"/>
      <c r="S435" s="12" t="s">
        <v>53</v>
      </c>
      <c r="T435" s="11"/>
      <c r="U435" s="12" t="str">
        <f t="shared" si="54"/>
        <v>N</v>
      </c>
      <c r="V435" s="12" t="str">
        <f t="shared" si="55"/>
        <v>N</v>
      </c>
      <c r="W435" s="12" t="str">
        <f t="shared" si="56"/>
        <v>N</v>
      </c>
      <c r="X435" s="12" t="str">
        <f t="shared" si="57"/>
        <v>Y</v>
      </c>
      <c r="Y435" s="12" t="str">
        <f t="shared" si="58"/>
        <v>Y</v>
      </c>
      <c r="Z435" s="12" t="str">
        <f t="shared" si="59"/>
        <v>N</v>
      </c>
      <c r="AA435" s="12">
        <f t="shared" si="60"/>
        <v>2</v>
      </c>
      <c r="AB435" s="12" t="str">
        <f t="shared" si="61"/>
        <v>MULTI-SIGNAL</v>
      </c>
      <c r="AC435" s="14" t="str">
        <f t="shared" si="62"/>
        <v>Settlement Authorization | Automated Claim Alert</v>
      </c>
    </row>
    <row r="436" spans="1:29" ht="28.5" x14ac:dyDescent="0.45">
      <c r="A436" s="2" t="s">
        <v>1201</v>
      </c>
      <c r="B436" s="2" t="s">
        <v>1202</v>
      </c>
      <c r="C436" s="2" t="s">
        <v>69</v>
      </c>
      <c r="D436" s="2" t="s">
        <v>720</v>
      </c>
      <c r="E436" s="11">
        <v>44524</v>
      </c>
      <c r="F436" s="12" t="s">
        <v>51</v>
      </c>
      <c r="G436" s="13">
        <v>174500</v>
      </c>
      <c r="H436" s="12" t="s">
        <v>89</v>
      </c>
      <c r="I436" s="11">
        <v>45125</v>
      </c>
      <c r="J436" s="12" t="s">
        <v>53</v>
      </c>
      <c r="K436" s="11"/>
      <c r="L436" s="12" t="s">
        <v>51</v>
      </c>
      <c r="M436" s="12" t="s">
        <v>53</v>
      </c>
      <c r="N436" s="11"/>
      <c r="O436" s="12"/>
      <c r="P436" s="12" t="s">
        <v>51</v>
      </c>
      <c r="Q436" s="14" t="s">
        <v>222</v>
      </c>
      <c r="R436" s="14"/>
      <c r="S436" s="12" t="s">
        <v>53</v>
      </c>
      <c r="T436" s="11"/>
      <c r="U436" s="12" t="str">
        <f t="shared" si="54"/>
        <v>N</v>
      </c>
      <c r="V436" s="12" t="str">
        <f t="shared" si="55"/>
        <v>N</v>
      </c>
      <c r="W436" s="12" t="str">
        <f t="shared" si="56"/>
        <v>N</v>
      </c>
      <c r="X436" s="12" t="str">
        <f t="shared" si="57"/>
        <v>N</v>
      </c>
      <c r="Y436" s="12" t="str">
        <f t="shared" si="58"/>
        <v>Y</v>
      </c>
      <c r="Z436" s="12" t="str">
        <f t="shared" si="59"/>
        <v>N</v>
      </c>
      <c r="AA436" s="12">
        <f t="shared" si="60"/>
        <v>2</v>
      </c>
      <c r="AB436" s="12" t="str">
        <f t="shared" si="61"/>
        <v>MULTI-SIGNAL</v>
      </c>
      <c r="AC436" s="14" t="str">
        <f t="shared" si="62"/>
        <v>Settlement Authorization | Automated Claim Alert</v>
      </c>
    </row>
    <row r="437" spans="1:29" x14ac:dyDescent="0.45">
      <c r="A437" s="2" t="s">
        <v>1203</v>
      </c>
      <c r="B437" s="2" t="s">
        <v>1204</v>
      </c>
      <c r="C437" s="2" t="s">
        <v>69</v>
      </c>
      <c r="D437" s="2" t="s">
        <v>1182</v>
      </c>
      <c r="E437" s="11">
        <v>45815</v>
      </c>
      <c r="F437" s="12" t="s">
        <v>53</v>
      </c>
      <c r="G437" s="13"/>
      <c r="H437" s="12"/>
      <c r="I437" s="11"/>
      <c r="J437" s="12" t="s">
        <v>53</v>
      </c>
      <c r="K437" s="11"/>
      <c r="L437" s="12"/>
      <c r="M437" s="12" t="s">
        <v>51</v>
      </c>
      <c r="N437" s="11">
        <v>46664</v>
      </c>
      <c r="O437" s="12" t="s">
        <v>271</v>
      </c>
      <c r="P437" s="12" t="s">
        <v>53</v>
      </c>
      <c r="Q437" s="14"/>
      <c r="R437" s="14"/>
      <c r="S437" s="12" t="s">
        <v>53</v>
      </c>
      <c r="T437" s="11"/>
      <c r="U437" s="12" t="str">
        <f t="shared" si="54"/>
        <v>N</v>
      </c>
      <c r="V437" s="12" t="str">
        <f t="shared" si="55"/>
        <v>N</v>
      </c>
      <c r="W437" s="12" t="str">
        <f t="shared" si="56"/>
        <v>N</v>
      </c>
      <c r="X437" s="12" t="str">
        <f t="shared" si="57"/>
        <v>N</v>
      </c>
      <c r="Y437" s="12" t="str">
        <f t="shared" si="58"/>
        <v>N</v>
      </c>
      <c r="Z437" s="12" t="str">
        <f t="shared" si="59"/>
        <v>N</v>
      </c>
      <c r="AA437" s="12">
        <f t="shared" si="60"/>
        <v>1</v>
      </c>
      <c r="AB437" s="12" t="str">
        <f t="shared" si="61"/>
        <v>SINGLE-SIGNAL</v>
      </c>
      <c r="AC437" s="14" t="str">
        <f t="shared" si="62"/>
        <v>Pending QME</v>
      </c>
    </row>
    <row r="438" spans="1:29" x14ac:dyDescent="0.45">
      <c r="A438" s="2" t="s">
        <v>1205</v>
      </c>
      <c r="B438" s="2" t="s">
        <v>1206</v>
      </c>
      <c r="C438" s="2" t="s">
        <v>69</v>
      </c>
      <c r="D438" s="2" t="s">
        <v>652</v>
      </c>
      <c r="E438" s="11">
        <v>46048</v>
      </c>
      <c r="F438" s="12" t="s">
        <v>53</v>
      </c>
      <c r="G438" s="13"/>
      <c r="H438" s="12"/>
      <c r="I438" s="11"/>
      <c r="J438" s="12" t="s">
        <v>51</v>
      </c>
      <c r="K438" s="11">
        <v>46727</v>
      </c>
      <c r="L438" s="12" t="s">
        <v>51</v>
      </c>
      <c r="M438" s="12" t="s">
        <v>51</v>
      </c>
      <c r="N438" s="11">
        <v>46281</v>
      </c>
      <c r="O438" s="12" t="s">
        <v>286</v>
      </c>
      <c r="P438" s="12" t="s">
        <v>53</v>
      </c>
      <c r="Q438" s="14"/>
      <c r="R438" s="14"/>
      <c r="S438" s="12" t="s">
        <v>53</v>
      </c>
      <c r="T438" s="11"/>
      <c r="U438" s="12" t="str">
        <f t="shared" si="54"/>
        <v>N</v>
      </c>
      <c r="V438" s="12" t="str">
        <f t="shared" si="55"/>
        <v>N</v>
      </c>
      <c r="W438" s="12" t="str">
        <f t="shared" si="56"/>
        <v>N</v>
      </c>
      <c r="X438" s="12" t="str">
        <f t="shared" si="57"/>
        <v>N</v>
      </c>
      <c r="Y438" s="12" t="str">
        <f t="shared" si="58"/>
        <v>N</v>
      </c>
      <c r="Z438" s="12" t="str">
        <f t="shared" si="59"/>
        <v>N</v>
      </c>
      <c r="AA438" s="12">
        <f t="shared" si="60"/>
        <v>2</v>
      </c>
      <c r="AB438" s="12" t="str">
        <f t="shared" si="61"/>
        <v>MULTI-SIGNAL</v>
      </c>
      <c r="AC438" s="14" t="str">
        <f t="shared" si="62"/>
        <v>Open Stipulation | Pending QME</v>
      </c>
    </row>
    <row r="439" spans="1:29" x14ac:dyDescent="0.45">
      <c r="A439" s="2" t="s">
        <v>1207</v>
      </c>
      <c r="B439" s="2" t="s">
        <v>1208</v>
      </c>
      <c r="C439" s="2" t="s">
        <v>69</v>
      </c>
      <c r="D439" s="2" t="s">
        <v>844</v>
      </c>
      <c r="E439" s="11">
        <v>43200</v>
      </c>
      <c r="F439" s="12" t="s">
        <v>51</v>
      </c>
      <c r="G439" s="13">
        <v>34500</v>
      </c>
      <c r="H439" s="12" t="s">
        <v>109</v>
      </c>
      <c r="I439" s="11">
        <v>43247</v>
      </c>
      <c r="J439" s="12" t="s">
        <v>53</v>
      </c>
      <c r="K439" s="11"/>
      <c r="L439" s="12" t="s">
        <v>53</v>
      </c>
      <c r="M439" s="12" t="s">
        <v>53</v>
      </c>
      <c r="N439" s="11"/>
      <c r="O439" s="12"/>
      <c r="P439" s="12" t="s">
        <v>53</v>
      </c>
      <c r="Q439" s="14"/>
      <c r="R439" s="14"/>
      <c r="S439" s="12" t="s">
        <v>53</v>
      </c>
      <c r="T439" s="11"/>
      <c r="U439" s="12" t="str">
        <f t="shared" si="54"/>
        <v>N</v>
      </c>
      <c r="V439" s="12" t="str">
        <f t="shared" si="55"/>
        <v>N</v>
      </c>
      <c r="W439" s="12" t="str">
        <f t="shared" si="56"/>
        <v>N</v>
      </c>
      <c r="X439" s="12" t="str">
        <f t="shared" si="57"/>
        <v>N</v>
      </c>
      <c r="Y439" s="12" t="str">
        <f t="shared" si="58"/>
        <v>N</v>
      </c>
      <c r="Z439" s="12" t="str">
        <f t="shared" si="59"/>
        <v>N</v>
      </c>
      <c r="AA439" s="12">
        <f t="shared" si="60"/>
        <v>1</v>
      </c>
      <c r="AB439" s="12" t="str">
        <f t="shared" si="61"/>
        <v>SINGLE-SIGNAL</v>
      </c>
      <c r="AC439" s="14" t="str">
        <f t="shared" si="62"/>
        <v>Settlement Authorization</v>
      </c>
    </row>
    <row r="440" spans="1:29" x14ac:dyDescent="0.45">
      <c r="A440" s="2" t="s">
        <v>1209</v>
      </c>
      <c r="B440" s="2" t="s">
        <v>1210</v>
      </c>
      <c r="C440" s="2" t="s">
        <v>69</v>
      </c>
      <c r="D440" s="2" t="s">
        <v>353</v>
      </c>
      <c r="E440" s="11">
        <v>45292</v>
      </c>
      <c r="F440" s="12" t="s">
        <v>51</v>
      </c>
      <c r="G440" s="13">
        <v>18500</v>
      </c>
      <c r="H440" s="12" t="s">
        <v>277</v>
      </c>
      <c r="I440" s="11">
        <v>46884</v>
      </c>
      <c r="J440" s="12" t="s">
        <v>53</v>
      </c>
      <c r="K440" s="11"/>
      <c r="L440" s="12" t="s">
        <v>51</v>
      </c>
      <c r="M440" s="12" t="s">
        <v>53</v>
      </c>
      <c r="N440" s="11"/>
      <c r="O440" s="12"/>
      <c r="P440" s="12" t="s">
        <v>53</v>
      </c>
      <c r="Q440" s="14"/>
      <c r="R440" s="14"/>
      <c r="S440" s="12" t="s">
        <v>53</v>
      </c>
      <c r="T440" s="11"/>
      <c r="U440" s="12" t="str">
        <f t="shared" si="54"/>
        <v>N</v>
      </c>
      <c r="V440" s="12" t="str">
        <f t="shared" si="55"/>
        <v>N</v>
      </c>
      <c r="W440" s="12" t="str">
        <f t="shared" si="56"/>
        <v>N</v>
      </c>
      <c r="X440" s="12" t="str">
        <f t="shared" si="57"/>
        <v>N</v>
      </c>
      <c r="Y440" s="12" t="str">
        <f t="shared" si="58"/>
        <v>N</v>
      </c>
      <c r="Z440" s="12" t="str">
        <f t="shared" si="59"/>
        <v>N</v>
      </c>
      <c r="AA440" s="12">
        <f t="shared" si="60"/>
        <v>1</v>
      </c>
      <c r="AB440" s="12" t="str">
        <f t="shared" si="61"/>
        <v>SINGLE-SIGNAL</v>
      </c>
      <c r="AC440" s="14" t="str">
        <f t="shared" si="62"/>
        <v>Settlement Authorization</v>
      </c>
    </row>
    <row r="441" spans="1:29" ht="28.5" x14ac:dyDescent="0.45">
      <c r="A441" s="2" t="s">
        <v>1211</v>
      </c>
      <c r="B441" s="2" t="s">
        <v>1212</v>
      </c>
      <c r="C441" s="2" t="s">
        <v>69</v>
      </c>
      <c r="D441" s="2" t="s">
        <v>649</v>
      </c>
      <c r="E441" s="11">
        <v>45706</v>
      </c>
      <c r="F441" s="12" t="s">
        <v>51</v>
      </c>
      <c r="G441" s="13">
        <v>129500</v>
      </c>
      <c r="H441" s="12" t="s">
        <v>116</v>
      </c>
      <c r="I441" s="11">
        <v>46750</v>
      </c>
      <c r="J441" s="12" t="s">
        <v>51</v>
      </c>
      <c r="K441" s="11">
        <v>47093</v>
      </c>
      <c r="L441" s="12" t="s">
        <v>51</v>
      </c>
      <c r="M441" s="12" t="s">
        <v>53</v>
      </c>
      <c r="N441" s="11"/>
      <c r="O441" s="12"/>
      <c r="P441" s="12" t="s">
        <v>51</v>
      </c>
      <c r="Q441" s="14" t="s">
        <v>61</v>
      </c>
      <c r="R441" s="14" t="s">
        <v>1213</v>
      </c>
      <c r="S441" s="12" t="s">
        <v>53</v>
      </c>
      <c r="T441" s="11"/>
      <c r="U441" s="12" t="str">
        <f t="shared" si="54"/>
        <v>N</v>
      </c>
      <c r="V441" s="12" t="str">
        <f t="shared" si="55"/>
        <v>Y</v>
      </c>
      <c r="W441" s="12" t="str">
        <f t="shared" si="56"/>
        <v>N</v>
      </c>
      <c r="X441" s="12" t="str">
        <f t="shared" si="57"/>
        <v>Y</v>
      </c>
      <c r="Y441" s="12" t="str">
        <f t="shared" si="58"/>
        <v>Y</v>
      </c>
      <c r="Z441" s="12" t="str">
        <f t="shared" si="59"/>
        <v>Y</v>
      </c>
      <c r="AA441" s="12">
        <f t="shared" si="60"/>
        <v>3</v>
      </c>
      <c r="AB441" s="12" t="str">
        <f t="shared" si="61"/>
        <v>ELEVATED MULTI-SIGNAL</v>
      </c>
      <c r="AC441" s="14" t="str">
        <f t="shared" si="62"/>
        <v>Settlement Authorization | Open Stipulation | Automated Claim Alert</v>
      </c>
    </row>
    <row r="442" spans="1:29" x14ac:dyDescent="0.45">
      <c r="A442" s="2" t="s">
        <v>1214</v>
      </c>
      <c r="B442" s="2" t="s">
        <v>1215</v>
      </c>
      <c r="C442" s="2" t="s">
        <v>69</v>
      </c>
      <c r="D442" s="2" t="s">
        <v>204</v>
      </c>
      <c r="E442" s="11">
        <v>45035</v>
      </c>
      <c r="F442" s="12" t="s">
        <v>53</v>
      </c>
      <c r="G442" s="13"/>
      <c r="H442" s="12"/>
      <c r="I442" s="11"/>
      <c r="J442" s="12" t="s">
        <v>53</v>
      </c>
      <c r="K442" s="11"/>
      <c r="L442" s="12"/>
      <c r="M442" s="12" t="s">
        <v>53</v>
      </c>
      <c r="N442" s="11"/>
      <c r="O442" s="12"/>
      <c r="P442" s="12" t="s">
        <v>53</v>
      </c>
      <c r="Q442" s="14"/>
      <c r="R442" s="14"/>
      <c r="S442" s="12" t="s">
        <v>51</v>
      </c>
      <c r="T442" s="11">
        <v>46120</v>
      </c>
      <c r="U442" s="12" t="str">
        <f t="shared" si="54"/>
        <v>N</v>
      </c>
      <c r="V442" s="12" t="str">
        <f t="shared" si="55"/>
        <v>N</v>
      </c>
      <c r="W442" s="12" t="str">
        <f t="shared" si="56"/>
        <v>N</v>
      </c>
      <c r="X442" s="12" t="str">
        <f t="shared" si="57"/>
        <v>N</v>
      </c>
      <c r="Y442" s="12" t="str">
        <f t="shared" si="58"/>
        <v>N</v>
      </c>
      <c r="Z442" s="12" t="str">
        <f t="shared" si="59"/>
        <v>N</v>
      </c>
      <c r="AA442" s="12">
        <f t="shared" si="60"/>
        <v>1</v>
      </c>
      <c r="AB442" s="12" t="str">
        <f t="shared" si="61"/>
        <v>SINGLE-SIGNAL</v>
      </c>
      <c r="AC442" s="14" t="str">
        <f t="shared" si="62"/>
        <v>Inactive Customer</v>
      </c>
    </row>
    <row r="443" spans="1:29" x14ac:dyDescent="0.45">
      <c r="A443" s="2" t="s">
        <v>1216</v>
      </c>
      <c r="B443" s="2" t="s">
        <v>1217</v>
      </c>
      <c r="C443" s="2" t="s">
        <v>69</v>
      </c>
      <c r="D443" s="2" t="s">
        <v>649</v>
      </c>
      <c r="E443" s="11">
        <v>44587</v>
      </c>
      <c r="F443" s="12" t="s">
        <v>53</v>
      </c>
      <c r="G443" s="13"/>
      <c r="H443" s="12"/>
      <c r="I443" s="11"/>
      <c r="J443" s="12" t="s">
        <v>53</v>
      </c>
      <c r="K443" s="11"/>
      <c r="L443" s="12"/>
      <c r="M443" s="12" t="s">
        <v>53</v>
      </c>
      <c r="N443" s="11"/>
      <c r="O443" s="12"/>
      <c r="P443" s="12" t="s">
        <v>53</v>
      </c>
      <c r="Q443" s="14"/>
      <c r="R443" s="14"/>
      <c r="S443" s="12" t="s">
        <v>51</v>
      </c>
      <c r="T443" s="11">
        <v>45794</v>
      </c>
      <c r="U443" s="12" t="str">
        <f t="shared" si="54"/>
        <v>N</v>
      </c>
      <c r="V443" s="12" t="str">
        <f t="shared" si="55"/>
        <v>N</v>
      </c>
      <c r="W443" s="12" t="str">
        <f t="shared" si="56"/>
        <v>N</v>
      </c>
      <c r="X443" s="12" t="str">
        <f t="shared" si="57"/>
        <v>N</v>
      </c>
      <c r="Y443" s="12" t="str">
        <f t="shared" si="58"/>
        <v>N</v>
      </c>
      <c r="Z443" s="12" t="str">
        <f t="shared" si="59"/>
        <v>N</v>
      </c>
      <c r="AA443" s="12">
        <f t="shared" si="60"/>
        <v>1</v>
      </c>
      <c r="AB443" s="12" t="str">
        <f t="shared" si="61"/>
        <v>SINGLE-SIGNAL</v>
      </c>
      <c r="AC443" s="14" t="str">
        <f t="shared" si="62"/>
        <v>Inactive Customer</v>
      </c>
    </row>
    <row r="444" spans="1:29" x14ac:dyDescent="0.45">
      <c r="A444" s="2" t="s">
        <v>1218</v>
      </c>
      <c r="B444" s="2" t="s">
        <v>1219</v>
      </c>
      <c r="C444" s="2" t="s">
        <v>69</v>
      </c>
      <c r="D444" s="2" t="s">
        <v>537</v>
      </c>
      <c r="E444" s="11">
        <v>44223</v>
      </c>
      <c r="F444" s="12" t="s">
        <v>51</v>
      </c>
      <c r="G444" s="13">
        <v>85000</v>
      </c>
      <c r="H444" s="12" t="s">
        <v>66</v>
      </c>
      <c r="I444" s="11">
        <v>45375</v>
      </c>
      <c r="J444" s="12" t="s">
        <v>53</v>
      </c>
      <c r="K444" s="11"/>
      <c r="L444" s="12" t="s">
        <v>51</v>
      </c>
      <c r="M444" s="12" t="s">
        <v>53</v>
      </c>
      <c r="N444" s="11"/>
      <c r="O444" s="12"/>
      <c r="P444" s="12" t="s">
        <v>53</v>
      </c>
      <c r="Q444" s="14"/>
      <c r="R444" s="14"/>
      <c r="S444" s="12" t="s">
        <v>53</v>
      </c>
      <c r="T444" s="11"/>
      <c r="U444" s="12" t="str">
        <f t="shared" si="54"/>
        <v>N</v>
      </c>
      <c r="V444" s="12" t="str">
        <f t="shared" si="55"/>
        <v>N</v>
      </c>
      <c r="W444" s="12" t="str">
        <f t="shared" si="56"/>
        <v>N</v>
      </c>
      <c r="X444" s="12" t="str">
        <f t="shared" si="57"/>
        <v>N</v>
      </c>
      <c r="Y444" s="12" t="str">
        <f t="shared" si="58"/>
        <v>N</v>
      </c>
      <c r="Z444" s="12" t="str">
        <f t="shared" si="59"/>
        <v>N</v>
      </c>
      <c r="AA444" s="12">
        <f t="shared" si="60"/>
        <v>1</v>
      </c>
      <c r="AB444" s="12" t="str">
        <f t="shared" si="61"/>
        <v>SINGLE-SIGNAL</v>
      </c>
      <c r="AC444" s="14" t="str">
        <f t="shared" si="62"/>
        <v>Settlement Authorization</v>
      </c>
    </row>
    <row r="445" spans="1:29" ht="28.5" x14ac:dyDescent="0.45">
      <c r="A445" s="2" t="s">
        <v>1220</v>
      </c>
      <c r="B445" s="2" t="s">
        <v>1221</v>
      </c>
      <c r="C445" s="2" t="s">
        <v>69</v>
      </c>
      <c r="D445" s="2" t="s">
        <v>986</v>
      </c>
      <c r="E445" s="11">
        <v>43940</v>
      </c>
      <c r="F445" s="12" t="s">
        <v>53</v>
      </c>
      <c r="G445" s="13"/>
      <c r="H445" s="12"/>
      <c r="I445" s="11"/>
      <c r="J445" s="12" t="s">
        <v>53</v>
      </c>
      <c r="K445" s="11"/>
      <c r="L445" s="12"/>
      <c r="M445" s="12" t="s">
        <v>53</v>
      </c>
      <c r="N445" s="11"/>
      <c r="O445" s="12"/>
      <c r="P445" s="12" t="s">
        <v>51</v>
      </c>
      <c r="Q445" s="14" t="s">
        <v>1222</v>
      </c>
      <c r="R445" s="14"/>
      <c r="S445" s="12" t="s">
        <v>53</v>
      </c>
      <c r="T445" s="11"/>
      <c r="U445" s="12" t="str">
        <f t="shared" si="54"/>
        <v>Y</v>
      </c>
      <c r="V445" s="12" t="str">
        <f t="shared" si="55"/>
        <v>Y</v>
      </c>
      <c r="W445" s="12" t="str">
        <f t="shared" si="56"/>
        <v>N</v>
      </c>
      <c r="X445" s="12" t="str">
        <f t="shared" si="57"/>
        <v>N</v>
      </c>
      <c r="Y445" s="12" t="str">
        <f t="shared" si="58"/>
        <v>N</v>
      </c>
      <c r="Z445" s="12" t="str">
        <f t="shared" si="59"/>
        <v>Y</v>
      </c>
      <c r="AA445" s="12">
        <f t="shared" si="60"/>
        <v>1</v>
      </c>
      <c r="AB445" s="12" t="str">
        <f t="shared" si="61"/>
        <v>SINGLE-SIGNAL</v>
      </c>
      <c r="AC445" s="14" t="str">
        <f t="shared" si="62"/>
        <v>Automated Claim Alert</v>
      </c>
    </row>
    <row r="446" spans="1:29" ht="42.75" x14ac:dyDescent="0.45">
      <c r="A446" s="2" t="s">
        <v>1223</v>
      </c>
      <c r="B446" s="2" t="s">
        <v>1224</v>
      </c>
      <c r="C446" s="2" t="s">
        <v>69</v>
      </c>
      <c r="D446" s="2" t="s">
        <v>309</v>
      </c>
      <c r="E446" s="11">
        <v>45681</v>
      </c>
      <c r="F446" s="12" t="s">
        <v>51</v>
      </c>
      <c r="G446" s="13">
        <v>124250</v>
      </c>
      <c r="H446" s="12" t="s">
        <v>116</v>
      </c>
      <c r="I446" s="11">
        <v>46921</v>
      </c>
      <c r="J446" s="12" t="s">
        <v>51</v>
      </c>
      <c r="K446" s="11">
        <v>47035</v>
      </c>
      <c r="L446" s="12" t="s">
        <v>53</v>
      </c>
      <c r="M446" s="12" t="s">
        <v>53</v>
      </c>
      <c r="N446" s="11"/>
      <c r="O446" s="12"/>
      <c r="P446" s="12" t="s">
        <v>51</v>
      </c>
      <c r="Q446" s="14" t="s">
        <v>1225</v>
      </c>
      <c r="R446" s="14" t="s">
        <v>416</v>
      </c>
      <c r="S446" s="12" t="s">
        <v>53</v>
      </c>
      <c r="T446" s="11"/>
      <c r="U446" s="12" t="str">
        <f t="shared" si="54"/>
        <v>N</v>
      </c>
      <c r="V446" s="12" t="str">
        <f t="shared" si="55"/>
        <v>Y</v>
      </c>
      <c r="W446" s="12" t="str">
        <f t="shared" si="56"/>
        <v>Y</v>
      </c>
      <c r="X446" s="12" t="str">
        <f t="shared" si="57"/>
        <v>Y</v>
      </c>
      <c r="Y446" s="12" t="str">
        <f t="shared" si="58"/>
        <v>Y</v>
      </c>
      <c r="Z446" s="12" t="str">
        <f t="shared" si="59"/>
        <v>Y</v>
      </c>
      <c r="AA446" s="12">
        <f t="shared" si="60"/>
        <v>3</v>
      </c>
      <c r="AB446" s="12" t="str">
        <f t="shared" si="61"/>
        <v>ELEVATED MULTI-SIGNAL</v>
      </c>
      <c r="AC446" s="14" t="str">
        <f t="shared" si="62"/>
        <v>Settlement Authorization | Open Stipulation | Automated Claim Alert</v>
      </c>
    </row>
    <row r="447" spans="1:29" x14ac:dyDescent="0.45">
      <c r="A447" s="2" t="s">
        <v>1226</v>
      </c>
      <c r="B447" s="2" t="s">
        <v>1227</v>
      </c>
      <c r="C447" s="2" t="s">
        <v>69</v>
      </c>
      <c r="D447" s="2" t="s">
        <v>788</v>
      </c>
      <c r="E447" s="11">
        <v>45327</v>
      </c>
      <c r="F447" s="12" t="s">
        <v>51</v>
      </c>
      <c r="G447" s="13">
        <v>173250</v>
      </c>
      <c r="H447" s="12" t="s">
        <v>109</v>
      </c>
      <c r="I447" s="11">
        <v>46199</v>
      </c>
      <c r="J447" s="12" t="s">
        <v>53</v>
      </c>
      <c r="K447" s="11"/>
      <c r="L447" s="12" t="s">
        <v>51</v>
      </c>
      <c r="M447" s="12" t="s">
        <v>53</v>
      </c>
      <c r="N447" s="11"/>
      <c r="O447" s="12"/>
      <c r="P447" s="12" t="s">
        <v>53</v>
      </c>
      <c r="Q447" s="14"/>
      <c r="R447" s="14"/>
      <c r="S447" s="12" t="s">
        <v>53</v>
      </c>
      <c r="T447" s="11"/>
      <c r="U447" s="12" t="str">
        <f t="shared" si="54"/>
        <v>N</v>
      </c>
      <c r="V447" s="12" t="str">
        <f t="shared" si="55"/>
        <v>N</v>
      </c>
      <c r="W447" s="12" t="str">
        <f t="shared" si="56"/>
        <v>N</v>
      </c>
      <c r="X447" s="12" t="str">
        <f t="shared" si="57"/>
        <v>N</v>
      </c>
      <c r="Y447" s="12" t="str">
        <f t="shared" si="58"/>
        <v>N</v>
      </c>
      <c r="Z447" s="12" t="str">
        <f t="shared" si="59"/>
        <v>N</v>
      </c>
      <c r="AA447" s="12">
        <f t="shared" si="60"/>
        <v>1</v>
      </c>
      <c r="AB447" s="12" t="str">
        <f t="shared" si="61"/>
        <v>SINGLE-SIGNAL</v>
      </c>
      <c r="AC447" s="14" t="str">
        <f t="shared" si="62"/>
        <v>Settlement Authorization</v>
      </c>
    </row>
    <row r="448" spans="1:29" x14ac:dyDescent="0.45">
      <c r="A448" s="2" t="s">
        <v>1228</v>
      </c>
      <c r="B448" s="2" t="s">
        <v>1229</v>
      </c>
      <c r="C448" s="2" t="s">
        <v>69</v>
      </c>
      <c r="D448" s="2" t="s">
        <v>283</v>
      </c>
      <c r="E448" s="11">
        <v>45100</v>
      </c>
      <c r="F448" s="12" t="s">
        <v>53</v>
      </c>
      <c r="G448" s="13"/>
      <c r="H448" s="12"/>
      <c r="I448" s="11"/>
      <c r="J448" s="12" t="s">
        <v>51</v>
      </c>
      <c r="K448" s="11">
        <v>45633</v>
      </c>
      <c r="L448" s="12" t="s">
        <v>51</v>
      </c>
      <c r="M448" s="12" t="s">
        <v>53</v>
      </c>
      <c r="N448" s="11"/>
      <c r="O448" s="12"/>
      <c r="P448" s="12" t="s">
        <v>53</v>
      </c>
      <c r="Q448" s="14"/>
      <c r="R448" s="14"/>
      <c r="S448" s="12" t="s">
        <v>53</v>
      </c>
      <c r="T448" s="11"/>
      <c r="U448" s="12" t="str">
        <f t="shared" si="54"/>
        <v>N</v>
      </c>
      <c r="V448" s="12" t="str">
        <f t="shared" si="55"/>
        <v>N</v>
      </c>
      <c r="W448" s="12" t="str">
        <f t="shared" si="56"/>
        <v>N</v>
      </c>
      <c r="X448" s="12" t="str">
        <f t="shared" si="57"/>
        <v>N</v>
      </c>
      <c r="Y448" s="12" t="str">
        <f t="shared" si="58"/>
        <v>N</v>
      </c>
      <c r="Z448" s="12" t="str">
        <f t="shared" si="59"/>
        <v>N</v>
      </c>
      <c r="AA448" s="12">
        <f t="shared" si="60"/>
        <v>1</v>
      </c>
      <c r="AB448" s="12" t="str">
        <f t="shared" si="61"/>
        <v>SINGLE-SIGNAL</v>
      </c>
      <c r="AC448" s="14" t="str">
        <f t="shared" si="62"/>
        <v>Open Stipulation</v>
      </c>
    </row>
    <row r="449" spans="1:29" x14ac:dyDescent="0.45">
      <c r="A449" s="2" t="s">
        <v>1230</v>
      </c>
      <c r="B449" s="2" t="s">
        <v>1231</v>
      </c>
      <c r="C449" s="2" t="s">
        <v>69</v>
      </c>
      <c r="D449" s="2" t="s">
        <v>65</v>
      </c>
      <c r="E449" s="11">
        <v>44759</v>
      </c>
      <c r="F449" s="12" t="s">
        <v>51</v>
      </c>
      <c r="G449" s="13">
        <v>38000</v>
      </c>
      <c r="H449" s="12" t="s">
        <v>93</v>
      </c>
      <c r="I449" s="11">
        <v>45660</v>
      </c>
      <c r="J449" s="12" t="s">
        <v>51</v>
      </c>
      <c r="K449" s="11">
        <v>45093</v>
      </c>
      <c r="L449" s="12" t="s">
        <v>53</v>
      </c>
      <c r="M449" s="12" t="s">
        <v>53</v>
      </c>
      <c r="N449" s="11"/>
      <c r="O449" s="12"/>
      <c r="P449" s="12" t="s">
        <v>53</v>
      </c>
      <c r="Q449" s="14"/>
      <c r="R449" s="14"/>
      <c r="S449" s="12" t="s">
        <v>53</v>
      </c>
      <c r="T449" s="11"/>
      <c r="U449" s="12" t="str">
        <f t="shared" si="54"/>
        <v>N</v>
      </c>
      <c r="V449" s="12" t="str">
        <f t="shared" si="55"/>
        <v>N</v>
      </c>
      <c r="W449" s="12" t="str">
        <f t="shared" si="56"/>
        <v>N</v>
      </c>
      <c r="X449" s="12" t="str">
        <f t="shared" si="57"/>
        <v>N</v>
      </c>
      <c r="Y449" s="12" t="str">
        <f t="shared" si="58"/>
        <v>N</v>
      </c>
      <c r="Z449" s="12" t="str">
        <f t="shared" si="59"/>
        <v>N</v>
      </c>
      <c r="AA449" s="12">
        <f t="shared" si="60"/>
        <v>2</v>
      </c>
      <c r="AB449" s="12" t="str">
        <f t="shared" si="61"/>
        <v>MULTI-SIGNAL</v>
      </c>
      <c r="AC449" s="14" t="str">
        <f t="shared" si="62"/>
        <v>Settlement Authorization | Open Stipulation</v>
      </c>
    </row>
    <row r="450" spans="1:29" x14ac:dyDescent="0.45">
      <c r="A450" s="2" t="s">
        <v>1232</v>
      </c>
      <c r="B450" s="2" t="s">
        <v>1233</v>
      </c>
      <c r="C450" s="2" t="s">
        <v>69</v>
      </c>
      <c r="D450" s="2" t="s">
        <v>628</v>
      </c>
      <c r="E450" s="11">
        <v>44870</v>
      </c>
      <c r="F450" s="12" t="s">
        <v>53</v>
      </c>
      <c r="G450" s="13"/>
      <c r="H450" s="12"/>
      <c r="I450" s="11"/>
      <c r="J450" s="12" t="s">
        <v>51</v>
      </c>
      <c r="K450" s="11">
        <v>45084</v>
      </c>
      <c r="L450" s="12" t="s">
        <v>53</v>
      </c>
      <c r="M450" s="12" t="s">
        <v>53</v>
      </c>
      <c r="N450" s="11"/>
      <c r="O450" s="12"/>
      <c r="P450" s="12" t="s">
        <v>53</v>
      </c>
      <c r="Q450" s="14"/>
      <c r="R450" s="14"/>
      <c r="S450" s="12" t="s">
        <v>51</v>
      </c>
      <c r="T450" s="11">
        <v>45892</v>
      </c>
      <c r="U450" s="12" t="str">
        <f t="shared" ref="U450:U513" si="63">IF(ISNUMBER(SEARCH("SURGERY",Q450&amp;" "&amp;R450)),"Y","N")</f>
        <v>N</v>
      </c>
      <c r="V450" s="12" t="str">
        <f t="shared" ref="V450:V513" si="64">IF(ISNUMBER(SEARCH("MMI",Q450&amp;" "&amp;R450)),"Y","N")</f>
        <v>N</v>
      </c>
      <c r="W450" s="12" t="str">
        <f t="shared" ref="W450:W513" si="65">IF(ISNUMBER(SEARCH("DENIED TREATMENT",Q450&amp;" "&amp;R450)),"Y","N")</f>
        <v>N</v>
      </c>
      <c r="X450" s="12" t="str">
        <f t="shared" ref="X450:X513" si="66">IF(ISNUMBER(SEARCH("SPECIALIST CONSULTATION",Q450&amp;" "&amp;R450)),"Y","N")</f>
        <v>N</v>
      </c>
      <c r="Y450" s="12" t="str">
        <f t="shared" ref="Y450:Y513" si="67">IF(ISNUMBER(SEARCH("NON-RENEWED ACCOUNT",Q450&amp;" "&amp;R450)),"Y","N")</f>
        <v>N</v>
      </c>
      <c r="Z450" s="12" t="str">
        <f t="shared" ref="Z450:Z513" si="68">IF(ISNUMBER(SEARCH("MSA ELIGIBLE",Q450&amp;" "&amp;R450)),"Y","N")</f>
        <v>N</v>
      </c>
      <c r="AA450" s="12">
        <f t="shared" ref="AA450:AA513" si="69">COUNTIF(F450,"Y")+COUNTIF(J450,"Y")+COUNTIF(M450,"Y")+COUNTIF(P450,"Y")+COUNTIF(S450,"Y")</f>
        <v>2</v>
      </c>
      <c r="AB450" s="12" t="str">
        <f t="shared" ref="AB450:AB513" si="70">IF(AA450=5,"MAXIMUM MULTI-SIGNAL",IF(AA450=4,"HIGH MULTI-SIGNAL",IF(AA450=3,"ELEVATED MULTI-SIGNAL",IF(AA450=2,"MULTI-SIGNAL","SINGLE-SIGNAL"))))</f>
        <v>MULTI-SIGNAL</v>
      </c>
      <c r="AC450" s="14" t="str">
        <f t="shared" ref="AC450:AC513" si="71">IF(F450="Y","Settlement Authorization","")&amp;IF(J450="Y",IF(F450="Y"," | ","")&amp;"Open Stipulation","")&amp;IF(M450="Y",IF(OR(F450="Y",J450="Y")," | ","")&amp;"Pending QME","")&amp;IF(P450="Y",IF(OR(F450="Y",J450="Y",M450="Y")," | ","")&amp;"Automated Claim Alert","")&amp;IF(S450="Y",IF(OR(F450="Y",J450="Y",M450="Y",P450="Y")," | ","")&amp;"Inactive Customer","")</f>
        <v>Open Stipulation | Inactive Customer</v>
      </c>
    </row>
    <row r="451" spans="1:29" x14ac:dyDescent="0.45">
      <c r="A451" s="2" t="s">
        <v>1234</v>
      </c>
      <c r="B451" s="2" t="s">
        <v>1235</v>
      </c>
      <c r="C451" s="2" t="s">
        <v>69</v>
      </c>
      <c r="D451" s="2" t="s">
        <v>513</v>
      </c>
      <c r="E451" s="11">
        <v>44287</v>
      </c>
      <c r="F451" s="12" t="s">
        <v>53</v>
      </c>
      <c r="G451" s="13"/>
      <c r="H451" s="12"/>
      <c r="I451" s="11"/>
      <c r="J451" s="12" t="s">
        <v>53</v>
      </c>
      <c r="K451" s="11"/>
      <c r="L451" s="12"/>
      <c r="M451" s="12" t="s">
        <v>51</v>
      </c>
      <c r="N451" s="11">
        <v>45678</v>
      </c>
      <c r="O451" s="12" t="s">
        <v>1236</v>
      </c>
      <c r="P451" s="12" t="s">
        <v>53</v>
      </c>
      <c r="Q451" s="14"/>
      <c r="R451" s="14"/>
      <c r="S451" s="12" t="s">
        <v>53</v>
      </c>
      <c r="T451" s="11"/>
      <c r="U451" s="12" t="str">
        <f t="shared" si="63"/>
        <v>N</v>
      </c>
      <c r="V451" s="12" t="str">
        <f t="shared" si="64"/>
        <v>N</v>
      </c>
      <c r="W451" s="12" t="str">
        <f t="shared" si="65"/>
        <v>N</v>
      </c>
      <c r="X451" s="12" t="str">
        <f t="shared" si="66"/>
        <v>N</v>
      </c>
      <c r="Y451" s="12" t="str">
        <f t="shared" si="67"/>
        <v>N</v>
      </c>
      <c r="Z451" s="12" t="str">
        <f t="shared" si="68"/>
        <v>N</v>
      </c>
      <c r="AA451" s="12">
        <f t="shared" si="69"/>
        <v>1</v>
      </c>
      <c r="AB451" s="12" t="str">
        <f t="shared" si="70"/>
        <v>SINGLE-SIGNAL</v>
      </c>
      <c r="AC451" s="14" t="str">
        <f t="shared" si="71"/>
        <v>Pending QME</v>
      </c>
    </row>
    <row r="452" spans="1:29" x14ac:dyDescent="0.45">
      <c r="A452" s="2" t="s">
        <v>1237</v>
      </c>
      <c r="B452" s="2" t="s">
        <v>1238</v>
      </c>
      <c r="C452" s="2" t="s">
        <v>69</v>
      </c>
      <c r="D452" s="2" t="s">
        <v>568</v>
      </c>
      <c r="E452" s="11">
        <v>45189</v>
      </c>
      <c r="F452" s="12" t="s">
        <v>53</v>
      </c>
      <c r="G452" s="13"/>
      <c r="H452" s="12"/>
      <c r="I452" s="11"/>
      <c r="J452" s="12" t="s">
        <v>51</v>
      </c>
      <c r="K452" s="11">
        <v>45483</v>
      </c>
      <c r="L452" s="12" t="s">
        <v>53</v>
      </c>
      <c r="M452" s="12" t="s">
        <v>53</v>
      </c>
      <c r="N452" s="11"/>
      <c r="O452" s="12"/>
      <c r="P452" s="12" t="s">
        <v>53</v>
      </c>
      <c r="Q452" s="14"/>
      <c r="R452" s="14"/>
      <c r="S452" s="12" t="s">
        <v>53</v>
      </c>
      <c r="T452" s="11"/>
      <c r="U452" s="12" t="str">
        <f t="shared" si="63"/>
        <v>N</v>
      </c>
      <c r="V452" s="12" t="str">
        <f t="shared" si="64"/>
        <v>N</v>
      </c>
      <c r="W452" s="12" t="str">
        <f t="shared" si="65"/>
        <v>N</v>
      </c>
      <c r="X452" s="12" t="str">
        <f t="shared" si="66"/>
        <v>N</v>
      </c>
      <c r="Y452" s="12" t="str">
        <f t="shared" si="67"/>
        <v>N</v>
      </c>
      <c r="Z452" s="12" t="str">
        <f t="shared" si="68"/>
        <v>N</v>
      </c>
      <c r="AA452" s="12">
        <f t="shared" si="69"/>
        <v>1</v>
      </c>
      <c r="AB452" s="12" t="str">
        <f t="shared" si="70"/>
        <v>SINGLE-SIGNAL</v>
      </c>
      <c r="AC452" s="14" t="str">
        <f t="shared" si="71"/>
        <v>Open Stipulation</v>
      </c>
    </row>
    <row r="453" spans="1:29" x14ac:dyDescent="0.45">
      <c r="A453" s="2" t="s">
        <v>1239</v>
      </c>
      <c r="B453" s="2" t="s">
        <v>1240</v>
      </c>
      <c r="C453" s="2" t="s">
        <v>69</v>
      </c>
      <c r="D453" s="2" t="s">
        <v>1069</v>
      </c>
      <c r="E453" s="11">
        <v>45824</v>
      </c>
      <c r="F453" s="12" t="s">
        <v>53</v>
      </c>
      <c r="G453" s="13"/>
      <c r="H453" s="12"/>
      <c r="I453" s="11"/>
      <c r="J453" s="12" t="s">
        <v>53</v>
      </c>
      <c r="K453" s="11"/>
      <c r="L453" s="12"/>
      <c r="M453" s="12" t="s">
        <v>53</v>
      </c>
      <c r="N453" s="11"/>
      <c r="O453" s="12"/>
      <c r="P453" s="12" t="s">
        <v>53</v>
      </c>
      <c r="Q453" s="14"/>
      <c r="R453" s="14"/>
      <c r="S453" s="12" t="s">
        <v>51</v>
      </c>
      <c r="T453" s="11">
        <v>47737</v>
      </c>
      <c r="U453" s="12" t="str">
        <f t="shared" si="63"/>
        <v>N</v>
      </c>
      <c r="V453" s="12" t="str">
        <f t="shared" si="64"/>
        <v>N</v>
      </c>
      <c r="W453" s="12" t="str">
        <f t="shared" si="65"/>
        <v>N</v>
      </c>
      <c r="X453" s="12" t="str">
        <f t="shared" si="66"/>
        <v>N</v>
      </c>
      <c r="Y453" s="12" t="str">
        <f t="shared" si="67"/>
        <v>N</v>
      </c>
      <c r="Z453" s="12" t="str">
        <f t="shared" si="68"/>
        <v>N</v>
      </c>
      <c r="AA453" s="12">
        <f t="shared" si="69"/>
        <v>1</v>
      </c>
      <c r="AB453" s="12" t="str">
        <f t="shared" si="70"/>
        <v>SINGLE-SIGNAL</v>
      </c>
      <c r="AC453" s="14" t="str">
        <f t="shared" si="71"/>
        <v>Inactive Customer</v>
      </c>
    </row>
    <row r="454" spans="1:29" x14ac:dyDescent="0.45">
      <c r="A454" s="2" t="s">
        <v>1241</v>
      </c>
      <c r="B454" s="2" t="s">
        <v>1242</v>
      </c>
      <c r="C454" s="2" t="s">
        <v>69</v>
      </c>
      <c r="D454" s="2" t="s">
        <v>884</v>
      </c>
      <c r="E454" s="11">
        <v>45814</v>
      </c>
      <c r="F454" s="12" t="s">
        <v>53</v>
      </c>
      <c r="G454" s="13"/>
      <c r="H454" s="12"/>
      <c r="I454" s="11"/>
      <c r="J454" s="12" t="s">
        <v>51</v>
      </c>
      <c r="K454" s="11">
        <v>46112</v>
      </c>
      <c r="L454" s="12" t="s">
        <v>51</v>
      </c>
      <c r="M454" s="12" t="s">
        <v>53</v>
      </c>
      <c r="N454" s="11"/>
      <c r="O454" s="12"/>
      <c r="P454" s="12" t="s">
        <v>53</v>
      </c>
      <c r="Q454" s="14"/>
      <c r="R454" s="14"/>
      <c r="S454" s="12" t="s">
        <v>51</v>
      </c>
      <c r="T454" s="11">
        <v>46828</v>
      </c>
      <c r="U454" s="12" t="str">
        <f t="shared" si="63"/>
        <v>N</v>
      </c>
      <c r="V454" s="12" t="str">
        <f t="shared" si="64"/>
        <v>N</v>
      </c>
      <c r="W454" s="12" t="str">
        <f t="shared" si="65"/>
        <v>N</v>
      </c>
      <c r="X454" s="12" t="str">
        <f t="shared" si="66"/>
        <v>N</v>
      </c>
      <c r="Y454" s="12" t="str">
        <f t="shared" si="67"/>
        <v>N</v>
      </c>
      <c r="Z454" s="12" t="str">
        <f t="shared" si="68"/>
        <v>N</v>
      </c>
      <c r="AA454" s="12">
        <f t="shared" si="69"/>
        <v>2</v>
      </c>
      <c r="AB454" s="12" t="str">
        <f t="shared" si="70"/>
        <v>MULTI-SIGNAL</v>
      </c>
      <c r="AC454" s="14" t="str">
        <f t="shared" si="71"/>
        <v>Open Stipulation | Inactive Customer</v>
      </c>
    </row>
    <row r="455" spans="1:29" x14ac:dyDescent="0.45">
      <c r="A455" s="2" t="s">
        <v>1243</v>
      </c>
      <c r="B455" s="2" t="s">
        <v>1244</v>
      </c>
      <c r="C455" s="2" t="s">
        <v>69</v>
      </c>
      <c r="D455" s="2" t="s">
        <v>448</v>
      </c>
      <c r="E455" s="11">
        <v>44619</v>
      </c>
      <c r="F455" s="12" t="s">
        <v>51</v>
      </c>
      <c r="G455" s="13">
        <v>59750</v>
      </c>
      <c r="H455" s="12" t="s">
        <v>71</v>
      </c>
      <c r="I455" s="11">
        <v>45024</v>
      </c>
      <c r="J455" s="12" t="s">
        <v>53</v>
      </c>
      <c r="K455" s="11"/>
      <c r="L455" s="12" t="s">
        <v>53</v>
      </c>
      <c r="M455" s="12" t="s">
        <v>53</v>
      </c>
      <c r="N455" s="11"/>
      <c r="O455" s="12"/>
      <c r="P455" s="12" t="s">
        <v>53</v>
      </c>
      <c r="Q455" s="14"/>
      <c r="R455" s="14"/>
      <c r="S455" s="12" t="s">
        <v>53</v>
      </c>
      <c r="T455" s="11"/>
      <c r="U455" s="12" t="str">
        <f t="shared" si="63"/>
        <v>N</v>
      </c>
      <c r="V455" s="12" t="str">
        <f t="shared" si="64"/>
        <v>N</v>
      </c>
      <c r="W455" s="12" t="str">
        <f t="shared" si="65"/>
        <v>N</v>
      </c>
      <c r="X455" s="12" t="str">
        <f t="shared" si="66"/>
        <v>N</v>
      </c>
      <c r="Y455" s="12" t="str">
        <f t="shared" si="67"/>
        <v>N</v>
      </c>
      <c r="Z455" s="12" t="str">
        <f t="shared" si="68"/>
        <v>N</v>
      </c>
      <c r="AA455" s="12">
        <f t="shared" si="69"/>
        <v>1</v>
      </c>
      <c r="AB455" s="12" t="str">
        <f t="shared" si="70"/>
        <v>SINGLE-SIGNAL</v>
      </c>
      <c r="AC455" s="14" t="str">
        <f t="shared" si="71"/>
        <v>Settlement Authorization</v>
      </c>
    </row>
    <row r="456" spans="1:29" x14ac:dyDescent="0.45">
      <c r="A456" s="2" t="s">
        <v>1245</v>
      </c>
      <c r="B456" s="2" t="s">
        <v>1246</v>
      </c>
      <c r="C456" s="2" t="s">
        <v>313</v>
      </c>
      <c r="D456" s="2" t="s">
        <v>938</v>
      </c>
      <c r="E456" s="11">
        <v>44671</v>
      </c>
      <c r="F456" s="12" t="s">
        <v>51</v>
      </c>
      <c r="G456" s="13">
        <v>122000</v>
      </c>
      <c r="H456" s="12" t="s">
        <v>242</v>
      </c>
      <c r="I456" s="11">
        <v>45604</v>
      </c>
      <c r="J456" s="12" t="s">
        <v>53</v>
      </c>
      <c r="K456" s="11"/>
      <c r="L456" s="12" t="s">
        <v>53</v>
      </c>
      <c r="M456" s="12" t="s">
        <v>53</v>
      </c>
      <c r="N456" s="11"/>
      <c r="O456" s="12"/>
      <c r="P456" s="12" t="s">
        <v>53</v>
      </c>
      <c r="Q456" s="14"/>
      <c r="R456" s="14"/>
      <c r="S456" s="12" t="s">
        <v>53</v>
      </c>
      <c r="T456" s="11"/>
      <c r="U456" s="12" t="str">
        <f t="shared" si="63"/>
        <v>N</v>
      </c>
      <c r="V456" s="12" t="str">
        <f t="shared" si="64"/>
        <v>N</v>
      </c>
      <c r="W456" s="12" t="str">
        <f t="shared" si="65"/>
        <v>N</v>
      </c>
      <c r="X456" s="12" t="str">
        <f t="shared" si="66"/>
        <v>N</v>
      </c>
      <c r="Y456" s="12" t="str">
        <f t="shared" si="67"/>
        <v>N</v>
      </c>
      <c r="Z456" s="12" t="str">
        <f t="shared" si="68"/>
        <v>N</v>
      </c>
      <c r="AA456" s="12">
        <f t="shared" si="69"/>
        <v>1</v>
      </c>
      <c r="AB456" s="12" t="str">
        <f t="shared" si="70"/>
        <v>SINGLE-SIGNAL</v>
      </c>
      <c r="AC456" s="14" t="str">
        <f t="shared" si="71"/>
        <v>Settlement Authorization</v>
      </c>
    </row>
    <row r="457" spans="1:29" ht="28.5" x14ac:dyDescent="0.45">
      <c r="A457" s="2" t="s">
        <v>1247</v>
      </c>
      <c r="B457" s="2" t="s">
        <v>1248</v>
      </c>
      <c r="C457" s="2" t="s">
        <v>313</v>
      </c>
      <c r="D457" s="2" t="s">
        <v>907</v>
      </c>
      <c r="E457" s="11">
        <v>43499</v>
      </c>
      <c r="F457" s="12" t="s">
        <v>51</v>
      </c>
      <c r="G457" s="13">
        <v>85000</v>
      </c>
      <c r="H457" s="12" t="s">
        <v>59</v>
      </c>
      <c r="I457" s="11">
        <v>44559</v>
      </c>
      <c r="J457" s="12" t="s">
        <v>53</v>
      </c>
      <c r="K457" s="11"/>
      <c r="L457" s="12" t="s">
        <v>51</v>
      </c>
      <c r="M457" s="12" t="s">
        <v>53</v>
      </c>
      <c r="N457" s="11"/>
      <c r="O457" s="12"/>
      <c r="P457" s="12" t="s">
        <v>51</v>
      </c>
      <c r="Q457" s="14" t="s">
        <v>505</v>
      </c>
      <c r="R457" s="14" t="s">
        <v>1249</v>
      </c>
      <c r="S457" s="12" t="s">
        <v>51</v>
      </c>
      <c r="T457" s="11">
        <v>43937</v>
      </c>
      <c r="U457" s="12" t="str">
        <f t="shared" si="63"/>
        <v>Y</v>
      </c>
      <c r="V457" s="12" t="str">
        <f t="shared" si="64"/>
        <v>Y</v>
      </c>
      <c r="W457" s="12" t="str">
        <f t="shared" si="65"/>
        <v>N</v>
      </c>
      <c r="X457" s="12" t="str">
        <f t="shared" si="66"/>
        <v>N</v>
      </c>
      <c r="Y457" s="12" t="str">
        <f t="shared" si="67"/>
        <v>Y</v>
      </c>
      <c r="Z457" s="12" t="str">
        <f t="shared" si="68"/>
        <v>Y</v>
      </c>
      <c r="AA457" s="12">
        <f t="shared" si="69"/>
        <v>3</v>
      </c>
      <c r="AB457" s="12" t="str">
        <f t="shared" si="70"/>
        <v>ELEVATED MULTI-SIGNAL</v>
      </c>
      <c r="AC457" s="14" t="str">
        <f t="shared" si="71"/>
        <v>Settlement Authorization | Automated Claim Alert | Inactive Customer</v>
      </c>
    </row>
    <row r="458" spans="1:29" x14ac:dyDescent="0.45">
      <c r="A458" s="2" t="s">
        <v>1250</v>
      </c>
      <c r="B458" s="2" t="s">
        <v>1251</v>
      </c>
      <c r="C458" s="2" t="s">
        <v>313</v>
      </c>
      <c r="D458" s="2" t="s">
        <v>92</v>
      </c>
      <c r="E458" s="11">
        <v>44821</v>
      </c>
      <c r="F458" s="12" t="s">
        <v>53</v>
      </c>
      <c r="G458" s="13"/>
      <c r="H458" s="12"/>
      <c r="I458" s="11"/>
      <c r="J458" s="12" t="s">
        <v>53</v>
      </c>
      <c r="K458" s="11"/>
      <c r="L458" s="12"/>
      <c r="M458" s="12" t="s">
        <v>51</v>
      </c>
      <c r="N458" s="11">
        <v>45320</v>
      </c>
      <c r="O458" s="12" t="s">
        <v>1252</v>
      </c>
      <c r="P458" s="12" t="s">
        <v>53</v>
      </c>
      <c r="Q458" s="14"/>
      <c r="R458" s="14"/>
      <c r="S458" s="12" t="s">
        <v>53</v>
      </c>
      <c r="T458" s="11"/>
      <c r="U458" s="12" t="str">
        <f t="shared" si="63"/>
        <v>N</v>
      </c>
      <c r="V458" s="12" t="str">
        <f t="shared" si="64"/>
        <v>N</v>
      </c>
      <c r="W458" s="12" t="str">
        <f t="shared" si="65"/>
        <v>N</v>
      </c>
      <c r="X458" s="12" t="str">
        <f t="shared" si="66"/>
        <v>N</v>
      </c>
      <c r="Y458" s="12" t="str">
        <f t="shared" si="67"/>
        <v>N</v>
      </c>
      <c r="Z458" s="12" t="str">
        <f t="shared" si="68"/>
        <v>N</v>
      </c>
      <c r="AA458" s="12">
        <f t="shared" si="69"/>
        <v>1</v>
      </c>
      <c r="AB458" s="12" t="str">
        <f t="shared" si="70"/>
        <v>SINGLE-SIGNAL</v>
      </c>
      <c r="AC458" s="14" t="str">
        <f t="shared" si="71"/>
        <v>Pending QME</v>
      </c>
    </row>
    <row r="459" spans="1:29" x14ac:dyDescent="0.45">
      <c r="A459" s="2" t="s">
        <v>1253</v>
      </c>
      <c r="B459" s="2" t="s">
        <v>1254</v>
      </c>
      <c r="C459" s="2" t="s">
        <v>313</v>
      </c>
      <c r="D459" s="2" t="s">
        <v>70</v>
      </c>
      <c r="E459" s="11">
        <v>45804</v>
      </c>
      <c r="F459" s="12" t="s">
        <v>53</v>
      </c>
      <c r="G459" s="13"/>
      <c r="H459" s="12"/>
      <c r="I459" s="11"/>
      <c r="J459" s="12" t="s">
        <v>53</v>
      </c>
      <c r="K459" s="11"/>
      <c r="L459" s="12"/>
      <c r="M459" s="12" t="s">
        <v>51</v>
      </c>
      <c r="N459" s="11">
        <v>47483</v>
      </c>
      <c r="O459" s="12" t="s">
        <v>411</v>
      </c>
      <c r="P459" s="12" t="s">
        <v>53</v>
      </c>
      <c r="Q459" s="14"/>
      <c r="R459" s="14"/>
      <c r="S459" s="12" t="s">
        <v>53</v>
      </c>
      <c r="T459" s="11"/>
      <c r="U459" s="12" t="str">
        <f t="shared" si="63"/>
        <v>N</v>
      </c>
      <c r="V459" s="12" t="str">
        <f t="shared" si="64"/>
        <v>N</v>
      </c>
      <c r="W459" s="12" t="str">
        <f t="shared" si="65"/>
        <v>N</v>
      </c>
      <c r="X459" s="12" t="str">
        <f t="shared" si="66"/>
        <v>N</v>
      </c>
      <c r="Y459" s="12" t="str">
        <f t="shared" si="67"/>
        <v>N</v>
      </c>
      <c r="Z459" s="12" t="str">
        <f t="shared" si="68"/>
        <v>N</v>
      </c>
      <c r="AA459" s="12">
        <f t="shared" si="69"/>
        <v>1</v>
      </c>
      <c r="AB459" s="12" t="str">
        <f t="shared" si="70"/>
        <v>SINGLE-SIGNAL</v>
      </c>
      <c r="AC459" s="14" t="str">
        <f t="shared" si="71"/>
        <v>Pending QME</v>
      </c>
    </row>
    <row r="460" spans="1:29" ht="42.75" x14ac:dyDescent="0.45">
      <c r="A460" s="2" t="s">
        <v>1255</v>
      </c>
      <c r="B460" s="2" t="s">
        <v>1256</v>
      </c>
      <c r="C460" s="2" t="s">
        <v>313</v>
      </c>
      <c r="D460" s="2" t="s">
        <v>687</v>
      </c>
      <c r="E460" s="11">
        <v>45436</v>
      </c>
      <c r="F460" s="12" t="s">
        <v>53</v>
      </c>
      <c r="G460" s="13"/>
      <c r="H460" s="12"/>
      <c r="I460" s="11"/>
      <c r="J460" s="12" t="s">
        <v>53</v>
      </c>
      <c r="K460" s="11"/>
      <c r="L460" s="12"/>
      <c r="M460" s="12" t="s">
        <v>53</v>
      </c>
      <c r="N460" s="11"/>
      <c r="O460" s="12"/>
      <c r="P460" s="12" t="s">
        <v>51</v>
      </c>
      <c r="Q460" s="14" t="s">
        <v>534</v>
      </c>
      <c r="R460" s="14" t="s">
        <v>222</v>
      </c>
      <c r="S460" s="12" t="s">
        <v>53</v>
      </c>
      <c r="T460" s="11"/>
      <c r="U460" s="12" t="str">
        <f t="shared" si="63"/>
        <v>N</v>
      </c>
      <c r="V460" s="12" t="str">
        <f t="shared" si="64"/>
        <v>Y</v>
      </c>
      <c r="W460" s="12" t="str">
        <f t="shared" si="65"/>
        <v>Y</v>
      </c>
      <c r="X460" s="12" t="str">
        <f t="shared" si="66"/>
        <v>Y</v>
      </c>
      <c r="Y460" s="12" t="str">
        <f t="shared" si="67"/>
        <v>Y</v>
      </c>
      <c r="Z460" s="12" t="str">
        <f t="shared" si="68"/>
        <v>N</v>
      </c>
      <c r="AA460" s="12">
        <f t="shared" si="69"/>
        <v>1</v>
      </c>
      <c r="AB460" s="12" t="str">
        <f t="shared" si="70"/>
        <v>SINGLE-SIGNAL</v>
      </c>
      <c r="AC460" s="14" t="str">
        <f t="shared" si="71"/>
        <v>Automated Claim Alert</v>
      </c>
    </row>
    <row r="461" spans="1:29" x14ac:dyDescent="0.45">
      <c r="A461" s="2" t="s">
        <v>1257</v>
      </c>
      <c r="B461" s="2" t="s">
        <v>1258</v>
      </c>
      <c r="C461" s="2" t="s">
        <v>313</v>
      </c>
      <c r="D461" s="2" t="s">
        <v>580</v>
      </c>
      <c r="E461" s="11">
        <v>45157</v>
      </c>
      <c r="F461" s="12" t="s">
        <v>53</v>
      </c>
      <c r="G461" s="13"/>
      <c r="H461" s="12"/>
      <c r="I461" s="11"/>
      <c r="J461" s="12" t="s">
        <v>51</v>
      </c>
      <c r="K461" s="11">
        <v>45727</v>
      </c>
      <c r="L461" s="12" t="s">
        <v>51</v>
      </c>
      <c r="M461" s="12" t="s">
        <v>53</v>
      </c>
      <c r="N461" s="11"/>
      <c r="O461" s="12"/>
      <c r="P461" s="12" t="s">
        <v>53</v>
      </c>
      <c r="Q461" s="14"/>
      <c r="R461" s="14"/>
      <c r="S461" s="12" t="s">
        <v>53</v>
      </c>
      <c r="T461" s="11"/>
      <c r="U461" s="12" t="str">
        <f t="shared" si="63"/>
        <v>N</v>
      </c>
      <c r="V461" s="12" t="str">
        <f t="shared" si="64"/>
        <v>N</v>
      </c>
      <c r="W461" s="12" t="str">
        <f t="shared" si="65"/>
        <v>N</v>
      </c>
      <c r="X461" s="12" t="str">
        <f t="shared" si="66"/>
        <v>N</v>
      </c>
      <c r="Y461" s="12" t="str">
        <f t="shared" si="67"/>
        <v>N</v>
      </c>
      <c r="Z461" s="12" t="str">
        <f t="shared" si="68"/>
        <v>N</v>
      </c>
      <c r="AA461" s="12">
        <f t="shared" si="69"/>
        <v>1</v>
      </c>
      <c r="AB461" s="12" t="str">
        <f t="shared" si="70"/>
        <v>SINGLE-SIGNAL</v>
      </c>
      <c r="AC461" s="14" t="str">
        <f t="shared" si="71"/>
        <v>Open Stipulation</v>
      </c>
    </row>
    <row r="462" spans="1:29" x14ac:dyDescent="0.45">
      <c r="A462" s="2" t="s">
        <v>1259</v>
      </c>
      <c r="B462" s="2" t="s">
        <v>1260</v>
      </c>
      <c r="C462" s="2" t="s">
        <v>313</v>
      </c>
      <c r="D462" s="2" t="s">
        <v>189</v>
      </c>
      <c r="E462" s="11">
        <v>45785</v>
      </c>
      <c r="F462" s="12" t="s">
        <v>53</v>
      </c>
      <c r="G462" s="13"/>
      <c r="H462" s="12"/>
      <c r="I462" s="11"/>
      <c r="J462" s="12" t="s">
        <v>53</v>
      </c>
      <c r="K462" s="11"/>
      <c r="L462" s="12"/>
      <c r="M462" s="12" t="s">
        <v>53</v>
      </c>
      <c r="N462" s="11"/>
      <c r="O462" s="12"/>
      <c r="P462" s="12" t="s">
        <v>53</v>
      </c>
      <c r="Q462" s="14"/>
      <c r="R462" s="14"/>
      <c r="S462" s="12" t="s">
        <v>51</v>
      </c>
      <c r="T462" s="11">
        <v>47134</v>
      </c>
      <c r="U462" s="12" t="str">
        <f t="shared" si="63"/>
        <v>N</v>
      </c>
      <c r="V462" s="12" t="str">
        <f t="shared" si="64"/>
        <v>N</v>
      </c>
      <c r="W462" s="12" t="str">
        <f t="shared" si="65"/>
        <v>N</v>
      </c>
      <c r="X462" s="12" t="str">
        <f t="shared" si="66"/>
        <v>N</v>
      </c>
      <c r="Y462" s="12" t="str">
        <f t="shared" si="67"/>
        <v>N</v>
      </c>
      <c r="Z462" s="12" t="str">
        <f t="shared" si="68"/>
        <v>N</v>
      </c>
      <c r="AA462" s="12">
        <f t="shared" si="69"/>
        <v>1</v>
      </c>
      <c r="AB462" s="12" t="str">
        <f t="shared" si="70"/>
        <v>SINGLE-SIGNAL</v>
      </c>
      <c r="AC462" s="14" t="str">
        <f t="shared" si="71"/>
        <v>Inactive Customer</v>
      </c>
    </row>
    <row r="463" spans="1:29" ht="28.5" x14ac:dyDescent="0.45">
      <c r="A463" s="2" t="s">
        <v>1261</v>
      </c>
      <c r="B463" s="2" t="s">
        <v>1262</v>
      </c>
      <c r="C463" s="2" t="s">
        <v>313</v>
      </c>
      <c r="D463" s="2" t="s">
        <v>1182</v>
      </c>
      <c r="E463" s="11">
        <v>44100</v>
      </c>
      <c r="F463" s="12" t="s">
        <v>51</v>
      </c>
      <c r="G463" s="13">
        <v>173000</v>
      </c>
      <c r="H463" s="12" t="s">
        <v>85</v>
      </c>
      <c r="I463" s="11">
        <v>44423</v>
      </c>
      <c r="J463" s="12" t="s">
        <v>53</v>
      </c>
      <c r="K463" s="11"/>
      <c r="L463" s="12" t="s">
        <v>51</v>
      </c>
      <c r="M463" s="12" t="s">
        <v>53</v>
      </c>
      <c r="N463" s="11"/>
      <c r="O463" s="12"/>
      <c r="P463" s="12" t="s">
        <v>51</v>
      </c>
      <c r="Q463" s="14" t="s">
        <v>1263</v>
      </c>
      <c r="R463" s="14" t="s">
        <v>462</v>
      </c>
      <c r="S463" s="12" t="s">
        <v>53</v>
      </c>
      <c r="T463" s="11"/>
      <c r="U463" s="12" t="str">
        <f t="shared" si="63"/>
        <v>Y</v>
      </c>
      <c r="V463" s="12" t="str">
        <f t="shared" si="64"/>
        <v>Y</v>
      </c>
      <c r="W463" s="12" t="str">
        <f t="shared" si="65"/>
        <v>Y</v>
      </c>
      <c r="X463" s="12" t="str">
        <f t="shared" si="66"/>
        <v>N</v>
      </c>
      <c r="Y463" s="12" t="str">
        <f t="shared" si="67"/>
        <v>N</v>
      </c>
      <c r="Z463" s="12" t="str">
        <f t="shared" si="68"/>
        <v>Y</v>
      </c>
      <c r="AA463" s="12">
        <f t="shared" si="69"/>
        <v>2</v>
      </c>
      <c r="AB463" s="12" t="str">
        <f t="shared" si="70"/>
        <v>MULTI-SIGNAL</v>
      </c>
      <c r="AC463" s="14" t="str">
        <f t="shared" si="71"/>
        <v>Settlement Authorization | Automated Claim Alert</v>
      </c>
    </row>
    <row r="464" spans="1:29" x14ac:dyDescent="0.45">
      <c r="A464" s="2" t="s">
        <v>1264</v>
      </c>
      <c r="B464" s="2" t="s">
        <v>1265</v>
      </c>
      <c r="C464" s="2" t="s">
        <v>313</v>
      </c>
      <c r="D464" s="2" t="s">
        <v>1028</v>
      </c>
      <c r="E464" s="11">
        <v>45880</v>
      </c>
      <c r="F464" s="12" t="s">
        <v>51</v>
      </c>
      <c r="G464" s="13">
        <v>57750</v>
      </c>
      <c r="H464" s="12" t="s">
        <v>52</v>
      </c>
      <c r="I464" s="11">
        <v>47064</v>
      </c>
      <c r="J464" s="12" t="s">
        <v>53</v>
      </c>
      <c r="K464" s="11"/>
      <c r="L464" s="12" t="s">
        <v>53</v>
      </c>
      <c r="M464" s="12" t="s">
        <v>53</v>
      </c>
      <c r="N464" s="11"/>
      <c r="O464" s="12"/>
      <c r="P464" s="12" t="s">
        <v>53</v>
      </c>
      <c r="Q464" s="14"/>
      <c r="R464" s="14"/>
      <c r="S464" s="12" t="s">
        <v>53</v>
      </c>
      <c r="T464" s="11"/>
      <c r="U464" s="12" t="str">
        <f t="shared" si="63"/>
        <v>N</v>
      </c>
      <c r="V464" s="12" t="str">
        <f t="shared" si="64"/>
        <v>N</v>
      </c>
      <c r="W464" s="12" t="str">
        <f t="shared" si="65"/>
        <v>N</v>
      </c>
      <c r="X464" s="12" t="str">
        <f t="shared" si="66"/>
        <v>N</v>
      </c>
      <c r="Y464" s="12" t="str">
        <f t="shared" si="67"/>
        <v>N</v>
      </c>
      <c r="Z464" s="12" t="str">
        <f t="shared" si="68"/>
        <v>N</v>
      </c>
      <c r="AA464" s="12">
        <f t="shared" si="69"/>
        <v>1</v>
      </c>
      <c r="AB464" s="12" t="str">
        <f t="shared" si="70"/>
        <v>SINGLE-SIGNAL</v>
      </c>
      <c r="AC464" s="14" t="str">
        <f t="shared" si="71"/>
        <v>Settlement Authorization</v>
      </c>
    </row>
    <row r="465" spans="1:29" x14ac:dyDescent="0.45">
      <c r="A465" s="2" t="s">
        <v>1266</v>
      </c>
      <c r="B465" s="2" t="s">
        <v>1267</v>
      </c>
      <c r="C465" s="2" t="s">
        <v>313</v>
      </c>
      <c r="D465" s="2" t="s">
        <v>633</v>
      </c>
      <c r="E465" s="11">
        <v>44772</v>
      </c>
      <c r="F465" s="12" t="s">
        <v>51</v>
      </c>
      <c r="G465" s="13">
        <v>159750</v>
      </c>
      <c r="H465" s="12" t="s">
        <v>242</v>
      </c>
      <c r="I465" s="11">
        <v>45330</v>
      </c>
      <c r="J465" s="12" t="s">
        <v>53</v>
      </c>
      <c r="K465" s="11"/>
      <c r="L465" s="12" t="s">
        <v>51</v>
      </c>
      <c r="M465" s="12" t="s">
        <v>53</v>
      </c>
      <c r="N465" s="11"/>
      <c r="O465" s="12"/>
      <c r="P465" s="12" t="s">
        <v>53</v>
      </c>
      <c r="Q465" s="14"/>
      <c r="R465" s="14"/>
      <c r="S465" s="12" t="s">
        <v>53</v>
      </c>
      <c r="T465" s="11"/>
      <c r="U465" s="12" t="str">
        <f t="shared" si="63"/>
        <v>N</v>
      </c>
      <c r="V465" s="12" t="str">
        <f t="shared" si="64"/>
        <v>N</v>
      </c>
      <c r="W465" s="12" t="str">
        <f t="shared" si="65"/>
        <v>N</v>
      </c>
      <c r="X465" s="12" t="str">
        <f t="shared" si="66"/>
        <v>N</v>
      </c>
      <c r="Y465" s="12" t="str">
        <f t="shared" si="67"/>
        <v>N</v>
      </c>
      <c r="Z465" s="12" t="str">
        <f t="shared" si="68"/>
        <v>N</v>
      </c>
      <c r="AA465" s="12">
        <f t="shared" si="69"/>
        <v>1</v>
      </c>
      <c r="AB465" s="12" t="str">
        <f t="shared" si="70"/>
        <v>SINGLE-SIGNAL</v>
      </c>
      <c r="AC465" s="14" t="str">
        <f t="shared" si="71"/>
        <v>Settlement Authorization</v>
      </c>
    </row>
    <row r="466" spans="1:29" x14ac:dyDescent="0.45">
      <c r="A466" s="2" t="s">
        <v>1268</v>
      </c>
      <c r="B466" s="2" t="s">
        <v>1269</v>
      </c>
      <c r="C466" s="2" t="s">
        <v>313</v>
      </c>
      <c r="D466" s="2" t="s">
        <v>884</v>
      </c>
      <c r="E466" s="11">
        <v>43647</v>
      </c>
      <c r="F466" s="12" t="s">
        <v>53</v>
      </c>
      <c r="G466" s="13"/>
      <c r="H466" s="12"/>
      <c r="I466" s="11"/>
      <c r="J466" s="12" t="s">
        <v>53</v>
      </c>
      <c r="K466" s="11"/>
      <c r="L466" s="12"/>
      <c r="M466" s="12" t="s">
        <v>53</v>
      </c>
      <c r="N466" s="11"/>
      <c r="O466" s="12"/>
      <c r="P466" s="12" t="s">
        <v>53</v>
      </c>
      <c r="Q466" s="14"/>
      <c r="R466" s="14"/>
      <c r="S466" s="12" t="s">
        <v>51</v>
      </c>
      <c r="T466" s="11">
        <v>44107</v>
      </c>
      <c r="U466" s="12" t="str">
        <f t="shared" si="63"/>
        <v>N</v>
      </c>
      <c r="V466" s="12" t="str">
        <f t="shared" si="64"/>
        <v>N</v>
      </c>
      <c r="W466" s="12" t="str">
        <f t="shared" si="65"/>
        <v>N</v>
      </c>
      <c r="X466" s="12" t="str">
        <f t="shared" si="66"/>
        <v>N</v>
      </c>
      <c r="Y466" s="12" t="str">
        <f t="shared" si="67"/>
        <v>N</v>
      </c>
      <c r="Z466" s="12" t="str">
        <f t="shared" si="68"/>
        <v>N</v>
      </c>
      <c r="AA466" s="12">
        <f t="shared" si="69"/>
        <v>1</v>
      </c>
      <c r="AB466" s="12" t="str">
        <f t="shared" si="70"/>
        <v>SINGLE-SIGNAL</v>
      </c>
      <c r="AC466" s="14" t="str">
        <f t="shared" si="71"/>
        <v>Inactive Customer</v>
      </c>
    </row>
    <row r="467" spans="1:29" ht="28.5" x14ac:dyDescent="0.45">
      <c r="A467" s="2" t="s">
        <v>1270</v>
      </c>
      <c r="B467" s="2" t="s">
        <v>1271</v>
      </c>
      <c r="C467" s="2" t="s">
        <v>313</v>
      </c>
      <c r="D467" s="2" t="s">
        <v>152</v>
      </c>
      <c r="E467" s="11">
        <v>43455</v>
      </c>
      <c r="F467" s="12" t="s">
        <v>53</v>
      </c>
      <c r="G467" s="13"/>
      <c r="H467" s="12"/>
      <c r="I467" s="11"/>
      <c r="J467" s="12" t="s">
        <v>53</v>
      </c>
      <c r="K467" s="11"/>
      <c r="L467" s="12"/>
      <c r="M467" s="12" t="s">
        <v>53</v>
      </c>
      <c r="N467" s="11"/>
      <c r="O467" s="12"/>
      <c r="P467" s="12" t="s">
        <v>51</v>
      </c>
      <c r="Q467" s="14" t="s">
        <v>350</v>
      </c>
      <c r="R467" s="14" t="s">
        <v>461</v>
      </c>
      <c r="S467" s="12" t="s">
        <v>51</v>
      </c>
      <c r="T467" s="11">
        <v>44971</v>
      </c>
      <c r="U467" s="12" t="str">
        <f t="shared" si="63"/>
        <v>Y</v>
      </c>
      <c r="V467" s="12" t="str">
        <f t="shared" si="64"/>
        <v>N</v>
      </c>
      <c r="W467" s="12" t="str">
        <f t="shared" si="65"/>
        <v>Y</v>
      </c>
      <c r="X467" s="12" t="str">
        <f t="shared" si="66"/>
        <v>N</v>
      </c>
      <c r="Y467" s="12" t="str">
        <f t="shared" si="67"/>
        <v>Y</v>
      </c>
      <c r="Z467" s="12" t="str">
        <f t="shared" si="68"/>
        <v>Y</v>
      </c>
      <c r="AA467" s="12">
        <f t="shared" si="69"/>
        <v>2</v>
      </c>
      <c r="AB467" s="12" t="str">
        <f t="shared" si="70"/>
        <v>MULTI-SIGNAL</v>
      </c>
      <c r="AC467" s="14" t="str">
        <f t="shared" si="71"/>
        <v>Automated Claim Alert | Inactive Customer</v>
      </c>
    </row>
    <row r="468" spans="1:29" x14ac:dyDescent="0.45">
      <c r="A468" s="2" t="s">
        <v>1272</v>
      </c>
      <c r="B468" s="2" t="s">
        <v>1273</v>
      </c>
      <c r="C468" s="2" t="s">
        <v>313</v>
      </c>
      <c r="D468" s="2" t="s">
        <v>138</v>
      </c>
      <c r="E468" s="11">
        <v>43287</v>
      </c>
      <c r="F468" s="12" t="s">
        <v>51</v>
      </c>
      <c r="G468" s="13">
        <v>110500</v>
      </c>
      <c r="H468" s="12" t="s">
        <v>52</v>
      </c>
      <c r="I468" s="11">
        <v>44579</v>
      </c>
      <c r="J468" s="12" t="s">
        <v>53</v>
      </c>
      <c r="K468" s="11"/>
      <c r="L468" s="12" t="s">
        <v>53</v>
      </c>
      <c r="M468" s="12" t="s">
        <v>53</v>
      </c>
      <c r="N468" s="11"/>
      <c r="O468" s="12"/>
      <c r="P468" s="12" t="s">
        <v>53</v>
      </c>
      <c r="Q468" s="14"/>
      <c r="R468" s="14"/>
      <c r="S468" s="12" t="s">
        <v>53</v>
      </c>
      <c r="T468" s="11"/>
      <c r="U468" s="12" t="str">
        <f t="shared" si="63"/>
        <v>N</v>
      </c>
      <c r="V468" s="12" t="str">
        <f t="shared" si="64"/>
        <v>N</v>
      </c>
      <c r="W468" s="12" t="str">
        <f t="shared" si="65"/>
        <v>N</v>
      </c>
      <c r="X468" s="12" t="str">
        <f t="shared" si="66"/>
        <v>N</v>
      </c>
      <c r="Y468" s="12" t="str">
        <f t="shared" si="67"/>
        <v>N</v>
      </c>
      <c r="Z468" s="12" t="str">
        <f t="shared" si="68"/>
        <v>N</v>
      </c>
      <c r="AA468" s="12">
        <f t="shared" si="69"/>
        <v>1</v>
      </c>
      <c r="AB468" s="12" t="str">
        <f t="shared" si="70"/>
        <v>SINGLE-SIGNAL</v>
      </c>
      <c r="AC468" s="14" t="str">
        <f t="shared" si="71"/>
        <v>Settlement Authorization</v>
      </c>
    </row>
    <row r="469" spans="1:29" x14ac:dyDescent="0.45">
      <c r="A469" s="2" t="s">
        <v>1274</v>
      </c>
      <c r="B469" s="2" t="s">
        <v>1275</v>
      </c>
      <c r="C469" s="2" t="s">
        <v>313</v>
      </c>
      <c r="D469" s="2" t="s">
        <v>1276</v>
      </c>
      <c r="E469" s="11">
        <v>44693</v>
      </c>
      <c r="F469" s="12" t="s">
        <v>51</v>
      </c>
      <c r="G469" s="13">
        <v>160750</v>
      </c>
      <c r="H469" s="12" t="s">
        <v>52</v>
      </c>
      <c r="I469" s="11">
        <v>46089</v>
      </c>
      <c r="J469" s="12" t="s">
        <v>53</v>
      </c>
      <c r="K469" s="11"/>
      <c r="L469" s="12" t="s">
        <v>51</v>
      </c>
      <c r="M469" s="12" t="s">
        <v>53</v>
      </c>
      <c r="N469" s="11"/>
      <c r="O469" s="12"/>
      <c r="P469" s="12" t="s">
        <v>53</v>
      </c>
      <c r="Q469" s="14"/>
      <c r="R469" s="14"/>
      <c r="S469" s="12" t="s">
        <v>53</v>
      </c>
      <c r="T469" s="11"/>
      <c r="U469" s="12" t="str">
        <f t="shared" si="63"/>
        <v>N</v>
      </c>
      <c r="V469" s="12" t="str">
        <f t="shared" si="64"/>
        <v>N</v>
      </c>
      <c r="W469" s="12" t="str">
        <f t="shared" si="65"/>
        <v>N</v>
      </c>
      <c r="X469" s="12" t="str">
        <f t="shared" si="66"/>
        <v>N</v>
      </c>
      <c r="Y469" s="12" t="str">
        <f t="shared" si="67"/>
        <v>N</v>
      </c>
      <c r="Z469" s="12" t="str">
        <f t="shared" si="68"/>
        <v>N</v>
      </c>
      <c r="AA469" s="12">
        <f t="shared" si="69"/>
        <v>1</v>
      </c>
      <c r="AB469" s="12" t="str">
        <f t="shared" si="70"/>
        <v>SINGLE-SIGNAL</v>
      </c>
      <c r="AC469" s="14" t="str">
        <f t="shared" si="71"/>
        <v>Settlement Authorization</v>
      </c>
    </row>
    <row r="470" spans="1:29" x14ac:dyDescent="0.45">
      <c r="A470" s="2" t="s">
        <v>1277</v>
      </c>
      <c r="B470" s="2" t="s">
        <v>1278</v>
      </c>
      <c r="C470" s="2" t="s">
        <v>313</v>
      </c>
      <c r="D470" s="2" t="s">
        <v>633</v>
      </c>
      <c r="E470" s="11">
        <v>44030</v>
      </c>
      <c r="F470" s="12" t="s">
        <v>53</v>
      </c>
      <c r="G470" s="13"/>
      <c r="H470" s="12"/>
      <c r="I470" s="11"/>
      <c r="J470" s="12" t="s">
        <v>53</v>
      </c>
      <c r="K470" s="11"/>
      <c r="L470" s="12"/>
      <c r="M470" s="12" t="s">
        <v>53</v>
      </c>
      <c r="N470" s="11"/>
      <c r="O470" s="12"/>
      <c r="P470" s="12" t="s">
        <v>53</v>
      </c>
      <c r="Q470" s="14"/>
      <c r="R470" s="14"/>
      <c r="S470" s="12" t="s">
        <v>51</v>
      </c>
      <c r="T470" s="11">
        <v>44520</v>
      </c>
      <c r="U470" s="12" t="str">
        <f t="shared" si="63"/>
        <v>N</v>
      </c>
      <c r="V470" s="12" t="str">
        <f t="shared" si="64"/>
        <v>N</v>
      </c>
      <c r="W470" s="12" t="str">
        <f t="shared" si="65"/>
        <v>N</v>
      </c>
      <c r="X470" s="12" t="str">
        <f t="shared" si="66"/>
        <v>N</v>
      </c>
      <c r="Y470" s="12" t="str">
        <f t="shared" si="67"/>
        <v>N</v>
      </c>
      <c r="Z470" s="12" t="str">
        <f t="shared" si="68"/>
        <v>N</v>
      </c>
      <c r="AA470" s="12">
        <f t="shared" si="69"/>
        <v>1</v>
      </c>
      <c r="AB470" s="12" t="str">
        <f t="shared" si="70"/>
        <v>SINGLE-SIGNAL</v>
      </c>
      <c r="AC470" s="14" t="str">
        <f t="shared" si="71"/>
        <v>Inactive Customer</v>
      </c>
    </row>
    <row r="471" spans="1:29" ht="28.5" x14ac:dyDescent="0.45">
      <c r="A471" s="2" t="s">
        <v>1279</v>
      </c>
      <c r="B471" s="2" t="s">
        <v>1280</v>
      </c>
      <c r="C471" s="2" t="s">
        <v>313</v>
      </c>
      <c r="D471" s="2" t="s">
        <v>788</v>
      </c>
      <c r="E471" s="11">
        <v>43826</v>
      </c>
      <c r="F471" s="12" t="s">
        <v>53</v>
      </c>
      <c r="G471" s="13"/>
      <c r="H471" s="12"/>
      <c r="I471" s="11"/>
      <c r="J471" s="12" t="s">
        <v>51</v>
      </c>
      <c r="K471" s="11">
        <v>43900</v>
      </c>
      <c r="L471" s="12" t="s">
        <v>51</v>
      </c>
      <c r="M471" s="12" t="s">
        <v>53</v>
      </c>
      <c r="N471" s="11"/>
      <c r="O471" s="12"/>
      <c r="P471" s="12" t="s">
        <v>51</v>
      </c>
      <c r="Q471" s="14" t="s">
        <v>222</v>
      </c>
      <c r="R471" s="14" t="s">
        <v>811</v>
      </c>
      <c r="S471" s="12" t="s">
        <v>51</v>
      </c>
      <c r="T471" s="11">
        <v>45623</v>
      </c>
      <c r="U471" s="12" t="str">
        <f t="shared" si="63"/>
        <v>N</v>
      </c>
      <c r="V471" s="12" t="str">
        <f t="shared" si="64"/>
        <v>N</v>
      </c>
      <c r="W471" s="12" t="str">
        <f t="shared" si="65"/>
        <v>Y</v>
      </c>
      <c r="X471" s="12" t="str">
        <f t="shared" si="66"/>
        <v>Y</v>
      </c>
      <c r="Y471" s="12" t="str">
        <f t="shared" si="67"/>
        <v>Y</v>
      </c>
      <c r="Z471" s="12" t="str">
        <f t="shared" si="68"/>
        <v>N</v>
      </c>
      <c r="AA471" s="12">
        <f t="shared" si="69"/>
        <v>3</v>
      </c>
      <c r="AB471" s="12" t="str">
        <f t="shared" si="70"/>
        <v>ELEVATED MULTI-SIGNAL</v>
      </c>
      <c r="AC471" s="14" t="str">
        <f t="shared" si="71"/>
        <v>Open Stipulation | Automated Claim Alert | Inactive Customer</v>
      </c>
    </row>
    <row r="472" spans="1:29" x14ac:dyDescent="0.45">
      <c r="A472" s="2" t="s">
        <v>1281</v>
      </c>
      <c r="B472" s="2" t="s">
        <v>1282</v>
      </c>
      <c r="C472" s="2" t="s">
        <v>313</v>
      </c>
      <c r="D472" s="2" t="s">
        <v>361</v>
      </c>
      <c r="E472" s="11">
        <v>44721</v>
      </c>
      <c r="F472" s="12" t="s">
        <v>51</v>
      </c>
      <c r="G472" s="13">
        <v>18500</v>
      </c>
      <c r="H472" s="12" t="s">
        <v>242</v>
      </c>
      <c r="I472" s="11">
        <v>45682</v>
      </c>
      <c r="J472" s="12" t="s">
        <v>51</v>
      </c>
      <c r="K472" s="11">
        <v>45089</v>
      </c>
      <c r="L472" s="12" t="s">
        <v>53</v>
      </c>
      <c r="M472" s="12" t="s">
        <v>53</v>
      </c>
      <c r="N472" s="11"/>
      <c r="O472" s="12"/>
      <c r="P472" s="12" t="s">
        <v>53</v>
      </c>
      <c r="Q472" s="14"/>
      <c r="R472" s="14"/>
      <c r="S472" s="12" t="s">
        <v>53</v>
      </c>
      <c r="T472" s="11"/>
      <c r="U472" s="12" t="str">
        <f t="shared" si="63"/>
        <v>N</v>
      </c>
      <c r="V472" s="12" t="str">
        <f t="shared" si="64"/>
        <v>N</v>
      </c>
      <c r="W472" s="12" t="str">
        <f t="shared" si="65"/>
        <v>N</v>
      </c>
      <c r="X472" s="12" t="str">
        <f t="shared" si="66"/>
        <v>N</v>
      </c>
      <c r="Y472" s="12" t="str">
        <f t="shared" si="67"/>
        <v>N</v>
      </c>
      <c r="Z472" s="12" t="str">
        <f t="shared" si="68"/>
        <v>N</v>
      </c>
      <c r="AA472" s="12">
        <f t="shared" si="69"/>
        <v>2</v>
      </c>
      <c r="AB472" s="12" t="str">
        <f t="shared" si="70"/>
        <v>MULTI-SIGNAL</v>
      </c>
      <c r="AC472" s="14" t="str">
        <f t="shared" si="71"/>
        <v>Settlement Authorization | Open Stipulation</v>
      </c>
    </row>
    <row r="473" spans="1:29" x14ac:dyDescent="0.45">
      <c r="A473" s="2" t="s">
        <v>1283</v>
      </c>
      <c r="B473" s="2" t="s">
        <v>1284</v>
      </c>
      <c r="C473" s="2" t="s">
        <v>313</v>
      </c>
      <c r="D473" s="2" t="s">
        <v>510</v>
      </c>
      <c r="E473" s="11">
        <v>44198</v>
      </c>
      <c r="F473" s="12" t="s">
        <v>51</v>
      </c>
      <c r="G473" s="13">
        <v>5500</v>
      </c>
      <c r="H473" s="12" t="s">
        <v>59</v>
      </c>
      <c r="I473" s="11">
        <v>45863</v>
      </c>
      <c r="J473" s="12" t="s">
        <v>51</v>
      </c>
      <c r="K473" s="11">
        <v>45045</v>
      </c>
      <c r="L473" s="12" t="s">
        <v>53</v>
      </c>
      <c r="M473" s="12" t="s">
        <v>53</v>
      </c>
      <c r="N473" s="11"/>
      <c r="O473" s="12"/>
      <c r="P473" s="12" t="s">
        <v>53</v>
      </c>
      <c r="Q473" s="14"/>
      <c r="R473" s="14"/>
      <c r="S473" s="12" t="s">
        <v>53</v>
      </c>
      <c r="T473" s="11"/>
      <c r="U473" s="12" t="str">
        <f t="shared" si="63"/>
        <v>N</v>
      </c>
      <c r="V473" s="12" t="str">
        <f t="shared" si="64"/>
        <v>N</v>
      </c>
      <c r="W473" s="12" t="str">
        <f t="shared" si="65"/>
        <v>N</v>
      </c>
      <c r="X473" s="12" t="str">
        <f t="shared" si="66"/>
        <v>N</v>
      </c>
      <c r="Y473" s="12" t="str">
        <f t="shared" si="67"/>
        <v>N</v>
      </c>
      <c r="Z473" s="12" t="str">
        <f t="shared" si="68"/>
        <v>N</v>
      </c>
      <c r="AA473" s="12">
        <f t="shared" si="69"/>
        <v>2</v>
      </c>
      <c r="AB473" s="12" t="str">
        <f t="shared" si="70"/>
        <v>MULTI-SIGNAL</v>
      </c>
      <c r="AC473" s="14" t="str">
        <f t="shared" si="71"/>
        <v>Settlement Authorization | Open Stipulation</v>
      </c>
    </row>
    <row r="474" spans="1:29" x14ac:dyDescent="0.45">
      <c r="A474" s="2" t="s">
        <v>1285</v>
      </c>
      <c r="B474" s="2" t="s">
        <v>1286</v>
      </c>
      <c r="C474" s="2" t="s">
        <v>313</v>
      </c>
      <c r="D474" s="2" t="s">
        <v>1050</v>
      </c>
      <c r="E474" s="11">
        <v>45307</v>
      </c>
      <c r="F474" s="12" t="s">
        <v>51</v>
      </c>
      <c r="G474" s="13">
        <v>109750</v>
      </c>
      <c r="H474" s="12" t="s">
        <v>85</v>
      </c>
      <c r="I474" s="11">
        <v>46203</v>
      </c>
      <c r="J474" s="12" t="s">
        <v>53</v>
      </c>
      <c r="K474" s="11"/>
      <c r="L474" s="12" t="s">
        <v>51</v>
      </c>
      <c r="M474" s="12" t="s">
        <v>53</v>
      </c>
      <c r="N474" s="11"/>
      <c r="O474" s="12"/>
      <c r="P474" s="12" t="s">
        <v>53</v>
      </c>
      <c r="Q474" s="14"/>
      <c r="R474" s="14"/>
      <c r="S474" s="12" t="s">
        <v>51</v>
      </c>
      <c r="T474" s="11">
        <v>47404</v>
      </c>
      <c r="U474" s="12" t="str">
        <f t="shared" si="63"/>
        <v>N</v>
      </c>
      <c r="V474" s="12" t="str">
        <f t="shared" si="64"/>
        <v>N</v>
      </c>
      <c r="W474" s="12" t="str">
        <f t="shared" si="65"/>
        <v>N</v>
      </c>
      <c r="X474" s="12" t="str">
        <f t="shared" si="66"/>
        <v>N</v>
      </c>
      <c r="Y474" s="12" t="str">
        <f t="shared" si="67"/>
        <v>N</v>
      </c>
      <c r="Z474" s="12" t="str">
        <f t="shared" si="68"/>
        <v>N</v>
      </c>
      <c r="AA474" s="12">
        <f t="shared" si="69"/>
        <v>2</v>
      </c>
      <c r="AB474" s="12" t="str">
        <f t="shared" si="70"/>
        <v>MULTI-SIGNAL</v>
      </c>
      <c r="AC474" s="14" t="str">
        <f t="shared" si="71"/>
        <v>Settlement Authorization | Inactive Customer</v>
      </c>
    </row>
    <row r="475" spans="1:29" x14ac:dyDescent="0.45">
      <c r="A475" s="2" t="s">
        <v>1287</v>
      </c>
      <c r="B475" s="2" t="s">
        <v>1288</v>
      </c>
      <c r="C475" s="2" t="s">
        <v>313</v>
      </c>
      <c r="D475" s="2" t="s">
        <v>612</v>
      </c>
      <c r="E475" s="11">
        <v>44968</v>
      </c>
      <c r="F475" s="12" t="s">
        <v>53</v>
      </c>
      <c r="G475" s="13"/>
      <c r="H475" s="12"/>
      <c r="I475" s="11"/>
      <c r="J475" s="12" t="s">
        <v>51</v>
      </c>
      <c r="K475" s="11">
        <v>46006</v>
      </c>
      <c r="L475" s="12" t="s">
        <v>51</v>
      </c>
      <c r="M475" s="12" t="s">
        <v>53</v>
      </c>
      <c r="N475" s="11"/>
      <c r="O475" s="12"/>
      <c r="P475" s="12" t="s">
        <v>53</v>
      </c>
      <c r="Q475" s="14"/>
      <c r="R475" s="14"/>
      <c r="S475" s="12" t="s">
        <v>51</v>
      </c>
      <c r="T475" s="11">
        <v>46608</v>
      </c>
      <c r="U475" s="12" t="str">
        <f t="shared" si="63"/>
        <v>N</v>
      </c>
      <c r="V475" s="12" t="str">
        <f t="shared" si="64"/>
        <v>N</v>
      </c>
      <c r="W475" s="12" t="str">
        <f t="shared" si="65"/>
        <v>N</v>
      </c>
      <c r="X475" s="12" t="str">
        <f t="shared" si="66"/>
        <v>N</v>
      </c>
      <c r="Y475" s="12" t="str">
        <f t="shared" si="67"/>
        <v>N</v>
      </c>
      <c r="Z475" s="12" t="str">
        <f t="shared" si="68"/>
        <v>N</v>
      </c>
      <c r="AA475" s="12">
        <f t="shared" si="69"/>
        <v>2</v>
      </c>
      <c r="AB475" s="12" t="str">
        <f t="shared" si="70"/>
        <v>MULTI-SIGNAL</v>
      </c>
      <c r="AC475" s="14" t="str">
        <f t="shared" si="71"/>
        <v>Open Stipulation | Inactive Customer</v>
      </c>
    </row>
    <row r="476" spans="1:29" ht="28.5" x14ac:dyDescent="0.45">
      <c r="A476" s="2" t="s">
        <v>1289</v>
      </c>
      <c r="B476" s="2" t="s">
        <v>1290</v>
      </c>
      <c r="C476" s="2" t="s">
        <v>313</v>
      </c>
      <c r="D476" s="2" t="s">
        <v>1291</v>
      </c>
      <c r="E476" s="11">
        <v>45778</v>
      </c>
      <c r="F476" s="12" t="s">
        <v>51</v>
      </c>
      <c r="G476" s="13">
        <v>127000</v>
      </c>
      <c r="H476" s="12" t="s">
        <v>66</v>
      </c>
      <c r="I476" s="11">
        <v>45946</v>
      </c>
      <c r="J476" s="12" t="s">
        <v>53</v>
      </c>
      <c r="K476" s="11"/>
      <c r="L476" s="12" t="s">
        <v>51</v>
      </c>
      <c r="M476" s="12" t="s">
        <v>53</v>
      </c>
      <c r="N476" s="11"/>
      <c r="O476" s="12"/>
      <c r="P476" s="12" t="s">
        <v>51</v>
      </c>
      <c r="Q476" s="14" t="s">
        <v>1292</v>
      </c>
      <c r="R476" s="14" t="s">
        <v>122</v>
      </c>
      <c r="S476" s="12" t="s">
        <v>53</v>
      </c>
      <c r="T476" s="11"/>
      <c r="U476" s="12" t="str">
        <f t="shared" si="63"/>
        <v>N</v>
      </c>
      <c r="V476" s="12" t="str">
        <f t="shared" si="64"/>
        <v>N</v>
      </c>
      <c r="W476" s="12" t="str">
        <f t="shared" si="65"/>
        <v>Y</v>
      </c>
      <c r="X476" s="12" t="str">
        <f t="shared" si="66"/>
        <v>Y</v>
      </c>
      <c r="Y476" s="12" t="str">
        <f t="shared" si="67"/>
        <v>Y</v>
      </c>
      <c r="Z476" s="12" t="str">
        <f t="shared" si="68"/>
        <v>Y</v>
      </c>
      <c r="AA476" s="12">
        <f t="shared" si="69"/>
        <v>2</v>
      </c>
      <c r="AB476" s="12" t="str">
        <f t="shared" si="70"/>
        <v>MULTI-SIGNAL</v>
      </c>
      <c r="AC476" s="14" t="str">
        <f t="shared" si="71"/>
        <v>Settlement Authorization | Automated Claim Alert</v>
      </c>
    </row>
    <row r="477" spans="1:29" ht="28.5" x14ac:dyDescent="0.45">
      <c r="A477" s="2" t="s">
        <v>1293</v>
      </c>
      <c r="B477" s="2" t="s">
        <v>1294</v>
      </c>
      <c r="C477" s="2" t="s">
        <v>313</v>
      </c>
      <c r="D477" s="2" t="s">
        <v>326</v>
      </c>
      <c r="E477" s="11">
        <v>44488</v>
      </c>
      <c r="F477" s="12" t="s">
        <v>53</v>
      </c>
      <c r="G477" s="13"/>
      <c r="H477" s="12"/>
      <c r="I477" s="11"/>
      <c r="J477" s="12" t="s">
        <v>53</v>
      </c>
      <c r="K477" s="11"/>
      <c r="L477" s="12"/>
      <c r="M477" s="12" t="s">
        <v>53</v>
      </c>
      <c r="N477" s="11"/>
      <c r="O477" s="12"/>
      <c r="P477" s="12" t="s">
        <v>51</v>
      </c>
      <c r="Q477" s="14" t="s">
        <v>61</v>
      </c>
      <c r="R477" s="14"/>
      <c r="S477" s="12" t="s">
        <v>51</v>
      </c>
      <c r="T477" s="11">
        <v>44988</v>
      </c>
      <c r="U477" s="12" t="str">
        <f t="shared" si="63"/>
        <v>N</v>
      </c>
      <c r="V477" s="12" t="str">
        <f t="shared" si="64"/>
        <v>N</v>
      </c>
      <c r="W477" s="12" t="str">
        <f t="shared" si="65"/>
        <v>N</v>
      </c>
      <c r="X477" s="12" t="str">
        <f t="shared" si="66"/>
        <v>Y</v>
      </c>
      <c r="Y477" s="12" t="str">
        <f t="shared" si="67"/>
        <v>N</v>
      </c>
      <c r="Z477" s="12" t="str">
        <f t="shared" si="68"/>
        <v>Y</v>
      </c>
      <c r="AA477" s="12">
        <f t="shared" si="69"/>
        <v>2</v>
      </c>
      <c r="AB477" s="12" t="str">
        <f t="shared" si="70"/>
        <v>MULTI-SIGNAL</v>
      </c>
      <c r="AC477" s="14" t="str">
        <f t="shared" si="71"/>
        <v>Automated Claim Alert | Inactive Customer</v>
      </c>
    </row>
    <row r="478" spans="1:29" x14ac:dyDescent="0.45">
      <c r="A478" s="2" t="s">
        <v>1295</v>
      </c>
      <c r="B478" s="2" t="s">
        <v>1296</v>
      </c>
      <c r="C478" s="2" t="s">
        <v>313</v>
      </c>
      <c r="D478" s="2" t="s">
        <v>81</v>
      </c>
      <c r="E478" s="11">
        <v>44320</v>
      </c>
      <c r="F478" s="12" t="s">
        <v>53</v>
      </c>
      <c r="G478" s="13"/>
      <c r="H478" s="12"/>
      <c r="I478" s="11"/>
      <c r="J478" s="12" t="s">
        <v>53</v>
      </c>
      <c r="K478" s="11"/>
      <c r="L478" s="12"/>
      <c r="M478" s="12" t="s">
        <v>53</v>
      </c>
      <c r="N478" s="11"/>
      <c r="O478" s="12"/>
      <c r="P478" s="12" t="s">
        <v>53</v>
      </c>
      <c r="Q478" s="14"/>
      <c r="R478" s="14"/>
      <c r="S478" s="12" t="s">
        <v>51</v>
      </c>
      <c r="T478" s="11">
        <v>46384</v>
      </c>
      <c r="U478" s="12" t="str">
        <f t="shared" si="63"/>
        <v>N</v>
      </c>
      <c r="V478" s="12" t="str">
        <f t="shared" si="64"/>
        <v>N</v>
      </c>
      <c r="W478" s="12" t="str">
        <f t="shared" si="65"/>
        <v>N</v>
      </c>
      <c r="X478" s="12" t="str">
        <f t="shared" si="66"/>
        <v>N</v>
      </c>
      <c r="Y478" s="12" t="str">
        <f t="shared" si="67"/>
        <v>N</v>
      </c>
      <c r="Z478" s="12" t="str">
        <f t="shared" si="68"/>
        <v>N</v>
      </c>
      <c r="AA478" s="12">
        <f t="shared" si="69"/>
        <v>1</v>
      </c>
      <c r="AB478" s="12" t="str">
        <f t="shared" si="70"/>
        <v>SINGLE-SIGNAL</v>
      </c>
      <c r="AC478" s="14" t="str">
        <f t="shared" si="71"/>
        <v>Inactive Customer</v>
      </c>
    </row>
    <row r="479" spans="1:29" ht="28.5" x14ac:dyDescent="0.45">
      <c r="A479" s="2" t="s">
        <v>1297</v>
      </c>
      <c r="B479" s="2" t="s">
        <v>1298</v>
      </c>
      <c r="C479" s="2" t="s">
        <v>313</v>
      </c>
      <c r="D479" s="2" t="s">
        <v>371</v>
      </c>
      <c r="E479" s="11">
        <v>45181</v>
      </c>
      <c r="F479" s="12" t="s">
        <v>51</v>
      </c>
      <c r="G479" s="13">
        <v>109250</v>
      </c>
      <c r="H479" s="12" t="s">
        <v>242</v>
      </c>
      <c r="I479" s="11">
        <v>46916</v>
      </c>
      <c r="J479" s="12" t="s">
        <v>53</v>
      </c>
      <c r="K479" s="11"/>
      <c r="L479" s="12" t="s">
        <v>51</v>
      </c>
      <c r="M479" s="12" t="s">
        <v>53</v>
      </c>
      <c r="N479" s="11"/>
      <c r="O479" s="12"/>
      <c r="P479" s="12" t="s">
        <v>51</v>
      </c>
      <c r="Q479" s="14" t="s">
        <v>865</v>
      </c>
      <c r="R479" s="14"/>
      <c r="S479" s="12" t="s">
        <v>53</v>
      </c>
      <c r="T479" s="11"/>
      <c r="U479" s="12" t="str">
        <f t="shared" si="63"/>
        <v>N</v>
      </c>
      <c r="V479" s="12" t="str">
        <f t="shared" si="64"/>
        <v>Y</v>
      </c>
      <c r="W479" s="12" t="str">
        <f t="shared" si="65"/>
        <v>Y</v>
      </c>
      <c r="X479" s="12" t="str">
        <f t="shared" si="66"/>
        <v>N</v>
      </c>
      <c r="Y479" s="12" t="str">
        <f t="shared" si="67"/>
        <v>N</v>
      </c>
      <c r="Z479" s="12" t="str">
        <f t="shared" si="68"/>
        <v>N</v>
      </c>
      <c r="AA479" s="12">
        <f t="shared" si="69"/>
        <v>2</v>
      </c>
      <c r="AB479" s="12" t="str">
        <f t="shared" si="70"/>
        <v>MULTI-SIGNAL</v>
      </c>
      <c r="AC479" s="14" t="str">
        <f t="shared" si="71"/>
        <v>Settlement Authorization | Automated Claim Alert</v>
      </c>
    </row>
    <row r="480" spans="1:29" x14ac:dyDescent="0.45">
      <c r="A480" s="2" t="s">
        <v>1299</v>
      </c>
      <c r="B480" s="2" t="s">
        <v>1300</v>
      </c>
      <c r="C480" s="2" t="s">
        <v>313</v>
      </c>
      <c r="D480" s="2" t="s">
        <v>361</v>
      </c>
      <c r="E480" s="11">
        <v>44053</v>
      </c>
      <c r="F480" s="12" t="s">
        <v>51</v>
      </c>
      <c r="G480" s="13">
        <v>47000</v>
      </c>
      <c r="H480" s="12" t="s">
        <v>85</v>
      </c>
      <c r="I480" s="11">
        <v>45783</v>
      </c>
      <c r="J480" s="12" t="s">
        <v>53</v>
      </c>
      <c r="K480" s="11"/>
      <c r="L480" s="12" t="s">
        <v>51</v>
      </c>
      <c r="M480" s="12" t="s">
        <v>53</v>
      </c>
      <c r="N480" s="11"/>
      <c r="O480" s="12"/>
      <c r="P480" s="12" t="s">
        <v>53</v>
      </c>
      <c r="Q480" s="14"/>
      <c r="R480" s="14"/>
      <c r="S480" s="12" t="s">
        <v>53</v>
      </c>
      <c r="T480" s="11"/>
      <c r="U480" s="12" t="str">
        <f t="shared" si="63"/>
        <v>N</v>
      </c>
      <c r="V480" s="12" t="str">
        <f t="shared" si="64"/>
        <v>N</v>
      </c>
      <c r="W480" s="12" t="str">
        <f t="shared" si="65"/>
        <v>N</v>
      </c>
      <c r="X480" s="12" t="str">
        <f t="shared" si="66"/>
        <v>N</v>
      </c>
      <c r="Y480" s="12" t="str">
        <f t="shared" si="67"/>
        <v>N</v>
      </c>
      <c r="Z480" s="12" t="str">
        <f t="shared" si="68"/>
        <v>N</v>
      </c>
      <c r="AA480" s="12">
        <f t="shared" si="69"/>
        <v>1</v>
      </c>
      <c r="AB480" s="12" t="str">
        <f t="shared" si="70"/>
        <v>SINGLE-SIGNAL</v>
      </c>
      <c r="AC480" s="14" t="str">
        <f t="shared" si="71"/>
        <v>Settlement Authorization</v>
      </c>
    </row>
    <row r="481" spans="1:29" x14ac:dyDescent="0.45">
      <c r="A481" s="2" t="s">
        <v>1301</v>
      </c>
      <c r="B481" s="2" t="s">
        <v>1302</v>
      </c>
      <c r="C481" s="2" t="s">
        <v>313</v>
      </c>
      <c r="D481" s="2" t="s">
        <v>201</v>
      </c>
      <c r="E481" s="11">
        <v>45366</v>
      </c>
      <c r="F481" s="12" t="s">
        <v>53</v>
      </c>
      <c r="G481" s="13"/>
      <c r="H481" s="12"/>
      <c r="I481" s="11"/>
      <c r="J481" s="12" t="s">
        <v>51</v>
      </c>
      <c r="K481" s="11">
        <v>45467</v>
      </c>
      <c r="L481" s="12" t="s">
        <v>51</v>
      </c>
      <c r="M481" s="12" t="s">
        <v>53</v>
      </c>
      <c r="N481" s="11"/>
      <c r="O481" s="12"/>
      <c r="P481" s="12" t="s">
        <v>53</v>
      </c>
      <c r="Q481" s="14"/>
      <c r="R481" s="14"/>
      <c r="S481" s="12" t="s">
        <v>51</v>
      </c>
      <c r="T481" s="11">
        <v>45736</v>
      </c>
      <c r="U481" s="12" t="str">
        <f t="shared" si="63"/>
        <v>N</v>
      </c>
      <c r="V481" s="12" t="str">
        <f t="shared" si="64"/>
        <v>N</v>
      </c>
      <c r="W481" s="12" t="str">
        <f t="shared" si="65"/>
        <v>N</v>
      </c>
      <c r="X481" s="12" t="str">
        <f t="shared" si="66"/>
        <v>N</v>
      </c>
      <c r="Y481" s="12" t="str">
        <f t="shared" si="67"/>
        <v>N</v>
      </c>
      <c r="Z481" s="12" t="str">
        <f t="shared" si="68"/>
        <v>N</v>
      </c>
      <c r="AA481" s="12">
        <f t="shared" si="69"/>
        <v>2</v>
      </c>
      <c r="AB481" s="12" t="str">
        <f t="shared" si="70"/>
        <v>MULTI-SIGNAL</v>
      </c>
      <c r="AC481" s="14" t="str">
        <f t="shared" si="71"/>
        <v>Open Stipulation | Inactive Customer</v>
      </c>
    </row>
    <row r="482" spans="1:29" x14ac:dyDescent="0.45">
      <c r="A482" s="2" t="s">
        <v>1303</v>
      </c>
      <c r="B482" s="2" t="s">
        <v>1304</v>
      </c>
      <c r="C482" s="2" t="s">
        <v>313</v>
      </c>
      <c r="D482" s="2" t="s">
        <v>1182</v>
      </c>
      <c r="E482" s="11">
        <v>44064</v>
      </c>
      <c r="F482" s="12" t="s">
        <v>51</v>
      </c>
      <c r="G482" s="13">
        <v>130500</v>
      </c>
      <c r="H482" s="12" t="s">
        <v>93</v>
      </c>
      <c r="I482" s="11">
        <v>45834</v>
      </c>
      <c r="J482" s="12" t="s">
        <v>53</v>
      </c>
      <c r="K482" s="11"/>
      <c r="L482" s="12" t="s">
        <v>51</v>
      </c>
      <c r="M482" s="12" t="s">
        <v>53</v>
      </c>
      <c r="N482" s="11"/>
      <c r="O482" s="12"/>
      <c r="P482" s="12" t="s">
        <v>53</v>
      </c>
      <c r="Q482" s="14"/>
      <c r="R482" s="14"/>
      <c r="S482" s="12" t="s">
        <v>53</v>
      </c>
      <c r="T482" s="11"/>
      <c r="U482" s="12" t="str">
        <f t="shared" si="63"/>
        <v>N</v>
      </c>
      <c r="V482" s="12" t="str">
        <f t="shared" si="64"/>
        <v>N</v>
      </c>
      <c r="W482" s="12" t="str">
        <f t="shared" si="65"/>
        <v>N</v>
      </c>
      <c r="X482" s="12" t="str">
        <f t="shared" si="66"/>
        <v>N</v>
      </c>
      <c r="Y482" s="12" t="str">
        <f t="shared" si="67"/>
        <v>N</v>
      </c>
      <c r="Z482" s="12" t="str">
        <f t="shared" si="68"/>
        <v>N</v>
      </c>
      <c r="AA482" s="12">
        <f t="shared" si="69"/>
        <v>1</v>
      </c>
      <c r="AB482" s="12" t="str">
        <f t="shared" si="70"/>
        <v>SINGLE-SIGNAL</v>
      </c>
      <c r="AC482" s="14" t="str">
        <f t="shared" si="71"/>
        <v>Settlement Authorization</v>
      </c>
    </row>
    <row r="483" spans="1:29" x14ac:dyDescent="0.45">
      <c r="A483" s="2" t="s">
        <v>1305</v>
      </c>
      <c r="B483" s="2" t="s">
        <v>1306</v>
      </c>
      <c r="C483" s="2" t="s">
        <v>313</v>
      </c>
      <c r="D483" s="2" t="s">
        <v>427</v>
      </c>
      <c r="E483" s="11">
        <v>43545</v>
      </c>
      <c r="F483" s="12" t="s">
        <v>53</v>
      </c>
      <c r="G483" s="13"/>
      <c r="H483" s="12"/>
      <c r="I483" s="11"/>
      <c r="J483" s="12" t="s">
        <v>53</v>
      </c>
      <c r="K483" s="11"/>
      <c r="L483" s="12"/>
      <c r="M483" s="12" t="s">
        <v>53</v>
      </c>
      <c r="N483" s="11"/>
      <c r="O483" s="12"/>
      <c r="P483" s="12" t="s">
        <v>51</v>
      </c>
      <c r="Q483" s="14" t="s">
        <v>149</v>
      </c>
      <c r="R483" s="14"/>
      <c r="S483" s="12" t="s">
        <v>51</v>
      </c>
      <c r="T483" s="11">
        <v>44472</v>
      </c>
      <c r="U483" s="12" t="str">
        <f t="shared" si="63"/>
        <v>N</v>
      </c>
      <c r="V483" s="12" t="str">
        <f t="shared" si="64"/>
        <v>N</v>
      </c>
      <c r="W483" s="12" t="str">
        <f t="shared" si="65"/>
        <v>N</v>
      </c>
      <c r="X483" s="12" t="str">
        <f t="shared" si="66"/>
        <v>N</v>
      </c>
      <c r="Y483" s="12" t="str">
        <f t="shared" si="67"/>
        <v>N</v>
      </c>
      <c r="Z483" s="12" t="str">
        <f t="shared" si="68"/>
        <v>Y</v>
      </c>
      <c r="AA483" s="12">
        <f t="shared" si="69"/>
        <v>2</v>
      </c>
      <c r="AB483" s="12" t="str">
        <f t="shared" si="70"/>
        <v>MULTI-SIGNAL</v>
      </c>
      <c r="AC483" s="14" t="str">
        <f t="shared" si="71"/>
        <v>Automated Claim Alert | Inactive Customer</v>
      </c>
    </row>
    <row r="484" spans="1:29" x14ac:dyDescent="0.45">
      <c r="A484" s="2" t="s">
        <v>1307</v>
      </c>
      <c r="B484" s="2" t="s">
        <v>1308</v>
      </c>
      <c r="C484" s="2" t="s">
        <v>313</v>
      </c>
      <c r="D484" s="2" t="s">
        <v>99</v>
      </c>
      <c r="E484" s="11">
        <v>45986</v>
      </c>
      <c r="F484" s="12" t="s">
        <v>51</v>
      </c>
      <c r="G484" s="13">
        <v>146000</v>
      </c>
      <c r="H484" s="12" t="s">
        <v>71</v>
      </c>
      <c r="I484" s="11">
        <v>46936</v>
      </c>
      <c r="J484" s="12" t="s">
        <v>53</v>
      </c>
      <c r="K484" s="11"/>
      <c r="L484" s="12" t="s">
        <v>53</v>
      </c>
      <c r="M484" s="12" t="s">
        <v>53</v>
      </c>
      <c r="N484" s="11"/>
      <c r="O484" s="12"/>
      <c r="P484" s="12" t="s">
        <v>53</v>
      </c>
      <c r="Q484" s="14"/>
      <c r="R484" s="14"/>
      <c r="S484" s="12" t="s">
        <v>53</v>
      </c>
      <c r="T484" s="11"/>
      <c r="U484" s="12" t="str">
        <f t="shared" si="63"/>
        <v>N</v>
      </c>
      <c r="V484" s="12" t="str">
        <f t="shared" si="64"/>
        <v>N</v>
      </c>
      <c r="W484" s="12" t="str">
        <f t="shared" si="65"/>
        <v>N</v>
      </c>
      <c r="X484" s="12" t="str">
        <f t="shared" si="66"/>
        <v>N</v>
      </c>
      <c r="Y484" s="12" t="str">
        <f t="shared" si="67"/>
        <v>N</v>
      </c>
      <c r="Z484" s="12" t="str">
        <f t="shared" si="68"/>
        <v>N</v>
      </c>
      <c r="AA484" s="12">
        <f t="shared" si="69"/>
        <v>1</v>
      </c>
      <c r="AB484" s="12" t="str">
        <f t="shared" si="70"/>
        <v>SINGLE-SIGNAL</v>
      </c>
      <c r="AC484" s="14" t="str">
        <f t="shared" si="71"/>
        <v>Settlement Authorization</v>
      </c>
    </row>
    <row r="485" spans="1:29" x14ac:dyDescent="0.45">
      <c r="A485" s="2" t="s">
        <v>1309</v>
      </c>
      <c r="B485" s="2" t="s">
        <v>1310</v>
      </c>
      <c r="C485" s="2" t="s">
        <v>313</v>
      </c>
      <c r="D485" s="2" t="s">
        <v>1311</v>
      </c>
      <c r="E485" s="11">
        <v>43663</v>
      </c>
      <c r="F485" s="12" t="s">
        <v>51</v>
      </c>
      <c r="G485" s="13">
        <v>40250</v>
      </c>
      <c r="H485" s="12" t="s">
        <v>59</v>
      </c>
      <c r="I485" s="11">
        <v>44999</v>
      </c>
      <c r="J485" s="12" t="s">
        <v>53</v>
      </c>
      <c r="K485" s="11"/>
      <c r="L485" s="12" t="s">
        <v>53</v>
      </c>
      <c r="M485" s="12" t="s">
        <v>53</v>
      </c>
      <c r="N485" s="11"/>
      <c r="O485" s="12"/>
      <c r="P485" s="12" t="s">
        <v>53</v>
      </c>
      <c r="Q485" s="14"/>
      <c r="R485" s="14"/>
      <c r="S485" s="12" t="s">
        <v>51</v>
      </c>
      <c r="T485" s="11">
        <v>45564</v>
      </c>
      <c r="U485" s="12" t="str">
        <f t="shared" si="63"/>
        <v>N</v>
      </c>
      <c r="V485" s="12" t="str">
        <f t="shared" si="64"/>
        <v>N</v>
      </c>
      <c r="W485" s="12" t="str">
        <f t="shared" si="65"/>
        <v>N</v>
      </c>
      <c r="X485" s="12" t="str">
        <f t="shared" si="66"/>
        <v>N</v>
      </c>
      <c r="Y485" s="12" t="str">
        <f t="shared" si="67"/>
        <v>N</v>
      </c>
      <c r="Z485" s="12" t="str">
        <f t="shared" si="68"/>
        <v>N</v>
      </c>
      <c r="AA485" s="12">
        <f t="shared" si="69"/>
        <v>2</v>
      </c>
      <c r="AB485" s="12" t="str">
        <f t="shared" si="70"/>
        <v>MULTI-SIGNAL</v>
      </c>
      <c r="AC485" s="14" t="str">
        <f t="shared" si="71"/>
        <v>Settlement Authorization | Inactive Customer</v>
      </c>
    </row>
    <row r="486" spans="1:29" x14ac:dyDescent="0.45">
      <c r="A486" s="2" t="s">
        <v>1312</v>
      </c>
      <c r="B486" s="2" t="s">
        <v>1313</v>
      </c>
      <c r="C486" s="2" t="s">
        <v>313</v>
      </c>
      <c r="D486" s="2" t="s">
        <v>1108</v>
      </c>
      <c r="E486" s="11">
        <v>44723</v>
      </c>
      <c r="F486" s="12" t="s">
        <v>51</v>
      </c>
      <c r="G486" s="13">
        <v>81750</v>
      </c>
      <c r="H486" s="12" t="s">
        <v>59</v>
      </c>
      <c r="I486" s="11">
        <v>45443</v>
      </c>
      <c r="J486" s="12" t="s">
        <v>53</v>
      </c>
      <c r="K486" s="11"/>
      <c r="L486" s="12" t="s">
        <v>51</v>
      </c>
      <c r="M486" s="12" t="s">
        <v>53</v>
      </c>
      <c r="N486" s="11"/>
      <c r="O486" s="12"/>
      <c r="P486" s="12" t="s">
        <v>53</v>
      </c>
      <c r="Q486" s="14"/>
      <c r="R486" s="14"/>
      <c r="S486" s="12" t="s">
        <v>53</v>
      </c>
      <c r="T486" s="11"/>
      <c r="U486" s="12" t="str">
        <f t="shared" si="63"/>
        <v>N</v>
      </c>
      <c r="V486" s="12" t="str">
        <f t="shared" si="64"/>
        <v>N</v>
      </c>
      <c r="W486" s="12" t="str">
        <f t="shared" si="65"/>
        <v>N</v>
      </c>
      <c r="X486" s="12" t="str">
        <f t="shared" si="66"/>
        <v>N</v>
      </c>
      <c r="Y486" s="12" t="str">
        <f t="shared" si="67"/>
        <v>N</v>
      </c>
      <c r="Z486" s="12" t="str">
        <f t="shared" si="68"/>
        <v>N</v>
      </c>
      <c r="AA486" s="12">
        <f t="shared" si="69"/>
        <v>1</v>
      </c>
      <c r="AB486" s="12" t="str">
        <f t="shared" si="70"/>
        <v>SINGLE-SIGNAL</v>
      </c>
      <c r="AC486" s="14" t="str">
        <f t="shared" si="71"/>
        <v>Settlement Authorization</v>
      </c>
    </row>
    <row r="487" spans="1:29" x14ac:dyDescent="0.45">
      <c r="A487" s="2" t="s">
        <v>1314</v>
      </c>
      <c r="B487" s="2" t="s">
        <v>1315</v>
      </c>
      <c r="C487" s="2" t="s">
        <v>313</v>
      </c>
      <c r="D487" s="2" t="s">
        <v>189</v>
      </c>
      <c r="E487" s="11">
        <v>43535</v>
      </c>
      <c r="F487" s="12" t="s">
        <v>53</v>
      </c>
      <c r="G487" s="13"/>
      <c r="H487" s="12"/>
      <c r="I487" s="11"/>
      <c r="J487" s="12" t="s">
        <v>53</v>
      </c>
      <c r="K487" s="11"/>
      <c r="L487" s="12"/>
      <c r="M487" s="12" t="s">
        <v>51</v>
      </c>
      <c r="N487" s="11">
        <v>45394</v>
      </c>
      <c r="O487" s="12" t="s">
        <v>1316</v>
      </c>
      <c r="P487" s="12" t="s">
        <v>53</v>
      </c>
      <c r="Q487" s="14"/>
      <c r="R487" s="14"/>
      <c r="S487" s="12" t="s">
        <v>53</v>
      </c>
      <c r="T487" s="11"/>
      <c r="U487" s="12" t="str">
        <f t="shared" si="63"/>
        <v>N</v>
      </c>
      <c r="V487" s="12" t="str">
        <f t="shared" si="64"/>
        <v>N</v>
      </c>
      <c r="W487" s="12" t="str">
        <f t="shared" si="65"/>
        <v>N</v>
      </c>
      <c r="X487" s="12" t="str">
        <f t="shared" si="66"/>
        <v>N</v>
      </c>
      <c r="Y487" s="12" t="str">
        <f t="shared" si="67"/>
        <v>N</v>
      </c>
      <c r="Z487" s="12" t="str">
        <f t="shared" si="68"/>
        <v>N</v>
      </c>
      <c r="AA487" s="12">
        <f t="shared" si="69"/>
        <v>1</v>
      </c>
      <c r="AB487" s="12" t="str">
        <f t="shared" si="70"/>
        <v>SINGLE-SIGNAL</v>
      </c>
      <c r="AC487" s="14" t="str">
        <f t="shared" si="71"/>
        <v>Pending QME</v>
      </c>
    </row>
    <row r="488" spans="1:29" x14ac:dyDescent="0.45">
      <c r="A488" s="2" t="s">
        <v>1317</v>
      </c>
      <c r="B488" s="2" t="s">
        <v>1318</v>
      </c>
      <c r="C488" s="2" t="s">
        <v>313</v>
      </c>
      <c r="D488" s="2" t="s">
        <v>329</v>
      </c>
      <c r="E488" s="11">
        <v>45236</v>
      </c>
      <c r="F488" s="12" t="s">
        <v>51</v>
      </c>
      <c r="G488" s="13">
        <v>89750</v>
      </c>
      <c r="H488" s="12" t="s">
        <v>85</v>
      </c>
      <c r="I488" s="11">
        <v>46431</v>
      </c>
      <c r="J488" s="12" t="s">
        <v>53</v>
      </c>
      <c r="K488" s="11"/>
      <c r="L488" s="12" t="s">
        <v>51</v>
      </c>
      <c r="M488" s="12" t="s">
        <v>53</v>
      </c>
      <c r="N488" s="11"/>
      <c r="O488" s="12"/>
      <c r="P488" s="12" t="s">
        <v>53</v>
      </c>
      <c r="Q488" s="14"/>
      <c r="R488" s="14"/>
      <c r="S488" s="12" t="s">
        <v>53</v>
      </c>
      <c r="T488" s="11"/>
      <c r="U488" s="12" t="str">
        <f t="shared" si="63"/>
        <v>N</v>
      </c>
      <c r="V488" s="12" t="str">
        <f t="shared" si="64"/>
        <v>N</v>
      </c>
      <c r="W488" s="12" t="str">
        <f t="shared" si="65"/>
        <v>N</v>
      </c>
      <c r="X488" s="12" t="str">
        <f t="shared" si="66"/>
        <v>N</v>
      </c>
      <c r="Y488" s="12" t="str">
        <f t="shared" si="67"/>
        <v>N</v>
      </c>
      <c r="Z488" s="12" t="str">
        <f t="shared" si="68"/>
        <v>N</v>
      </c>
      <c r="AA488" s="12">
        <f t="shared" si="69"/>
        <v>1</v>
      </c>
      <c r="AB488" s="12" t="str">
        <f t="shared" si="70"/>
        <v>SINGLE-SIGNAL</v>
      </c>
      <c r="AC488" s="14" t="str">
        <f t="shared" si="71"/>
        <v>Settlement Authorization</v>
      </c>
    </row>
    <row r="489" spans="1:29" x14ac:dyDescent="0.45">
      <c r="A489" s="2" t="s">
        <v>1319</v>
      </c>
      <c r="B489" s="2" t="s">
        <v>1320</v>
      </c>
      <c r="C489" s="2" t="s">
        <v>313</v>
      </c>
      <c r="D489" s="2" t="s">
        <v>844</v>
      </c>
      <c r="E489" s="11">
        <v>45180</v>
      </c>
      <c r="F489" s="12" t="s">
        <v>51</v>
      </c>
      <c r="G489" s="13">
        <v>42750</v>
      </c>
      <c r="H489" s="12" t="s">
        <v>59</v>
      </c>
      <c r="I489" s="11">
        <v>46399</v>
      </c>
      <c r="J489" s="12" t="s">
        <v>53</v>
      </c>
      <c r="K489" s="11"/>
      <c r="L489" s="12" t="s">
        <v>51</v>
      </c>
      <c r="M489" s="12" t="s">
        <v>53</v>
      </c>
      <c r="N489" s="11"/>
      <c r="O489" s="12"/>
      <c r="P489" s="12" t="s">
        <v>53</v>
      </c>
      <c r="Q489" s="14"/>
      <c r="R489" s="14"/>
      <c r="S489" s="12" t="s">
        <v>53</v>
      </c>
      <c r="T489" s="11"/>
      <c r="U489" s="12" t="str">
        <f t="shared" si="63"/>
        <v>N</v>
      </c>
      <c r="V489" s="12" t="str">
        <f t="shared" si="64"/>
        <v>N</v>
      </c>
      <c r="W489" s="12" t="str">
        <f t="shared" si="65"/>
        <v>N</v>
      </c>
      <c r="X489" s="12" t="str">
        <f t="shared" si="66"/>
        <v>N</v>
      </c>
      <c r="Y489" s="12" t="str">
        <f t="shared" si="67"/>
        <v>N</v>
      </c>
      <c r="Z489" s="12" t="str">
        <f t="shared" si="68"/>
        <v>N</v>
      </c>
      <c r="AA489" s="12">
        <f t="shared" si="69"/>
        <v>1</v>
      </c>
      <c r="AB489" s="12" t="str">
        <f t="shared" si="70"/>
        <v>SINGLE-SIGNAL</v>
      </c>
      <c r="AC489" s="14" t="str">
        <f t="shared" si="71"/>
        <v>Settlement Authorization</v>
      </c>
    </row>
    <row r="490" spans="1:29" x14ac:dyDescent="0.45">
      <c r="A490" s="2" t="s">
        <v>1321</v>
      </c>
      <c r="B490" s="2" t="s">
        <v>1322</v>
      </c>
      <c r="C490" s="2" t="s">
        <v>313</v>
      </c>
      <c r="D490" s="2" t="s">
        <v>1108</v>
      </c>
      <c r="E490" s="11">
        <v>43311</v>
      </c>
      <c r="F490" s="12" t="s">
        <v>51</v>
      </c>
      <c r="G490" s="13">
        <v>41750</v>
      </c>
      <c r="H490" s="12" t="s">
        <v>277</v>
      </c>
      <c r="I490" s="11">
        <v>44850</v>
      </c>
      <c r="J490" s="12" t="s">
        <v>53</v>
      </c>
      <c r="K490" s="11"/>
      <c r="L490" s="12" t="s">
        <v>53</v>
      </c>
      <c r="M490" s="12" t="s">
        <v>53</v>
      </c>
      <c r="N490" s="11"/>
      <c r="O490" s="12"/>
      <c r="P490" s="12" t="s">
        <v>53</v>
      </c>
      <c r="Q490" s="14"/>
      <c r="R490" s="14"/>
      <c r="S490" s="12" t="s">
        <v>51</v>
      </c>
      <c r="T490" s="11">
        <v>44776</v>
      </c>
      <c r="U490" s="12" t="str">
        <f t="shared" si="63"/>
        <v>N</v>
      </c>
      <c r="V490" s="12" t="str">
        <f t="shared" si="64"/>
        <v>N</v>
      </c>
      <c r="W490" s="12" t="str">
        <f t="shared" si="65"/>
        <v>N</v>
      </c>
      <c r="X490" s="12" t="str">
        <f t="shared" si="66"/>
        <v>N</v>
      </c>
      <c r="Y490" s="12" t="str">
        <f t="shared" si="67"/>
        <v>N</v>
      </c>
      <c r="Z490" s="12" t="str">
        <f t="shared" si="68"/>
        <v>N</v>
      </c>
      <c r="AA490" s="12">
        <f t="shared" si="69"/>
        <v>2</v>
      </c>
      <c r="AB490" s="12" t="str">
        <f t="shared" si="70"/>
        <v>MULTI-SIGNAL</v>
      </c>
      <c r="AC490" s="14" t="str">
        <f t="shared" si="71"/>
        <v>Settlement Authorization | Inactive Customer</v>
      </c>
    </row>
    <row r="491" spans="1:29" ht="28.5" x14ac:dyDescent="0.45">
      <c r="A491" s="2" t="s">
        <v>1323</v>
      </c>
      <c r="B491" s="2" t="s">
        <v>1324</v>
      </c>
      <c r="C491" s="2" t="s">
        <v>313</v>
      </c>
      <c r="D491" s="2" t="s">
        <v>938</v>
      </c>
      <c r="E491" s="11">
        <v>43578</v>
      </c>
      <c r="F491" s="12" t="s">
        <v>51</v>
      </c>
      <c r="G491" s="13">
        <v>164500</v>
      </c>
      <c r="H491" s="12" t="s">
        <v>59</v>
      </c>
      <c r="I491" s="11">
        <v>43755</v>
      </c>
      <c r="J491" s="12" t="s">
        <v>53</v>
      </c>
      <c r="K491" s="11"/>
      <c r="L491" s="12" t="s">
        <v>51</v>
      </c>
      <c r="M491" s="12" t="s">
        <v>51</v>
      </c>
      <c r="N491" s="11">
        <v>45151</v>
      </c>
      <c r="O491" s="12" t="s">
        <v>440</v>
      </c>
      <c r="P491" s="12" t="s">
        <v>53</v>
      </c>
      <c r="Q491" s="14"/>
      <c r="R491" s="14"/>
      <c r="S491" s="12" t="s">
        <v>51</v>
      </c>
      <c r="T491" s="11">
        <v>44809</v>
      </c>
      <c r="U491" s="12" t="str">
        <f t="shared" si="63"/>
        <v>N</v>
      </c>
      <c r="V491" s="12" t="str">
        <f t="shared" si="64"/>
        <v>N</v>
      </c>
      <c r="W491" s="12" t="str">
        <f t="shared" si="65"/>
        <v>N</v>
      </c>
      <c r="X491" s="12" t="str">
        <f t="shared" si="66"/>
        <v>N</v>
      </c>
      <c r="Y491" s="12" t="str">
        <f t="shared" si="67"/>
        <v>N</v>
      </c>
      <c r="Z491" s="12" t="str">
        <f t="shared" si="68"/>
        <v>N</v>
      </c>
      <c r="AA491" s="12">
        <f t="shared" si="69"/>
        <v>3</v>
      </c>
      <c r="AB491" s="12" t="str">
        <f t="shared" si="70"/>
        <v>ELEVATED MULTI-SIGNAL</v>
      </c>
      <c r="AC491" s="14" t="str">
        <f t="shared" si="71"/>
        <v>Settlement Authorization | Pending QME | Inactive Customer</v>
      </c>
    </row>
    <row r="492" spans="1:29" ht="28.5" x14ac:dyDescent="0.45">
      <c r="A492" s="2" t="s">
        <v>1325</v>
      </c>
      <c r="B492" s="2" t="s">
        <v>1326</v>
      </c>
      <c r="C492" s="2" t="s">
        <v>313</v>
      </c>
      <c r="D492" s="2" t="s">
        <v>74</v>
      </c>
      <c r="E492" s="11">
        <v>45214</v>
      </c>
      <c r="F492" s="12" t="s">
        <v>51</v>
      </c>
      <c r="G492" s="13">
        <v>20750</v>
      </c>
      <c r="H492" s="12" t="s">
        <v>71</v>
      </c>
      <c r="I492" s="11">
        <v>46090</v>
      </c>
      <c r="J492" s="12" t="s">
        <v>53</v>
      </c>
      <c r="K492" s="11"/>
      <c r="L492" s="12" t="s">
        <v>53</v>
      </c>
      <c r="M492" s="12" t="s">
        <v>53</v>
      </c>
      <c r="N492" s="11"/>
      <c r="O492" s="12"/>
      <c r="P492" s="12" t="s">
        <v>51</v>
      </c>
      <c r="Q492" s="14" t="s">
        <v>919</v>
      </c>
      <c r="R492" s="14"/>
      <c r="S492" s="12" t="s">
        <v>51</v>
      </c>
      <c r="T492" s="11">
        <v>46490</v>
      </c>
      <c r="U492" s="12" t="str">
        <f t="shared" si="63"/>
        <v>N</v>
      </c>
      <c r="V492" s="12" t="str">
        <f t="shared" si="64"/>
        <v>Y</v>
      </c>
      <c r="W492" s="12" t="str">
        <f t="shared" si="65"/>
        <v>N</v>
      </c>
      <c r="X492" s="12" t="str">
        <f t="shared" si="66"/>
        <v>N</v>
      </c>
      <c r="Y492" s="12" t="str">
        <f t="shared" si="67"/>
        <v>Y</v>
      </c>
      <c r="Z492" s="12" t="str">
        <f t="shared" si="68"/>
        <v>Y</v>
      </c>
      <c r="AA492" s="12">
        <f t="shared" si="69"/>
        <v>3</v>
      </c>
      <c r="AB492" s="12" t="str">
        <f t="shared" si="70"/>
        <v>ELEVATED MULTI-SIGNAL</v>
      </c>
      <c r="AC492" s="14" t="str">
        <f t="shared" si="71"/>
        <v>Settlement Authorization | Automated Claim Alert | Inactive Customer</v>
      </c>
    </row>
    <row r="493" spans="1:29" ht="28.5" x14ac:dyDescent="0.45">
      <c r="A493" s="2" t="s">
        <v>1327</v>
      </c>
      <c r="B493" s="2" t="s">
        <v>1328</v>
      </c>
      <c r="C493" s="2" t="s">
        <v>313</v>
      </c>
      <c r="D493" s="2" t="s">
        <v>289</v>
      </c>
      <c r="E493" s="11">
        <v>45504</v>
      </c>
      <c r="F493" s="12" t="s">
        <v>51</v>
      </c>
      <c r="G493" s="13">
        <v>66750</v>
      </c>
      <c r="H493" s="12" t="s">
        <v>78</v>
      </c>
      <c r="I493" s="11">
        <v>47214</v>
      </c>
      <c r="J493" s="12" t="s">
        <v>53</v>
      </c>
      <c r="K493" s="11"/>
      <c r="L493" s="12" t="s">
        <v>51</v>
      </c>
      <c r="M493" s="12" t="s">
        <v>53</v>
      </c>
      <c r="N493" s="11"/>
      <c r="O493" s="12"/>
      <c r="P493" s="12" t="s">
        <v>51</v>
      </c>
      <c r="Q493" s="14" t="s">
        <v>777</v>
      </c>
      <c r="R493" s="14"/>
      <c r="S493" s="12" t="s">
        <v>53</v>
      </c>
      <c r="T493" s="11"/>
      <c r="U493" s="12" t="str">
        <f t="shared" si="63"/>
        <v>N</v>
      </c>
      <c r="V493" s="12" t="str">
        <f t="shared" si="64"/>
        <v>Y</v>
      </c>
      <c r="W493" s="12" t="str">
        <f t="shared" si="65"/>
        <v>N</v>
      </c>
      <c r="X493" s="12" t="str">
        <f t="shared" si="66"/>
        <v>Y</v>
      </c>
      <c r="Y493" s="12" t="str">
        <f t="shared" si="67"/>
        <v>N</v>
      </c>
      <c r="Z493" s="12" t="str">
        <f t="shared" si="68"/>
        <v>N</v>
      </c>
      <c r="AA493" s="12">
        <f t="shared" si="69"/>
        <v>2</v>
      </c>
      <c r="AB493" s="12" t="str">
        <f t="shared" si="70"/>
        <v>MULTI-SIGNAL</v>
      </c>
      <c r="AC493" s="14" t="str">
        <f t="shared" si="71"/>
        <v>Settlement Authorization | Automated Claim Alert</v>
      </c>
    </row>
    <row r="494" spans="1:29" ht="28.5" x14ac:dyDescent="0.45">
      <c r="A494" s="2" t="s">
        <v>1329</v>
      </c>
      <c r="B494" s="2" t="s">
        <v>1330</v>
      </c>
      <c r="C494" s="2" t="s">
        <v>313</v>
      </c>
      <c r="D494" s="2" t="s">
        <v>397</v>
      </c>
      <c r="E494" s="11">
        <v>45285</v>
      </c>
      <c r="F494" s="12" t="s">
        <v>51</v>
      </c>
      <c r="G494" s="13">
        <v>54750</v>
      </c>
      <c r="H494" s="12" t="s">
        <v>242</v>
      </c>
      <c r="I494" s="11">
        <v>46696</v>
      </c>
      <c r="J494" s="12" t="s">
        <v>53</v>
      </c>
      <c r="K494" s="11"/>
      <c r="L494" s="12" t="s">
        <v>51</v>
      </c>
      <c r="M494" s="12" t="s">
        <v>53</v>
      </c>
      <c r="N494" s="11"/>
      <c r="O494" s="12"/>
      <c r="P494" s="12" t="s">
        <v>51</v>
      </c>
      <c r="Q494" s="14" t="s">
        <v>222</v>
      </c>
      <c r="R494" s="14" t="s">
        <v>223</v>
      </c>
      <c r="S494" s="12" t="s">
        <v>53</v>
      </c>
      <c r="T494" s="11"/>
      <c r="U494" s="12" t="str">
        <f t="shared" si="63"/>
        <v>Y</v>
      </c>
      <c r="V494" s="12" t="str">
        <f t="shared" si="64"/>
        <v>N</v>
      </c>
      <c r="W494" s="12" t="str">
        <f t="shared" si="65"/>
        <v>N</v>
      </c>
      <c r="X494" s="12" t="str">
        <f t="shared" si="66"/>
        <v>Y</v>
      </c>
      <c r="Y494" s="12" t="str">
        <f t="shared" si="67"/>
        <v>Y</v>
      </c>
      <c r="Z494" s="12" t="str">
        <f t="shared" si="68"/>
        <v>N</v>
      </c>
      <c r="AA494" s="12">
        <f t="shared" si="69"/>
        <v>2</v>
      </c>
      <c r="AB494" s="12" t="str">
        <f t="shared" si="70"/>
        <v>MULTI-SIGNAL</v>
      </c>
      <c r="AC494" s="14" t="str">
        <f t="shared" si="71"/>
        <v>Settlement Authorization | Automated Claim Alert</v>
      </c>
    </row>
    <row r="495" spans="1:29" x14ac:dyDescent="0.45">
      <c r="A495" s="2" t="s">
        <v>1331</v>
      </c>
      <c r="B495" s="2" t="s">
        <v>1332</v>
      </c>
      <c r="C495" s="2" t="s">
        <v>313</v>
      </c>
      <c r="D495" s="2" t="s">
        <v>516</v>
      </c>
      <c r="E495" s="11">
        <v>43808</v>
      </c>
      <c r="F495" s="12" t="s">
        <v>51</v>
      </c>
      <c r="G495" s="13">
        <v>46750</v>
      </c>
      <c r="H495" s="12" t="s">
        <v>52</v>
      </c>
      <c r="I495" s="11">
        <v>45509</v>
      </c>
      <c r="J495" s="12" t="s">
        <v>53</v>
      </c>
      <c r="K495" s="11"/>
      <c r="L495" s="12" t="s">
        <v>53</v>
      </c>
      <c r="M495" s="12" t="s">
        <v>53</v>
      </c>
      <c r="N495" s="11"/>
      <c r="O495" s="12"/>
      <c r="P495" s="12" t="s">
        <v>53</v>
      </c>
      <c r="Q495" s="14"/>
      <c r="R495" s="14"/>
      <c r="S495" s="12" t="s">
        <v>53</v>
      </c>
      <c r="T495" s="11"/>
      <c r="U495" s="12" t="str">
        <f t="shared" si="63"/>
        <v>N</v>
      </c>
      <c r="V495" s="12" t="str">
        <f t="shared" si="64"/>
        <v>N</v>
      </c>
      <c r="W495" s="12" t="str">
        <f t="shared" si="65"/>
        <v>N</v>
      </c>
      <c r="X495" s="12" t="str">
        <f t="shared" si="66"/>
        <v>N</v>
      </c>
      <c r="Y495" s="12" t="str">
        <f t="shared" si="67"/>
        <v>N</v>
      </c>
      <c r="Z495" s="12" t="str">
        <f t="shared" si="68"/>
        <v>N</v>
      </c>
      <c r="AA495" s="12">
        <f t="shared" si="69"/>
        <v>1</v>
      </c>
      <c r="AB495" s="12" t="str">
        <f t="shared" si="70"/>
        <v>SINGLE-SIGNAL</v>
      </c>
      <c r="AC495" s="14" t="str">
        <f t="shared" si="71"/>
        <v>Settlement Authorization</v>
      </c>
    </row>
    <row r="496" spans="1:29" x14ac:dyDescent="0.45">
      <c r="A496" s="2" t="s">
        <v>1333</v>
      </c>
      <c r="B496" s="2" t="s">
        <v>1334</v>
      </c>
      <c r="C496" s="2" t="s">
        <v>313</v>
      </c>
      <c r="D496" s="2" t="s">
        <v>642</v>
      </c>
      <c r="E496" s="11">
        <v>43430</v>
      </c>
      <c r="F496" s="12" t="s">
        <v>51</v>
      </c>
      <c r="G496" s="13">
        <v>71000</v>
      </c>
      <c r="H496" s="12" t="s">
        <v>93</v>
      </c>
      <c r="I496" s="11">
        <v>44951</v>
      </c>
      <c r="J496" s="12" t="s">
        <v>51</v>
      </c>
      <c r="K496" s="11">
        <v>44335</v>
      </c>
      <c r="L496" s="12" t="s">
        <v>53</v>
      </c>
      <c r="M496" s="12" t="s">
        <v>53</v>
      </c>
      <c r="N496" s="11"/>
      <c r="O496" s="12"/>
      <c r="P496" s="12" t="s">
        <v>53</v>
      </c>
      <c r="Q496" s="14"/>
      <c r="R496" s="14"/>
      <c r="S496" s="12" t="s">
        <v>53</v>
      </c>
      <c r="T496" s="11"/>
      <c r="U496" s="12" t="str">
        <f t="shared" si="63"/>
        <v>N</v>
      </c>
      <c r="V496" s="12" t="str">
        <f t="shared" si="64"/>
        <v>N</v>
      </c>
      <c r="W496" s="12" t="str">
        <f t="shared" si="65"/>
        <v>N</v>
      </c>
      <c r="X496" s="12" t="str">
        <f t="shared" si="66"/>
        <v>N</v>
      </c>
      <c r="Y496" s="12" t="str">
        <f t="shared" si="67"/>
        <v>N</v>
      </c>
      <c r="Z496" s="12" t="str">
        <f t="shared" si="68"/>
        <v>N</v>
      </c>
      <c r="AA496" s="12">
        <f t="shared" si="69"/>
        <v>2</v>
      </c>
      <c r="AB496" s="12" t="str">
        <f t="shared" si="70"/>
        <v>MULTI-SIGNAL</v>
      </c>
      <c r="AC496" s="14" t="str">
        <f t="shared" si="71"/>
        <v>Settlement Authorization | Open Stipulation</v>
      </c>
    </row>
    <row r="497" spans="1:29" ht="28.5" x14ac:dyDescent="0.45">
      <c r="A497" s="2" t="s">
        <v>1335</v>
      </c>
      <c r="B497" s="2" t="s">
        <v>1336</v>
      </c>
      <c r="C497" s="2" t="s">
        <v>313</v>
      </c>
      <c r="D497" s="2" t="s">
        <v>353</v>
      </c>
      <c r="E497" s="11">
        <v>44323</v>
      </c>
      <c r="F497" s="12" t="s">
        <v>53</v>
      </c>
      <c r="G497" s="13"/>
      <c r="H497" s="12"/>
      <c r="I497" s="11"/>
      <c r="J497" s="12" t="s">
        <v>53</v>
      </c>
      <c r="K497" s="11"/>
      <c r="L497" s="12"/>
      <c r="M497" s="12" t="s">
        <v>53</v>
      </c>
      <c r="N497" s="11"/>
      <c r="O497" s="12"/>
      <c r="P497" s="12" t="s">
        <v>51</v>
      </c>
      <c r="Q497" s="14" t="s">
        <v>222</v>
      </c>
      <c r="R497" s="14" t="s">
        <v>462</v>
      </c>
      <c r="S497" s="12" t="s">
        <v>53</v>
      </c>
      <c r="T497" s="11"/>
      <c r="U497" s="12" t="str">
        <f t="shared" si="63"/>
        <v>N</v>
      </c>
      <c r="V497" s="12" t="str">
        <f t="shared" si="64"/>
        <v>Y</v>
      </c>
      <c r="W497" s="12" t="str">
        <f t="shared" si="65"/>
        <v>N</v>
      </c>
      <c r="X497" s="12" t="str">
        <f t="shared" si="66"/>
        <v>N</v>
      </c>
      <c r="Y497" s="12" t="str">
        <f t="shared" si="67"/>
        <v>Y</v>
      </c>
      <c r="Z497" s="12" t="str">
        <f t="shared" si="68"/>
        <v>Y</v>
      </c>
      <c r="AA497" s="12">
        <f t="shared" si="69"/>
        <v>1</v>
      </c>
      <c r="AB497" s="12" t="str">
        <f t="shared" si="70"/>
        <v>SINGLE-SIGNAL</v>
      </c>
      <c r="AC497" s="14" t="str">
        <f t="shared" si="71"/>
        <v>Automated Claim Alert</v>
      </c>
    </row>
    <row r="498" spans="1:29" x14ac:dyDescent="0.45">
      <c r="A498" s="2" t="s">
        <v>1337</v>
      </c>
      <c r="B498" s="2" t="s">
        <v>1338</v>
      </c>
      <c r="C498" s="2" t="s">
        <v>367</v>
      </c>
      <c r="D498" s="2" t="s">
        <v>221</v>
      </c>
      <c r="E498" s="11">
        <v>43833</v>
      </c>
      <c r="F498" s="12" t="s">
        <v>53</v>
      </c>
      <c r="G498" s="13"/>
      <c r="H498" s="12"/>
      <c r="I498" s="11"/>
      <c r="J498" s="12" t="s">
        <v>51</v>
      </c>
      <c r="K498" s="11">
        <v>44308</v>
      </c>
      <c r="L498" s="12" t="s">
        <v>53</v>
      </c>
      <c r="M498" s="12" t="s">
        <v>53</v>
      </c>
      <c r="N498" s="11"/>
      <c r="O498" s="12"/>
      <c r="P498" s="12" t="s">
        <v>53</v>
      </c>
      <c r="Q498" s="14"/>
      <c r="R498" s="14"/>
      <c r="S498" s="12" t="s">
        <v>53</v>
      </c>
      <c r="T498" s="11"/>
      <c r="U498" s="12" t="str">
        <f t="shared" si="63"/>
        <v>N</v>
      </c>
      <c r="V498" s="12" t="str">
        <f t="shared" si="64"/>
        <v>N</v>
      </c>
      <c r="W498" s="12" t="str">
        <f t="shared" si="65"/>
        <v>N</v>
      </c>
      <c r="X498" s="12" t="str">
        <f t="shared" si="66"/>
        <v>N</v>
      </c>
      <c r="Y498" s="12" t="str">
        <f t="shared" si="67"/>
        <v>N</v>
      </c>
      <c r="Z498" s="12" t="str">
        <f t="shared" si="68"/>
        <v>N</v>
      </c>
      <c r="AA498" s="12">
        <f t="shared" si="69"/>
        <v>1</v>
      </c>
      <c r="AB498" s="12" t="str">
        <f t="shared" si="70"/>
        <v>SINGLE-SIGNAL</v>
      </c>
      <c r="AC498" s="14" t="str">
        <f t="shared" si="71"/>
        <v>Open Stipulation</v>
      </c>
    </row>
    <row r="499" spans="1:29" ht="28.5" x14ac:dyDescent="0.45">
      <c r="A499" s="2" t="s">
        <v>1339</v>
      </c>
      <c r="B499" s="2" t="s">
        <v>1340</v>
      </c>
      <c r="C499" s="2" t="s">
        <v>367</v>
      </c>
      <c r="D499" s="2" t="s">
        <v>221</v>
      </c>
      <c r="E499" s="11">
        <v>44690</v>
      </c>
      <c r="F499" s="12" t="s">
        <v>53</v>
      </c>
      <c r="G499" s="13"/>
      <c r="H499" s="12"/>
      <c r="I499" s="11"/>
      <c r="J499" s="12" t="s">
        <v>53</v>
      </c>
      <c r="K499" s="11"/>
      <c r="L499" s="12"/>
      <c r="M499" s="12" t="s">
        <v>53</v>
      </c>
      <c r="N499" s="11"/>
      <c r="O499" s="12"/>
      <c r="P499" s="12" t="s">
        <v>51</v>
      </c>
      <c r="Q499" s="14" t="s">
        <v>416</v>
      </c>
      <c r="R499" s="14" t="s">
        <v>149</v>
      </c>
      <c r="S499" s="12" t="s">
        <v>53</v>
      </c>
      <c r="T499" s="11"/>
      <c r="U499" s="12" t="str">
        <f t="shared" si="63"/>
        <v>N</v>
      </c>
      <c r="V499" s="12" t="str">
        <f t="shared" si="64"/>
        <v>N</v>
      </c>
      <c r="W499" s="12" t="str">
        <f t="shared" si="65"/>
        <v>Y</v>
      </c>
      <c r="X499" s="12" t="str">
        <f t="shared" si="66"/>
        <v>N</v>
      </c>
      <c r="Y499" s="12" t="str">
        <f t="shared" si="67"/>
        <v>Y</v>
      </c>
      <c r="Z499" s="12" t="str">
        <f t="shared" si="68"/>
        <v>Y</v>
      </c>
      <c r="AA499" s="12">
        <f t="shared" si="69"/>
        <v>1</v>
      </c>
      <c r="AB499" s="12" t="str">
        <f t="shared" si="70"/>
        <v>SINGLE-SIGNAL</v>
      </c>
      <c r="AC499" s="14" t="str">
        <f t="shared" si="71"/>
        <v>Automated Claim Alert</v>
      </c>
    </row>
    <row r="500" spans="1:29" x14ac:dyDescent="0.45">
      <c r="A500" s="2" t="s">
        <v>1341</v>
      </c>
      <c r="B500" s="2" t="s">
        <v>1342</v>
      </c>
      <c r="C500" s="2" t="s">
        <v>367</v>
      </c>
      <c r="D500" s="2" t="s">
        <v>320</v>
      </c>
      <c r="E500" s="11">
        <v>44189</v>
      </c>
      <c r="F500" s="12" t="s">
        <v>53</v>
      </c>
      <c r="G500" s="13"/>
      <c r="H500" s="12"/>
      <c r="I500" s="11"/>
      <c r="J500" s="12" t="s">
        <v>53</v>
      </c>
      <c r="K500" s="11"/>
      <c r="L500" s="12"/>
      <c r="M500" s="12" t="s">
        <v>51</v>
      </c>
      <c r="N500" s="11">
        <v>45478</v>
      </c>
      <c r="O500" s="12" t="s">
        <v>338</v>
      </c>
      <c r="P500" s="12" t="s">
        <v>53</v>
      </c>
      <c r="Q500" s="14"/>
      <c r="R500" s="14"/>
      <c r="S500" s="12" t="s">
        <v>53</v>
      </c>
      <c r="T500" s="11"/>
      <c r="U500" s="12" t="str">
        <f t="shared" si="63"/>
        <v>N</v>
      </c>
      <c r="V500" s="12" t="str">
        <f t="shared" si="64"/>
        <v>N</v>
      </c>
      <c r="W500" s="12" t="str">
        <f t="shared" si="65"/>
        <v>N</v>
      </c>
      <c r="X500" s="12" t="str">
        <f t="shared" si="66"/>
        <v>N</v>
      </c>
      <c r="Y500" s="12" t="str">
        <f t="shared" si="67"/>
        <v>N</v>
      </c>
      <c r="Z500" s="12" t="str">
        <f t="shared" si="68"/>
        <v>N</v>
      </c>
      <c r="AA500" s="12">
        <f t="shared" si="69"/>
        <v>1</v>
      </c>
      <c r="AB500" s="12" t="str">
        <f t="shared" si="70"/>
        <v>SINGLE-SIGNAL</v>
      </c>
      <c r="AC500" s="14" t="str">
        <f t="shared" si="71"/>
        <v>Pending QME</v>
      </c>
    </row>
    <row r="501" spans="1:29" x14ac:dyDescent="0.45">
      <c r="A501" s="2" t="s">
        <v>1343</v>
      </c>
      <c r="B501" s="2" t="s">
        <v>1344</v>
      </c>
      <c r="C501" s="2" t="s">
        <v>367</v>
      </c>
      <c r="D501" s="2" t="s">
        <v>164</v>
      </c>
      <c r="E501" s="11">
        <v>44146</v>
      </c>
      <c r="F501" s="12" t="s">
        <v>53</v>
      </c>
      <c r="G501" s="13"/>
      <c r="H501" s="12"/>
      <c r="I501" s="11"/>
      <c r="J501" s="12" t="s">
        <v>53</v>
      </c>
      <c r="K501" s="11"/>
      <c r="L501" s="12"/>
      <c r="M501" s="12" t="s">
        <v>53</v>
      </c>
      <c r="N501" s="11"/>
      <c r="O501" s="12"/>
      <c r="P501" s="12" t="s">
        <v>53</v>
      </c>
      <c r="Q501" s="14"/>
      <c r="R501" s="14"/>
      <c r="S501" s="12" t="s">
        <v>51</v>
      </c>
      <c r="T501" s="11">
        <v>44962</v>
      </c>
      <c r="U501" s="12" t="str">
        <f t="shared" si="63"/>
        <v>N</v>
      </c>
      <c r="V501" s="12" t="str">
        <f t="shared" si="64"/>
        <v>N</v>
      </c>
      <c r="W501" s="12" t="str">
        <f t="shared" si="65"/>
        <v>N</v>
      </c>
      <c r="X501" s="12" t="str">
        <f t="shared" si="66"/>
        <v>N</v>
      </c>
      <c r="Y501" s="12" t="str">
        <f t="shared" si="67"/>
        <v>N</v>
      </c>
      <c r="Z501" s="12" t="str">
        <f t="shared" si="68"/>
        <v>N</v>
      </c>
      <c r="AA501" s="12">
        <f t="shared" si="69"/>
        <v>1</v>
      </c>
      <c r="AB501" s="12" t="str">
        <f t="shared" si="70"/>
        <v>SINGLE-SIGNAL</v>
      </c>
      <c r="AC501" s="14" t="str">
        <f t="shared" si="71"/>
        <v>Inactive Customer</v>
      </c>
    </row>
    <row r="502" spans="1:29" ht="42.75" x14ac:dyDescent="0.45">
      <c r="A502" s="2" t="s">
        <v>1345</v>
      </c>
      <c r="B502" s="2" t="s">
        <v>1346</v>
      </c>
      <c r="C502" s="2" t="s">
        <v>367</v>
      </c>
      <c r="D502" s="2" t="s">
        <v>986</v>
      </c>
      <c r="E502" s="11">
        <v>43538</v>
      </c>
      <c r="F502" s="12" t="s">
        <v>53</v>
      </c>
      <c r="G502" s="13"/>
      <c r="H502" s="12"/>
      <c r="I502" s="11"/>
      <c r="J502" s="12" t="s">
        <v>53</v>
      </c>
      <c r="K502" s="11"/>
      <c r="L502" s="12"/>
      <c r="M502" s="12" t="s">
        <v>53</v>
      </c>
      <c r="N502" s="11"/>
      <c r="O502" s="12"/>
      <c r="P502" s="12" t="s">
        <v>51</v>
      </c>
      <c r="Q502" s="14" t="s">
        <v>1347</v>
      </c>
      <c r="R502" s="14"/>
      <c r="S502" s="12" t="s">
        <v>51</v>
      </c>
      <c r="T502" s="11">
        <v>45549</v>
      </c>
      <c r="U502" s="12" t="str">
        <f t="shared" si="63"/>
        <v>N</v>
      </c>
      <c r="V502" s="12" t="str">
        <f t="shared" si="64"/>
        <v>N</v>
      </c>
      <c r="W502" s="12" t="str">
        <f t="shared" si="65"/>
        <v>Y</v>
      </c>
      <c r="X502" s="12" t="str">
        <f t="shared" si="66"/>
        <v>Y</v>
      </c>
      <c r="Y502" s="12" t="str">
        <f t="shared" si="67"/>
        <v>N</v>
      </c>
      <c r="Z502" s="12" t="str">
        <f t="shared" si="68"/>
        <v>Y</v>
      </c>
      <c r="AA502" s="12">
        <f t="shared" si="69"/>
        <v>2</v>
      </c>
      <c r="AB502" s="12" t="str">
        <f t="shared" si="70"/>
        <v>MULTI-SIGNAL</v>
      </c>
      <c r="AC502" s="14" t="str">
        <f t="shared" si="71"/>
        <v>Automated Claim Alert | Inactive Customer</v>
      </c>
    </row>
    <row r="503" spans="1:29" ht="28.5" x14ac:dyDescent="0.45">
      <c r="A503" s="2" t="s">
        <v>1348</v>
      </c>
      <c r="B503" s="2" t="s">
        <v>1349</v>
      </c>
      <c r="C503" s="2" t="s">
        <v>367</v>
      </c>
      <c r="D503" s="2" t="s">
        <v>725</v>
      </c>
      <c r="E503" s="11">
        <v>43488</v>
      </c>
      <c r="F503" s="12" t="s">
        <v>51</v>
      </c>
      <c r="G503" s="13">
        <v>157500</v>
      </c>
      <c r="H503" s="12" t="s">
        <v>78</v>
      </c>
      <c r="I503" s="11">
        <v>43567</v>
      </c>
      <c r="J503" s="12" t="s">
        <v>51</v>
      </c>
      <c r="K503" s="11">
        <v>44294</v>
      </c>
      <c r="L503" s="12" t="s">
        <v>51</v>
      </c>
      <c r="M503" s="12" t="s">
        <v>53</v>
      </c>
      <c r="N503" s="11"/>
      <c r="O503" s="12"/>
      <c r="P503" s="12" t="s">
        <v>53</v>
      </c>
      <c r="Q503" s="14"/>
      <c r="R503" s="14"/>
      <c r="S503" s="12" t="s">
        <v>51</v>
      </c>
      <c r="T503" s="11">
        <v>44851</v>
      </c>
      <c r="U503" s="12" t="str">
        <f t="shared" si="63"/>
        <v>N</v>
      </c>
      <c r="V503" s="12" t="str">
        <f t="shared" si="64"/>
        <v>N</v>
      </c>
      <c r="W503" s="12" t="str">
        <f t="shared" si="65"/>
        <v>N</v>
      </c>
      <c r="X503" s="12" t="str">
        <f t="shared" si="66"/>
        <v>N</v>
      </c>
      <c r="Y503" s="12" t="str">
        <f t="shared" si="67"/>
        <v>N</v>
      </c>
      <c r="Z503" s="12" t="str">
        <f t="shared" si="68"/>
        <v>N</v>
      </c>
      <c r="AA503" s="12">
        <f t="shared" si="69"/>
        <v>3</v>
      </c>
      <c r="AB503" s="12" t="str">
        <f t="shared" si="70"/>
        <v>ELEVATED MULTI-SIGNAL</v>
      </c>
      <c r="AC503" s="14" t="str">
        <f t="shared" si="71"/>
        <v>Settlement Authorization | Open Stipulation | Inactive Customer</v>
      </c>
    </row>
    <row r="504" spans="1:29" ht="28.5" x14ac:dyDescent="0.45">
      <c r="A504" s="2" t="s">
        <v>1350</v>
      </c>
      <c r="B504" s="2" t="s">
        <v>1351</v>
      </c>
      <c r="C504" s="2" t="s">
        <v>367</v>
      </c>
      <c r="D504" s="2" t="s">
        <v>933</v>
      </c>
      <c r="E504" s="11">
        <v>45661</v>
      </c>
      <c r="F504" s="12" t="s">
        <v>51</v>
      </c>
      <c r="G504" s="13">
        <v>118000</v>
      </c>
      <c r="H504" s="12" t="s">
        <v>277</v>
      </c>
      <c r="I504" s="11">
        <v>47411</v>
      </c>
      <c r="J504" s="12" t="s">
        <v>53</v>
      </c>
      <c r="K504" s="11"/>
      <c r="L504" s="12" t="s">
        <v>51</v>
      </c>
      <c r="M504" s="12" t="s">
        <v>53</v>
      </c>
      <c r="N504" s="11"/>
      <c r="O504" s="12"/>
      <c r="P504" s="12" t="s">
        <v>51</v>
      </c>
      <c r="Q504" s="14" t="s">
        <v>209</v>
      </c>
      <c r="R504" s="14" t="s">
        <v>402</v>
      </c>
      <c r="S504" s="12" t="s">
        <v>53</v>
      </c>
      <c r="T504" s="11"/>
      <c r="U504" s="12" t="str">
        <f t="shared" si="63"/>
        <v>Y</v>
      </c>
      <c r="V504" s="12" t="str">
        <f t="shared" si="64"/>
        <v>Y</v>
      </c>
      <c r="W504" s="12" t="str">
        <f t="shared" si="65"/>
        <v>N</v>
      </c>
      <c r="X504" s="12" t="str">
        <f t="shared" si="66"/>
        <v>Y</v>
      </c>
      <c r="Y504" s="12" t="str">
        <f t="shared" si="67"/>
        <v>N</v>
      </c>
      <c r="Z504" s="12" t="str">
        <f t="shared" si="68"/>
        <v>N</v>
      </c>
      <c r="AA504" s="12">
        <f t="shared" si="69"/>
        <v>2</v>
      </c>
      <c r="AB504" s="12" t="str">
        <f t="shared" si="70"/>
        <v>MULTI-SIGNAL</v>
      </c>
      <c r="AC504" s="14" t="str">
        <f t="shared" si="71"/>
        <v>Settlement Authorization | Automated Claim Alert</v>
      </c>
    </row>
    <row r="505" spans="1:29" x14ac:dyDescent="0.45">
      <c r="A505" s="2" t="s">
        <v>1352</v>
      </c>
      <c r="B505" s="2" t="s">
        <v>1353</v>
      </c>
      <c r="C505" s="2" t="s">
        <v>367</v>
      </c>
      <c r="D505" s="2" t="s">
        <v>827</v>
      </c>
      <c r="E505" s="11">
        <v>45316</v>
      </c>
      <c r="F505" s="12" t="s">
        <v>53</v>
      </c>
      <c r="G505" s="13"/>
      <c r="H505" s="12"/>
      <c r="I505" s="11"/>
      <c r="J505" s="12" t="s">
        <v>53</v>
      </c>
      <c r="K505" s="11"/>
      <c r="L505" s="12"/>
      <c r="M505" s="12" t="s">
        <v>53</v>
      </c>
      <c r="N505" s="11"/>
      <c r="O505" s="12"/>
      <c r="P505" s="12" t="s">
        <v>53</v>
      </c>
      <c r="Q505" s="14"/>
      <c r="R505" s="14"/>
      <c r="S505" s="12" t="s">
        <v>51</v>
      </c>
      <c r="T505" s="11">
        <v>46405</v>
      </c>
      <c r="U505" s="12" t="str">
        <f t="shared" si="63"/>
        <v>N</v>
      </c>
      <c r="V505" s="12" t="str">
        <f t="shared" si="64"/>
        <v>N</v>
      </c>
      <c r="W505" s="12" t="str">
        <f t="shared" si="65"/>
        <v>N</v>
      </c>
      <c r="X505" s="12" t="str">
        <f t="shared" si="66"/>
        <v>N</v>
      </c>
      <c r="Y505" s="12" t="str">
        <f t="shared" si="67"/>
        <v>N</v>
      </c>
      <c r="Z505" s="12" t="str">
        <f t="shared" si="68"/>
        <v>N</v>
      </c>
      <c r="AA505" s="12">
        <f t="shared" si="69"/>
        <v>1</v>
      </c>
      <c r="AB505" s="12" t="str">
        <f t="shared" si="70"/>
        <v>SINGLE-SIGNAL</v>
      </c>
      <c r="AC505" s="14" t="str">
        <f t="shared" si="71"/>
        <v>Inactive Customer</v>
      </c>
    </row>
    <row r="506" spans="1:29" x14ac:dyDescent="0.45">
      <c r="A506" s="2" t="s">
        <v>1354</v>
      </c>
      <c r="B506" s="2" t="s">
        <v>1355</v>
      </c>
      <c r="C506" s="2" t="s">
        <v>367</v>
      </c>
      <c r="D506" s="2" t="s">
        <v>77</v>
      </c>
      <c r="E506" s="11">
        <v>43987</v>
      </c>
      <c r="F506" s="12" t="s">
        <v>51</v>
      </c>
      <c r="G506" s="13">
        <v>114500</v>
      </c>
      <c r="H506" s="12" t="s">
        <v>277</v>
      </c>
      <c r="I506" s="11">
        <v>45730</v>
      </c>
      <c r="J506" s="12" t="s">
        <v>53</v>
      </c>
      <c r="K506" s="11"/>
      <c r="L506" s="12" t="s">
        <v>53</v>
      </c>
      <c r="M506" s="12" t="s">
        <v>53</v>
      </c>
      <c r="N506" s="11"/>
      <c r="O506" s="12"/>
      <c r="P506" s="12" t="s">
        <v>53</v>
      </c>
      <c r="Q506" s="14"/>
      <c r="R506" s="14"/>
      <c r="S506" s="12" t="s">
        <v>53</v>
      </c>
      <c r="T506" s="11"/>
      <c r="U506" s="12" t="str">
        <f t="shared" si="63"/>
        <v>N</v>
      </c>
      <c r="V506" s="12" t="str">
        <f t="shared" si="64"/>
        <v>N</v>
      </c>
      <c r="W506" s="12" t="str">
        <f t="shared" si="65"/>
        <v>N</v>
      </c>
      <c r="X506" s="12" t="str">
        <f t="shared" si="66"/>
        <v>N</v>
      </c>
      <c r="Y506" s="12" t="str">
        <f t="shared" si="67"/>
        <v>N</v>
      </c>
      <c r="Z506" s="12" t="str">
        <f t="shared" si="68"/>
        <v>N</v>
      </c>
      <c r="AA506" s="12">
        <f t="shared" si="69"/>
        <v>1</v>
      </c>
      <c r="AB506" s="12" t="str">
        <f t="shared" si="70"/>
        <v>SINGLE-SIGNAL</v>
      </c>
      <c r="AC506" s="14" t="str">
        <f t="shared" si="71"/>
        <v>Settlement Authorization</v>
      </c>
    </row>
    <row r="507" spans="1:29" x14ac:dyDescent="0.45">
      <c r="A507" s="2" t="s">
        <v>1356</v>
      </c>
      <c r="B507" s="2" t="s">
        <v>1357</v>
      </c>
      <c r="C507" s="2" t="s">
        <v>367</v>
      </c>
      <c r="D507" s="2" t="s">
        <v>1028</v>
      </c>
      <c r="E507" s="11">
        <v>45473</v>
      </c>
      <c r="F507" s="12" t="s">
        <v>53</v>
      </c>
      <c r="G507" s="13"/>
      <c r="H507" s="12"/>
      <c r="I507" s="11"/>
      <c r="J507" s="12" t="s">
        <v>53</v>
      </c>
      <c r="K507" s="11"/>
      <c r="L507" s="12"/>
      <c r="M507" s="12" t="s">
        <v>53</v>
      </c>
      <c r="N507" s="11"/>
      <c r="O507" s="12"/>
      <c r="P507" s="12" t="s">
        <v>51</v>
      </c>
      <c r="Q507" s="14" t="s">
        <v>222</v>
      </c>
      <c r="R507" s="14" t="s">
        <v>122</v>
      </c>
      <c r="S507" s="12" t="s">
        <v>53</v>
      </c>
      <c r="T507" s="11"/>
      <c r="U507" s="12" t="str">
        <f t="shared" si="63"/>
        <v>N</v>
      </c>
      <c r="V507" s="12" t="str">
        <f t="shared" si="64"/>
        <v>N</v>
      </c>
      <c r="W507" s="12" t="str">
        <f t="shared" si="65"/>
        <v>N</v>
      </c>
      <c r="X507" s="12" t="str">
        <f t="shared" si="66"/>
        <v>Y</v>
      </c>
      <c r="Y507" s="12" t="str">
        <f t="shared" si="67"/>
        <v>Y</v>
      </c>
      <c r="Z507" s="12" t="str">
        <f t="shared" si="68"/>
        <v>N</v>
      </c>
      <c r="AA507" s="12">
        <f t="shared" si="69"/>
        <v>1</v>
      </c>
      <c r="AB507" s="12" t="str">
        <f t="shared" si="70"/>
        <v>SINGLE-SIGNAL</v>
      </c>
      <c r="AC507" s="14" t="str">
        <f t="shared" si="71"/>
        <v>Automated Claim Alert</v>
      </c>
    </row>
    <row r="508" spans="1:29" x14ac:dyDescent="0.45">
      <c r="A508" s="2" t="s">
        <v>1358</v>
      </c>
      <c r="B508" s="2" t="s">
        <v>1359</v>
      </c>
      <c r="C508" s="2" t="s">
        <v>367</v>
      </c>
      <c r="D508" s="2" t="s">
        <v>714</v>
      </c>
      <c r="E508" s="11">
        <v>45644</v>
      </c>
      <c r="F508" s="12" t="s">
        <v>51</v>
      </c>
      <c r="G508" s="13">
        <v>37250</v>
      </c>
      <c r="H508" s="12" t="s">
        <v>116</v>
      </c>
      <c r="I508" s="11">
        <v>46583</v>
      </c>
      <c r="J508" s="12" t="s">
        <v>51</v>
      </c>
      <c r="K508" s="11">
        <v>45906</v>
      </c>
      <c r="L508" s="12" t="s">
        <v>51</v>
      </c>
      <c r="M508" s="12" t="s">
        <v>53</v>
      </c>
      <c r="N508" s="11"/>
      <c r="O508" s="12"/>
      <c r="P508" s="12" t="s">
        <v>53</v>
      </c>
      <c r="Q508" s="14"/>
      <c r="R508" s="14"/>
      <c r="S508" s="12" t="s">
        <v>53</v>
      </c>
      <c r="T508" s="11"/>
      <c r="U508" s="12" t="str">
        <f t="shared" si="63"/>
        <v>N</v>
      </c>
      <c r="V508" s="12" t="str">
        <f t="shared" si="64"/>
        <v>N</v>
      </c>
      <c r="W508" s="12" t="str">
        <f t="shared" si="65"/>
        <v>N</v>
      </c>
      <c r="X508" s="12" t="str">
        <f t="shared" si="66"/>
        <v>N</v>
      </c>
      <c r="Y508" s="12" t="str">
        <f t="shared" si="67"/>
        <v>N</v>
      </c>
      <c r="Z508" s="12" t="str">
        <f t="shared" si="68"/>
        <v>N</v>
      </c>
      <c r="AA508" s="12">
        <f t="shared" si="69"/>
        <v>2</v>
      </c>
      <c r="AB508" s="12" t="str">
        <f t="shared" si="70"/>
        <v>MULTI-SIGNAL</v>
      </c>
      <c r="AC508" s="14" t="str">
        <f t="shared" si="71"/>
        <v>Settlement Authorization | Open Stipulation</v>
      </c>
    </row>
    <row r="509" spans="1:29" x14ac:dyDescent="0.45">
      <c r="A509" s="2" t="s">
        <v>1360</v>
      </c>
      <c r="B509" s="2" t="s">
        <v>1361</v>
      </c>
      <c r="C509" s="2" t="s">
        <v>367</v>
      </c>
      <c r="D509" s="2" t="s">
        <v>125</v>
      </c>
      <c r="E509" s="11">
        <v>44808</v>
      </c>
      <c r="F509" s="12" t="s">
        <v>51</v>
      </c>
      <c r="G509" s="13">
        <v>136000</v>
      </c>
      <c r="H509" s="12" t="s">
        <v>66</v>
      </c>
      <c r="I509" s="11">
        <v>45977</v>
      </c>
      <c r="J509" s="12" t="s">
        <v>53</v>
      </c>
      <c r="K509" s="11"/>
      <c r="L509" s="12" t="s">
        <v>51</v>
      </c>
      <c r="M509" s="12" t="s">
        <v>53</v>
      </c>
      <c r="N509" s="11"/>
      <c r="O509" s="12"/>
      <c r="P509" s="12" t="s">
        <v>53</v>
      </c>
      <c r="Q509" s="14"/>
      <c r="R509" s="14"/>
      <c r="S509" s="12" t="s">
        <v>53</v>
      </c>
      <c r="T509" s="11"/>
      <c r="U509" s="12" t="str">
        <f t="shared" si="63"/>
        <v>N</v>
      </c>
      <c r="V509" s="12" t="str">
        <f t="shared" si="64"/>
        <v>N</v>
      </c>
      <c r="W509" s="12" t="str">
        <f t="shared" si="65"/>
        <v>N</v>
      </c>
      <c r="X509" s="12" t="str">
        <f t="shared" si="66"/>
        <v>N</v>
      </c>
      <c r="Y509" s="12" t="str">
        <f t="shared" si="67"/>
        <v>N</v>
      </c>
      <c r="Z509" s="12" t="str">
        <f t="shared" si="68"/>
        <v>N</v>
      </c>
      <c r="AA509" s="12">
        <f t="shared" si="69"/>
        <v>1</v>
      </c>
      <c r="AB509" s="12" t="str">
        <f t="shared" si="70"/>
        <v>SINGLE-SIGNAL</v>
      </c>
      <c r="AC509" s="14" t="str">
        <f t="shared" si="71"/>
        <v>Settlement Authorization</v>
      </c>
    </row>
    <row r="510" spans="1:29" ht="28.5" x14ac:dyDescent="0.45">
      <c r="A510" s="2" t="s">
        <v>1362</v>
      </c>
      <c r="B510" s="2" t="s">
        <v>1363</v>
      </c>
      <c r="C510" s="2" t="s">
        <v>367</v>
      </c>
      <c r="D510" s="2" t="s">
        <v>513</v>
      </c>
      <c r="E510" s="11">
        <v>43310</v>
      </c>
      <c r="F510" s="12" t="s">
        <v>51</v>
      </c>
      <c r="G510" s="13">
        <v>141250</v>
      </c>
      <c r="H510" s="12" t="s">
        <v>78</v>
      </c>
      <c r="I510" s="11">
        <v>44793</v>
      </c>
      <c r="J510" s="12" t="s">
        <v>53</v>
      </c>
      <c r="K510" s="11"/>
      <c r="L510" s="12" t="s">
        <v>53</v>
      </c>
      <c r="M510" s="12" t="s">
        <v>53</v>
      </c>
      <c r="N510" s="11"/>
      <c r="O510" s="12"/>
      <c r="P510" s="12" t="s">
        <v>51</v>
      </c>
      <c r="Q510" s="14" t="s">
        <v>428</v>
      </c>
      <c r="R510" s="14" t="s">
        <v>227</v>
      </c>
      <c r="S510" s="12" t="s">
        <v>51</v>
      </c>
      <c r="T510" s="11">
        <v>44712</v>
      </c>
      <c r="U510" s="12" t="str">
        <f t="shared" si="63"/>
        <v>N</v>
      </c>
      <c r="V510" s="12" t="str">
        <f t="shared" si="64"/>
        <v>Y</v>
      </c>
      <c r="W510" s="12" t="str">
        <f t="shared" si="65"/>
        <v>N</v>
      </c>
      <c r="X510" s="12" t="str">
        <f t="shared" si="66"/>
        <v>Y</v>
      </c>
      <c r="Y510" s="12" t="str">
        <f t="shared" si="67"/>
        <v>Y</v>
      </c>
      <c r="Z510" s="12" t="str">
        <f t="shared" si="68"/>
        <v>N</v>
      </c>
      <c r="AA510" s="12">
        <f t="shared" si="69"/>
        <v>3</v>
      </c>
      <c r="AB510" s="12" t="str">
        <f t="shared" si="70"/>
        <v>ELEVATED MULTI-SIGNAL</v>
      </c>
      <c r="AC510" s="14" t="str">
        <f t="shared" si="71"/>
        <v>Settlement Authorization | Automated Claim Alert | Inactive Customer</v>
      </c>
    </row>
    <row r="511" spans="1:29" x14ac:dyDescent="0.45">
      <c r="A511" s="2" t="s">
        <v>1364</v>
      </c>
      <c r="B511" s="2" t="s">
        <v>1365</v>
      </c>
      <c r="C511" s="2" t="s">
        <v>367</v>
      </c>
      <c r="D511" s="2" t="s">
        <v>173</v>
      </c>
      <c r="E511" s="11">
        <v>43783</v>
      </c>
      <c r="F511" s="12" t="s">
        <v>51</v>
      </c>
      <c r="G511" s="13">
        <v>169250</v>
      </c>
      <c r="H511" s="12" t="s">
        <v>242</v>
      </c>
      <c r="I511" s="11">
        <v>44057</v>
      </c>
      <c r="J511" s="12" t="s">
        <v>53</v>
      </c>
      <c r="K511" s="11"/>
      <c r="L511" s="12" t="s">
        <v>53</v>
      </c>
      <c r="M511" s="12" t="s">
        <v>53</v>
      </c>
      <c r="N511" s="11"/>
      <c r="O511" s="12"/>
      <c r="P511" s="12" t="s">
        <v>53</v>
      </c>
      <c r="Q511" s="14"/>
      <c r="R511" s="14"/>
      <c r="S511" s="12" t="s">
        <v>53</v>
      </c>
      <c r="T511" s="11"/>
      <c r="U511" s="12" t="str">
        <f t="shared" si="63"/>
        <v>N</v>
      </c>
      <c r="V511" s="12" t="str">
        <f t="shared" si="64"/>
        <v>N</v>
      </c>
      <c r="W511" s="12" t="str">
        <f t="shared" si="65"/>
        <v>N</v>
      </c>
      <c r="X511" s="12" t="str">
        <f t="shared" si="66"/>
        <v>N</v>
      </c>
      <c r="Y511" s="12" t="str">
        <f t="shared" si="67"/>
        <v>N</v>
      </c>
      <c r="Z511" s="12" t="str">
        <f t="shared" si="68"/>
        <v>N</v>
      </c>
      <c r="AA511" s="12">
        <f t="shared" si="69"/>
        <v>1</v>
      </c>
      <c r="AB511" s="12" t="str">
        <f t="shared" si="70"/>
        <v>SINGLE-SIGNAL</v>
      </c>
      <c r="AC511" s="14" t="str">
        <f t="shared" si="71"/>
        <v>Settlement Authorization</v>
      </c>
    </row>
    <row r="512" spans="1:29" x14ac:dyDescent="0.45">
      <c r="A512" s="2" t="s">
        <v>1366</v>
      </c>
      <c r="B512" s="2" t="s">
        <v>1367</v>
      </c>
      <c r="C512" s="2" t="s">
        <v>367</v>
      </c>
      <c r="D512" s="2" t="s">
        <v>907</v>
      </c>
      <c r="E512" s="11">
        <v>44173</v>
      </c>
      <c r="F512" s="12" t="s">
        <v>51</v>
      </c>
      <c r="G512" s="13">
        <v>164250</v>
      </c>
      <c r="H512" s="12" t="s">
        <v>59</v>
      </c>
      <c r="I512" s="11">
        <v>45353</v>
      </c>
      <c r="J512" s="12" t="s">
        <v>53</v>
      </c>
      <c r="K512" s="11"/>
      <c r="L512" s="12" t="s">
        <v>53</v>
      </c>
      <c r="M512" s="12" t="s">
        <v>53</v>
      </c>
      <c r="N512" s="11"/>
      <c r="O512" s="12"/>
      <c r="P512" s="12" t="s">
        <v>53</v>
      </c>
      <c r="Q512" s="14"/>
      <c r="R512" s="14"/>
      <c r="S512" s="12" t="s">
        <v>53</v>
      </c>
      <c r="T512" s="11"/>
      <c r="U512" s="12" t="str">
        <f t="shared" si="63"/>
        <v>N</v>
      </c>
      <c r="V512" s="12" t="str">
        <f t="shared" si="64"/>
        <v>N</v>
      </c>
      <c r="W512" s="12" t="str">
        <f t="shared" si="65"/>
        <v>N</v>
      </c>
      <c r="X512" s="12" t="str">
        <f t="shared" si="66"/>
        <v>N</v>
      </c>
      <c r="Y512" s="12" t="str">
        <f t="shared" si="67"/>
        <v>N</v>
      </c>
      <c r="Z512" s="12" t="str">
        <f t="shared" si="68"/>
        <v>N</v>
      </c>
      <c r="AA512" s="12">
        <f t="shared" si="69"/>
        <v>1</v>
      </c>
      <c r="AB512" s="12" t="str">
        <f t="shared" si="70"/>
        <v>SINGLE-SIGNAL</v>
      </c>
      <c r="AC512" s="14" t="str">
        <f t="shared" si="71"/>
        <v>Settlement Authorization</v>
      </c>
    </row>
    <row r="513" spans="1:29" x14ac:dyDescent="0.45">
      <c r="A513" s="2" t="s">
        <v>1368</v>
      </c>
      <c r="B513" s="2" t="s">
        <v>1369</v>
      </c>
      <c r="C513" s="2" t="s">
        <v>367</v>
      </c>
      <c r="D513" s="2" t="s">
        <v>316</v>
      </c>
      <c r="E513" s="11">
        <v>43551</v>
      </c>
      <c r="F513" s="12" t="s">
        <v>53</v>
      </c>
      <c r="G513" s="13"/>
      <c r="H513" s="12"/>
      <c r="I513" s="11"/>
      <c r="J513" s="12" t="s">
        <v>51</v>
      </c>
      <c r="K513" s="11">
        <v>44712</v>
      </c>
      <c r="L513" s="12" t="s">
        <v>51</v>
      </c>
      <c r="M513" s="12" t="s">
        <v>53</v>
      </c>
      <c r="N513" s="11"/>
      <c r="O513" s="12"/>
      <c r="P513" s="12" t="s">
        <v>53</v>
      </c>
      <c r="Q513" s="14"/>
      <c r="R513" s="14"/>
      <c r="S513" s="12" t="s">
        <v>53</v>
      </c>
      <c r="T513" s="11"/>
      <c r="U513" s="12" t="str">
        <f t="shared" si="63"/>
        <v>N</v>
      </c>
      <c r="V513" s="12" t="str">
        <f t="shared" si="64"/>
        <v>N</v>
      </c>
      <c r="W513" s="12" t="str">
        <f t="shared" si="65"/>
        <v>N</v>
      </c>
      <c r="X513" s="12" t="str">
        <f t="shared" si="66"/>
        <v>N</v>
      </c>
      <c r="Y513" s="12" t="str">
        <f t="shared" si="67"/>
        <v>N</v>
      </c>
      <c r="Z513" s="12" t="str">
        <f t="shared" si="68"/>
        <v>N</v>
      </c>
      <c r="AA513" s="12">
        <f t="shared" si="69"/>
        <v>1</v>
      </c>
      <c r="AB513" s="12" t="str">
        <f t="shared" si="70"/>
        <v>SINGLE-SIGNAL</v>
      </c>
      <c r="AC513" s="14" t="str">
        <f t="shared" si="71"/>
        <v>Open Stipulation</v>
      </c>
    </row>
    <row r="514" spans="1:29" x14ac:dyDescent="0.45">
      <c r="A514" s="2" t="s">
        <v>1370</v>
      </c>
      <c r="B514" s="2" t="s">
        <v>1371</v>
      </c>
      <c r="C514" s="2" t="s">
        <v>367</v>
      </c>
      <c r="D514" s="2" t="s">
        <v>50</v>
      </c>
      <c r="E514" s="11">
        <v>44973</v>
      </c>
      <c r="F514" s="12" t="s">
        <v>53</v>
      </c>
      <c r="G514" s="13"/>
      <c r="H514" s="12"/>
      <c r="I514" s="11"/>
      <c r="J514" s="12" t="s">
        <v>51</v>
      </c>
      <c r="K514" s="11">
        <v>45958</v>
      </c>
      <c r="L514" s="12" t="s">
        <v>53</v>
      </c>
      <c r="M514" s="12" t="s">
        <v>53</v>
      </c>
      <c r="N514" s="11"/>
      <c r="O514" s="12"/>
      <c r="P514" s="12" t="s">
        <v>53</v>
      </c>
      <c r="Q514" s="14"/>
      <c r="R514" s="14"/>
      <c r="S514" s="12" t="s">
        <v>53</v>
      </c>
      <c r="T514" s="11"/>
      <c r="U514" s="12" t="str">
        <f t="shared" ref="U514:U561" si="72">IF(ISNUMBER(SEARCH("SURGERY",Q514&amp;" "&amp;R514)),"Y","N")</f>
        <v>N</v>
      </c>
      <c r="V514" s="12" t="str">
        <f t="shared" ref="V514:V561" si="73">IF(ISNUMBER(SEARCH("MMI",Q514&amp;" "&amp;R514)),"Y","N")</f>
        <v>N</v>
      </c>
      <c r="W514" s="12" t="str">
        <f t="shared" ref="W514:W561" si="74">IF(ISNUMBER(SEARCH("DENIED TREATMENT",Q514&amp;" "&amp;R514)),"Y","N")</f>
        <v>N</v>
      </c>
      <c r="X514" s="12" t="str">
        <f t="shared" ref="X514:X561" si="75">IF(ISNUMBER(SEARCH("SPECIALIST CONSULTATION",Q514&amp;" "&amp;R514)),"Y","N")</f>
        <v>N</v>
      </c>
      <c r="Y514" s="12" t="str">
        <f t="shared" ref="Y514:Y561" si="76">IF(ISNUMBER(SEARCH("NON-RENEWED ACCOUNT",Q514&amp;" "&amp;R514)),"Y","N")</f>
        <v>N</v>
      </c>
      <c r="Z514" s="12" t="str">
        <f t="shared" ref="Z514:Z561" si="77">IF(ISNUMBER(SEARCH("MSA ELIGIBLE",Q514&amp;" "&amp;R514)),"Y","N")</f>
        <v>N</v>
      </c>
      <c r="AA514" s="12">
        <f t="shared" ref="AA514:AA561" si="78">COUNTIF(F514,"Y")+COUNTIF(J514,"Y")+COUNTIF(M514,"Y")+COUNTIF(P514,"Y")+COUNTIF(S514,"Y")</f>
        <v>1</v>
      </c>
      <c r="AB514" s="12" t="str">
        <f t="shared" ref="AB514:AB577" si="79">IF(AA514=5,"MAXIMUM MULTI-SIGNAL",IF(AA514=4,"HIGH MULTI-SIGNAL",IF(AA514=3,"ELEVATED MULTI-SIGNAL",IF(AA514=2,"MULTI-SIGNAL","SINGLE-SIGNAL"))))</f>
        <v>SINGLE-SIGNAL</v>
      </c>
      <c r="AC514" s="14" t="str">
        <f t="shared" ref="AC514:AC561" si="80">IF(F514="Y","Settlement Authorization","")&amp;IF(J514="Y",IF(F514="Y"," | ","")&amp;"Open Stipulation","")&amp;IF(M514="Y",IF(OR(F514="Y",J514="Y")," | ","")&amp;"Pending QME","")&amp;IF(P514="Y",IF(OR(F514="Y",J514="Y",M514="Y")," | ","")&amp;"Automated Claim Alert","")&amp;IF(S514="Y",IF(OR(F514="Y",J514="Y",M514="Y",P514="Y")," | ","")&amp;"Inactive Customer","")</f>
        <v>Open Stipulation</v>
      </c>
    </row>
    <row r="515" spans="1:29" x14ac:dyDescent="0.45">
      <c r="A515" s="2" t="s">
        <v>1372</v>
      </c>
      <c r="B515" s="2" t="s">
        <v>1373</v>
      </c>
      <c r="C515" s="2" t="s">
        <v>367</v>
      </c>
      <c r="D515" s="2" t="s">
        <v>192</v>
      </c>
      <c r="E515" s="11">
        <v>44498</v>
      </c>
      <c r="F515" s="12" t="s">
        <v>51</v>
      </c>
      <c r="G515" s="13">
        <v>6250</v>
      </c>
      <c r="H515" s="12" t="s">
        <v>71</v>
      </c>
      <c r="I515" s="11">
        <v>45381</v>
      </c>
      <c r="J515" s="12" t="s">
        <v>51</v>
      </c>
      <c r="K515" s="11">
        <v>45209</v>
      </c>
      <c r="L515" s="12" t="s">
        <v>53</v>
      </c>
      <c r="M515" s="12" t="s">
        <v>53</v>
      </c>
      <c r="N515" s="11"/>
      <c r="O515" s="12"/>
      <c r="P515" s="12" t="s">
        <v>53</v>
      </c>
      <c r="Q515" s="14"/>
      <c r="R515" s="14"/>
      <c r="S515" s="12" t="s">
        <v>53</v>
      </c>
      <c r="T515" s="11"/>
      <c r="U515" s="12" t="str">
        <f t="shared" si="72"/>
        <v>N</v>
      </c>
      <c r="V515" s="12" t="str">
        <f t="shared" si="73"/>
        <v>N</v>
      </c>
      <c r="W515" s="12" t="str">
        <f t="shared" si="74"/>
        <v>N</v>
      </c>
      <c r="X515" s="12" t="str">
        <f t="shared" si="75"/>
        <v>N</v>
      </c>
      <c r="Y515" s="12" t="str">
        <f t="shared" si="76"/>
        <v>N</v>
      </c>
      <c r="Z515" s="12" t="str">
        <f t="shared" si="77"/>
        <v>N</v>
      </c>
      <c r="AA515" s="12">
        <f t="shared" si="78"/>
        <v>2</v>
      </c>
      <c r="AB515" s="12" t="str">
        <f t="shared" si="79"/>
        <v>MULTI-SIGNAL</v>
      </c>
      <c r="AC515" s="14" t="str">
        <f t="shared" si="80"/>
        <v>Settlement Authorization | Open Stipulation</v>
      </c>
    </row>
    <row r="516" spans="1:29" ht="42.75" x14ac:dyDescent="0.45">
      <c r="A516" s="2" t="s">
        <v>1374</v>
      </c>
      <c r="B516" s="2" t="s">
        <v>1375</v>
      </c>
      <c r="C516" s="2" t="s">
        <v>367</v>
      </c>
      <c r="D516" s="2" t="s">
        <v>186</v>
      </c>
      <c r="E516" s="11">
        <v>45867</v>
      </c>
      <c r="F516" s="12" t="s">
        <v>53</v>
      </c>
      <c r="G516" s="13"/>
      <c r="H516" s="12"/>
      <c r="I516" s="11"/>
      <c r="J516" s="12" t="s">
        <v>53</v>
      </c>
      <c r="K516" s="11"/>
      <c r="L516" s="12"/>
      <c r="M516" s="12" t="s">
        <v>51</v>
      </c>
      <c r="N516" s="11">
        <v>46082</v>
      </c>
      <c r="O516" s="12" t="s">
        <v>941</v>
      </c>
      <c r="P516" s="12" t="s">
        <v>51</v>
      </c>
      <c r="Q516" s="14" t="s">
        <v>1376</v>
      </c>
      <c r="R516" s="14"/>
      <c r="S516" s="12" t="s">
        <v>53</v>
      </c>
      <c r="T516" s="11"/>
      <c r="U516" s="12" t="str">
        <f t="shared" si="72"/>
        <v>N</v>
      </c>
      <c r="V516" s="12" t="str">
        <f t="shared" si="73"/>
        <v>Y</v>
      </c>
      <c r="W516" s="12" t="str">
        <f t="shared" si="74"/>
        <v>N</v>
      </c>
      <c r="X516" s="12" t="str">
        <f t="shared" si="75"/>
        <v>Y</v>
      </c>
      <c r="Y516" s="12" t="str">
        <f t="shared" si="76"/>
        <v>N</v>
      </c>
      <c r="Z516" s="12" t="str">
        <f t="shared" si="77"/>
        <v>Y</v>
      </c>
      <c r="AA516" s="12">
        <f t="shared" si="78"/>
        <v>2</v>
      </c>
      <c r="AB516" s="12" t="str">
        <f t="shared" si="79"/>
        <v>MULTI-SIGNAL</v>
      </c>
      <c r="AC516" s="14" t="str">
        <f t="shared" si="80"/>
        <v>Pending QME | Automated Claim Alert</v>
      </c>
    </row>
    <row r="517" spans="1:29" x14ac:dyDescent="0.45">
      <c r="A517" s="2" t="s">
        <v>1377</v>
      </c>
      <c r="B517" s="2" t="s">
        <v>1378</v>
      </c>
      <c r="C517" s="2" t="s">
        <v>367</v>
      </c>
      <c r="D517" s="2" t="s">
        <v>859</v>
      </c>
      <c r="E517" s="11">
        <v>45968</v>
      </c>
      <c r="F517" s="12" t="s">
        <v>51</v>
      </c>
      <c r="G517" s="13">
        <v>123000</v>
      </c>
      <c r="H517" s="12" t="s">
        <v>52</v>
      </c>
      <c r="I517" s="11">
        <v>47514</v>
      </c>
      <c r="J517" s="12" t="s">
        <v>53</v>
      </c>
      <c r="K517" s="11"/>
      <c r="L517" s="12" t="s">
        <v>53</v>
      </c>
      <c r="M517" s="12" t="s">
        <v>53</v>
      </c>
      <c r="N517" s="11"/>
      <c r="O517" s="12"/>
      <c r="P517" s="12" t="s">
        <v>53</v>
      </c>
      <c r="Q517" s="14"/>
      <c r="R517" s="14"/>
      <c r="S517" s="12" t="s">
        <v>53</v>
      </c>
      <c r="T517" s="11"/>
      <c r="U517" s="12" t="str">
        <f t="shared" si="72"/>
        <v>N</v>
      </c>
      <c r="V517" s="12" t="str">
        <f t="shared" si="73"/>
        <v>N</v>
      </c>
      <c r="W517" s="12" t="str">
        <f t="shared" si="74"/>
        <v>N</v>
      </c>
      <c r="X517" s="12" t="str">
        <f t="shared" si="75"/>
        <v>N</v>
      </c>
      <c r="Y517" s="12" t="str">
        <f t="shared" si="76"/>
        <v>N</v>
      </c>
      <c r="Z517" s="12" t="str">
        <f t="shared" si="77"/>
        <v>N</v>
      </c>
      <c r="AA517" s="12">
        <f t="shared" si="78"/>
        <v>1</v>
      </c>
      <c r="AB517" s="12" t="str">
        <f t="shared" si="79"/>
        <v>SINGLE-SIGNAL</v>
      </c>
      <c r="AC517" s="14" t="str">
        <f t="shared" si="80"/>
        <v>Settlement Authorization</v>
      </c>
    </row>
    <row r="518" spans="1:29" x14ac:dyDescent="0.45">
      <c r="A518" s="2" t="s">
        <v>1379</v>
      </c>
      <c r="B518" s="2" t="s">
        <v>1380</v>
      </c>
      <c r="C518" s="2" t="s">
        <v>367</v>
      </c>
      <c r="D518" s="2" t="s">
        <v>583</v>
      </c>
      <c r="E518" s="11">
        <v>43696</v>
      </c>
      <c r="F518" s="12" t="s">
        <v>51</v>
      </c>
      <c r="G518" s="13">
        <v>143250</v>
      </c>
      <c r="H518" s="12" t="s">
        <v>52</v>
      </c>
      <c r="I518" s="11">
        <v>44656</v>
      </c>
      <c r="J518" s="12" t="s">
        <v>53</v>
      </c>
      <c r="K518" s="11"/>
      <c r="L518" s="12" t="s">
        <v>53</v>
      </c>
      <c r="M518" s="12" t="s">
        <v>53</v>
      </c>
      <c r="N518" s="11"/>
      <c r="O518" s="12"/>
      <c r="P518" s="12" t="s">
        <v>53</v>
      </c>
      <c r="Q518" s="14"/>
      <c r="R518" s="14"/>
      <c r="S518" s="12" t="s">
        <v>51</v>
      </c>
      <c r="T518" s="11">
        <v>44748</v>
      </c>
      <c r="U518" s="12" t="str">
        <f t="shared" si="72"/>
        <v>N</v>
      </c>
      <c r="V518" s="12" t="str">
        <f t="shared" si="73"/>
        <v>N</v>
      </c>
      <c r="W518" s="12" t="str">
        <f t="shared" si="74"/>
        <v>N</v>
      </c>
      <c r="X518" s="12" t="str">
        <f t="shared" si="75"/>
        <v>N</v>
      </c>
      <c r="Y518" s="12" t="str">
        <f t="shared" si="76"/>
        <v>N</v>
      </c>
      <c r="Z518" s="12" t="str">
        <f t="shared" si="77"/>
        <v>N</v>
      </c>
      <c r="AA518" s="12">
        <f t="shared" si="78"/>
        <v>2</v>
      </c>
      <c r="AB518" s="12" t="str">
        <f t="shared" si="79"/>
        <v>MULTI-SIGNAL</v>
      </c>
      <c r="AC518" s="14" t="str">
        <f t="shared" si="80"/>
        <v>Settlement Authorization | Inactive Customer</v>
      </c>
    </row>
    <row r="519" spans="1:29" ht="28.5" x14ac:dyDescent="0.45">
      <c r="A519" s="2" t="s">
        <v>1381</v>
      </c>
      <c r="B519" s="2" t="s">
        <v>1382</v>
      </c>
      <c r="C519" s="2" t="s">
        <v>367</v>
      </c>
      <c r="D519" s="2" t="s">
        <v>472</v>
      </c>
      <c r="E519" s="11">
        <v>43824</v>
      </c>
      <c r="F519" s="12" t="s">
        <v>53</v>
      </c>
      <c r="G519" s="13"/>
      <c r="H519" s="12"/>
      <c r="I519" s="11"/>
      <c r="J519" s="12" t="s">
        <v>53</v>
      </c>
      <c r="K519" s="11"/>
      <c r="L519" s="12"/>
      <c r="M519" s="12" t="s">
        <v>53</v>
      </c>
      <c r="N519" s="11"/>
      <c r="O519" s="12"/>
      <c r="P519" s="12" t="s">
        <v>51</v>
      </c>
      <c r="Q519" s="14" t="s">
        <v>424</v>
      </c>
      <c r="R519" s="14" t="s">
        <v>209</v>
      </c>
      <c r="S519" s="12" t="s">
        <v>53</v>
      </c>
      <c r="T519" s="11"/>
      <c r="U519" s="12" t="str">
        <f t="shared" si="72"/>
        <v>Y</v>
      </c>
      <c r="V519" s="12" t="str">
        <f t="shared" si="73"/>
        <v>Y</v>
      </c>
      <c r="W519" s="12" t="str">
        <f t="shared" si="74"/>
        <v>N</v>
      </c>
      <c r="X519" s="12" t="str">
        <f t="shared" si="75"/>
        <v>N</v>
      </c>
      <c r="Y519" s="12" t="str">
        <f t="shared" si="76"/>
        <v>N</v>
      </c>
      <c r="Z519" s="12" t="str">
        <f t="shared" si="77"/>
        <v>Y</v>
      </c>
      <c r="AA519" s="12">
        <f t="shared" si="78"/>
        <v>1</v>
      </c>
      <c r="AB519" s="12" t="str">
        <f t="shared" si="79"/>
        <v>SINGLE-SIGNAL</v>
      </c>
      <c r="AC519" s="14" t="str">
        <f t="shared" si="80"/>
        <v>Automated Claim Alert</v>
      </c>
    </row>
    <row r="520" spans="1:29" x14ac:dyDescent="0.45">
      <c r="A520" s="2" t="s">
        <v>1383</v>
      </c>
      <c r="B520" s="2" t="s">
        <v>1384</v>
      </c>
      <c r="C520" s="2" t="s">
        <v>367</v>
      </c>
      <c r="D520" s="2" t="s">
        <v>138</v>
      </c>
      <c r="E520" s="11">
        <v>45746</v>
      </c>
      <c r="F520" s="12" t="s">
        <v>53</v>
      </c>
      <c r="G520" s="13"/>
      <c r="H520" s="12"/>
      <c r="I520" s="11"/>
      <c r="J520" s="12" t="s">
        <v>53</v>
      </c>
      <c r="K520" s="11"/>
      <c r="L520" s="12"/>
      <c r="M520" s="12" t="s">
        <v>53</v>
      </c>
      <c r="N520" s="11"/>
      <c r="O520" s="12"/>
      <c r="P520" s="12" t="s">
        <v>53</v>
      </c>
      <c r="Q520" s="14"/>
      <c r="R520" s="14"/>
      <c r="S520" s="12" t="s">
        <v>51</v>
      </c>
      <c r="T520" s="11">
        <v>46344</v>
      </c>
      <c r="U520" s="12" t="str">
        <f t="shared" si="72"/>
        <v>N</v>
      </c>
      <c r="V520" s="12" t="str">
        <f t="shared" si="73"/>
        <v>N</v>
      </c>
      <c r="W520" s="12" t="str">
        <f t="shared" si="74"/>
        <v>N</v>
      </c>
      <c r="X520" s="12" t="str">
        <f t="shared" si="75"/>
        <v>N</v>
      </c>
      <c r="Y520" s="12" t="str">
        <f t="shared" si="76"/>
        <v>N</v>
      </c>
      <c r="Z520" s="12" t="str">
        <f t="shared" si="77"/>
        <v>N</v>
      </c>
      <c r="AA520" s="12">
        <f t="shared" si="78"/>
        <v>1</v>
      </c>
      <c r="AB520" s="12" t="str">
        <f t="shared" si="79"/>
        <v>SINGLE-SIGNAL</v>
      </c>
      <c r="AC520" s="14" t="str">
        <f t="shared" si="80"/>
        <v>Inactive Customer</v>
      </c>
    </row>
    <row r="521" spans="1:29" x14ac:dyDescent="0.45">
      <c r="A521" s="2" t="s">
        <v>1385</v>
      </c>
      <c r="B521" s="2" t="s">
        <v>1386</v>
      </c>
      <c r="C521" s="2" t="s">
        <v>367</v>
      </c>
      <c r="D521" s="2" t="s">
        <v>128</v>
      </c>
      <c r="E521" s="11">
        <v>44798</v>
      </c>
      <c r="F521" s="12" t="s">
        <v>51</v>
      </c>
      <c r="G521" s="13">
        <v>122000</v>
      </c>
      <c r="H521" s="12" t="s">
        <v>59</v>
      </c>
      <c r="I521" s="11">
        <v>44855</v>
      </c>
      <c r="J521" s="12" t="s">
        <v>53</v>
      </c>
      <c r="K521" s="11"/>
      <c r="L521" s="12" t="s">
        <v>53</v>
      </c>
      <c r="M521" s="12" t="s">
        <v>53</v>
      </c>
      <c r="N521" s="11"/>
      <c r="O521" s="12"/>
      <c r="P521" s="12" t="s">
        <v>53</v>
      </c>
      <c r="Q521" s="14"/>
      <c r="R521" s="14"/>
      <c r="S521" s="12" t="s">
        <v>53</v>
      </c>
      <c r="T521" s="11"/>
      <c r="U521" s="12" t="str">
        <f t="shared" si="72"/>
        <v>N</v>
      </c>
      <c r="V521" s="12" t="str">
        <f t="shared" si="73"/>
        <v>N</v>
      </c>
      <c r="W521" s="12" t="str">
        <f t="shared" si="74"/>
        <v>N</v>
      </c>
      <c r="X521" s="12" t="str">
        <f t="shared" si="75"/>
        <v>N</v>
      </c>
      <c r="Y521" s="12" t="str">
        <f t="shared" si="76"/>
        <v>N</v>
      </c>
      <c r="Z521" s="12" t="str">
        <f t="shared" si="77"/>
        <v>N</v>
      </c>
      <c r="AA521" s="12">
        <f t="shared" si="78"/>
        <v>1</v>
      </c>
      <c r="AB521" s="12" t="str">
        <f t="shared" si="79"/>
        <v>SINGLE-SIGNAL</v>
      </c>
      <c r="AC521" s="14" t="str">
        <f t="shared" si="80"/>
        <v>Settlement Authorization</v>
      </c>
    </row>
    <row r="522" spans="1:29" x14ac:dyDescent="0.45">
      <c r="A522" s="2" t="s">
        <v>1387</v>
      </c>
      <c r="B522" s="2" t="s">
        <v>1388</v>
      </c>
      <c r="C522" s="2" t="s">
        <v>367</v>
      </c>
      <c r="D522" s="2" t="s">
        <v>513</v>
      </c>
      <c r="E522" s="11">
        <v>45180</v>
      </c>
      <c r="F522" s="12" t="s">
        <v>51</v>
      </c>
      <c r="G522" s="13">
        <v>93750</v>
      </c>
      <c r="H522" s="12" t="s">
        <v>78</v>
      </c>
      <c r="I522" s="11">
        <v>46479</v>
      </c>
      <c r="J522" s="12" t="s">
        <v>51</v>
      </c>
      <c r="K522" s="11">
        <v>46188</v>
      </c>
      <c r="L522" s="12" t="s">
        <v>53</v>
      </c>
      <c r="M522" s="12" t="s">
        <v>53</v>
      </c>
      <c r="N522" s="11"/>
      <c r="O522" s="12"/>
      <c r="P522" s="12" t="s">
        <v>53</v>
      </c>
      <c r="Q522" s="14"/>
      <c r="R522" s="14"/>
      <c r="S522" s="12" t="s">
        <v>53</v>
      </c>
      <c r="T522" s="11"/>
      <c r="U522" s="12" t="str">
        <f t="shared" si="72"/>
        <v>N</v>
      </c>
      <c r="V522" s="12" t="str">
        <f t="shared" si="73"/>
        <v>N</v>
      </c>
      <c r="W522" s="12" t="str">
        <f t="shared" si="74"/>
        <v>N</v>
      </c>
      <c r="X522" s="12" t="str">
        <f t="shared" si="75"/>
        <v>N</v>
      </c>
      <c r="Y522" s="12" t="str">
        <f t="shared" si="76"/>
        <v>N</v>
      </c>
      <c r="Z522" s="12" t="str">
        <f t="shared" si="77"/>
        <v>N</v>
      </c>
      <c r="AA522" s="12">
        <f t="shared" si="78"/>
        <v>2</v>
      </c>
      <c r="AB522" s="12" t="str">
        <f t="shared" si="79"/>
        <v>MULTI-SIGNAL</v>
      </c>
      <c r="AC522" s="14" t="str">
        <f t="shared" si="80"/>
        <v>Settlement Authorization | Open Stipulation</v>
      </c>
    </row>
    <row r="523" spans="1:29" x14ac:dyDescent="0.45">
      <c r="A523" s="2" t="s">
        <v>1389</v>
      </c>
      <c r="B523" s="2" t="s">
        <v>1390</v>
      </c>
      <c r="C523" s="2" t="s">
        <v>367</v>
      </c>
      <c r="D523" s="2" t="s">
        <v>1391</v>
      </c>
      <c r="E523" s="11">
        <v>44126</v>
      </c>
      <c r="F523" s="12" t="s">
        <v>51</v>
      </c>
      <c r="G523" s="13">
        <v>44000</v>
      </c>
      <c r="H523" s="12" t="s">
        <v>52</v>
      </c>
      <c r="I523" s="11">
        <v>44762</v>
      </c>
      <c r="J523" s="12" t="s">
        <v>53</v>
      </c>
      <c r="K523" s="11"/>
      <c r="L523" s="12" t="s">
        <v>53</v>
      </c>
      <c r="M523" s="12" t="s">
        <v>53</v>
      </c>
      <c r="N523" s="11"/>
      <c r="O523" s="12"/>
      <c r="P523" s="12" t="s">
        <v>53</v>
      </c>
      <c r="Q523" s="14"/>
      <c r="R523" s="14"/>
      <c r="S523" s="12" t="s">
        <v>53</v>
      </c>
      <c r="T523" s="11"/>
      <c r="U523" s="12" t="str">
        <f t="shared" si="72"/>
        <v>N</v>
      </c>
      <c r="V523" s="12" t="str">
        <f t="shared" si="73"/>
        <v>N</v>
      </c>
      <c r="W523" s="12" t="str">
        <f t="shared" si="74"/>
        <v>N</v>
      </c>
      <c r="X523" s="12" t="str">
        <f t="shared" si="75"/>
        <v>N</v>
      </c>
      <c r="Y523" s="12" t="str">
        <f t="shared" si="76"/>
        <v>N</v>
      </c>
      <c r="Z523" s="12" t="str">
        <f t="shared" si="77"/>
        <v>N</v>
      </c>
      <c r="AA523" s="12">
        <f t="shared" si="78"/>
        <v>1</v>
      </c>
      <c r="AB523" s="12" t="str">
        <f t="shared" si="79"/>
        <v>SINGLE-SIGNAL</v>
      </c>
      <c r="AC523" s="14" t="str">
        <f t="shared" si="80"/>
        <v>Settlement Authorization</v>
      </c>
    </row>
    <row r="524" spans="1:29" ht="28.5" x14ac:dyDescent="0.45">
      <c r="A524" s="2" t="s">
        <v>1392</v>
      </c>
      <c r="B524" s="2" t="s">
        <v>1393</v>
      </c>
      <c r="C524" s="2" t="s">
        <v>367</v>
      </c>
      <c r="D524" s="2" t="s">
        <v>212</v>
      </c>
      <c r="E524" s="11">
        <v>44975</v>
      </c>
      <c r="F524" s="12" t="s">
        <v>51</v>
      </c>
      <c r="G524" s="13">
        <v>158500</v>
      </c>
      <c r="H524" s="12" t="s">
        <v>109</v>
      </c>
      <c r="I524" s="11">
        <v>45972</v>
      </c>
      <c r="J524" s="12" t="s">
        <v>51</v>
      </c>
      <c r="K524" s="11">
        <v>45293</v>
      </c>
      <c r="L524" s="12" t="s">
        <v>51</v>
      </c>
      <c r="M524" s="12" t="s">
        <v>51</v>
      </c>
      <c r="N524" s="11">
        <v>45374</v>
      </c>
      <c r="O524" s="12" t="s">
        <v>1394</v>
      </c>
      <c r="P524" s="12" t="s">
        <v>53</v>
      </c>
      <c r="Q524" s="14"/>
      <c r="R524" s="14"/>
      <c r="S524" s="12" t="s">
        <v>53</v>
      </c>
      <c r="T524" s="11"/>
      <c r="U524" s="12" t="str">
        <f t="shared" si="72"/>
        <v>N</v>
      </c>
      <c r="V524" s="12" t="str">
        <f t="shared" si="73"/>
        <v>N</v>
      </c>
      <c r="W524" s="12" t="str">
        <f t="shared" si="74"/>
        <v>N</v>
      </c>
      <c r="X524" s="12" t="str">
        <f t="shared" si="75"/>
        <v>N</v>
      </c>
      <c r="Y524" s="12" t="str">
        <f t="shared" si="76"/>
        <v>N</v>
      </c>
      <c r="Z524" s="12" t="str">
        <f t="shared" si="77"/>
        <v>N</v>
      </c>
      <c r="AA524" s="12">
        <f t="shared" si="78"/>
        <v>3</v>
      </c>
      <c r="AB524" s="12" t="str">
        <f t="shared" si="79"/>
        <v>ELEVATED MULTI-SIGNAL</v>
      </c>
      <c r="AC524" s="14" t="str">
        <f t="shared" si="80"/>
        <v>Settlement Authorization | Open Stipulation | Pending QME</v>
      </c>
    </row>
    <row r="525" spans="1:29" x14ac:dyDescent="0.45">
      <c r="A525" s="2" t="s">
        <v>1395</v>
      </c>
      <c r="B525" s="2" t="s">
        <v>1396</v>
      </c>
      <c r="C525" s="2" t="s">
        <v>367</v>
      </c>
      <c r="D525" s="2" t="s">
        <v>1397</v>
      </c>
      <c r="E525" s="11">
        <v>44960</v>
      </c>
      <c r="F525" s="12" t="s">
        <v>53</v>
      </c>
      <c r="G525" s="13"/>
      <c r="H525" s="12"/>
      <c r="I525" s="11"/>
      <c r="J525" s="12" t="s">
        <v>53</v>
      </c>
      <c r="K525" s="11"/>
      <c r="L525" s="12"/>
      <c r="M525" s="12" t="s">
        <v>53</v>
      </c>
      <c r="N525" s="11"/>
      <c r="O525" s="12"/>
      <c r="P525" s="12" t="s">
        <v>53</v>
      </c>
      <c r="Q525" s="14"/>
      <c r="R525" s="14"/>
      <c r="S525" s="12" t="s">
        <v>51</v>
      </c>
      <c r="T525" s="11">
        <v>45824</v>
      </c>
      <c r="U525" s="12" t="str">
        <f t="shared" si="72"/>
        <v>N</v>
      </c>
      <c r="V525" s="12" t="str">
        <f t="shared" si="73"/>
        <v>N</v>
      </c>
      <c r="W525" s="12" t="str">
        <f t="shared" si="74"/>
        <v>N</v>
      </c>
      <c r="X525" s="12" t="str">
        <f t="shared" si="75"/>
        <v>N</v>
      </c>
      <c r="Y525" s="12" t="str">
        <f t="shared" si="76"/>
        <v>N</v>
      </c>
      <c r="Z525" s="12" t="str">
        <f t="shared" si="77"/>
        <v>N</v>
      </c>
      <c r="AA525" s="12">
        <f t="shared" si="78"/>
        <v>1</v>
      </c>
      <c r="AB525" s="12" t="str">
        <f t="shared" si="79"/>
        <v>SINGLE-SIGNAL</v>
      </c>
      <c r="AC525" s="14" t="str">
        <f t="shared" si="80"/>
        <v>Inactive Customer</v>
      </c>
    </row>
    <row r="526" spans="1:29" x14ac:dyDescent="0.45">
      <c r="A526" s="2" t="s">
        <v>1398</v>
      </c>
      <c r="B526" s="2" t="s">
        <v>1399</v>
      </c>
      <c r="C526" s="2" t="s">
        <v>367</v>
      </c>
      <c r="D526" s="2" t="s">
        <v>1400</v>
      </c>
      <c r="E526" s="11">
        <v>44414</v>
      </c>
      <c r="F526" s="12" t="s">
        <v>51</v>
      </c>
      <c r="G526" s="13">
        <v>96250</v>
      </c>
      <c r="H526" s="12" t="s">
        <v>66</v>
      </c>
      <c r="I526" s="11">
        <v>45984</v>
      </c>
      <c r="J526" s="12" t="s">
        <v>53</v>
      </c>
      <c r="K526" s="11"/>
      <c r="L526" s="12" t="s">
        <v>53</v>
      </c>
      <c r="M526" s="12" t="s">
        <v>53</v>
      </c>
      <c r="N526" s="11"/>
      <c r="O526" s="12"/>
      <c r="P526" s="12" t="s">
        <v>53</v>
      </c>
      <c r="Q526" s="14"/>
      <c r="R526" s="14"/>
      <c r="S526" s="12" t="s">
        <v>53</v>
      </c>
      <c r="T526" s="11"/>
      <c r="U526" s="12" t="str">
        <f t="shared" si="72"/>
        <v>N</v>
      </c>
      <c r="V526" s="12" t="str">
        <f t="shared" si="73"/>
        <v>N</v>
      </c>
      <c r="W526" s="12" t="str">
        <f t="shared" si="74"/>
        <v>N</v>
      </c>
      <c r="X526" s="12" t="str">
        <f t="shared" si="75"/>
        <v>N</v>
      </c>
      <c r="Y526" s="12" t="str">
        <f t="shared" si="76"/>
        <v>N</v>
      </c>
      <c r="Z526" s="12" t="str">
        <f t="shared" si="77"/>
        <v>N</v>
      </c>
      <c r="AA526" s="12">
        <f t="shared" si="78"/>
        <v>1</v>
      </c>
      <c r="AB526" s="12" t="str">
        <f t="shared" si="79"/>
        <v>SINGLE-SIGNAL</v>
      </c>
      <c r="AC526" s="14" t="str">
        <f t="shared" si="80"/>
        <v>Settlement Authorization</v>
      </c>
    </row>
    <row r="527" spans="1:29" x14ac:dyDescent="0.45">
      <c r="A527" s="2" t="s">
        <v>1401</v>
      </c>
      <c r="B527" s="2" t="s">
        <v>1402</v>
      </c>
      <c r="C527" s="2" t="s">
        <v>367</v>
      </c>
      <c r="D527" s="2" t="s">
        <v>1045</v>
      </c>
      <c r="E527" s="11">
        <v>43362</v>
      </c>
      <c r="F527" s="12" t="s">
        <v>51</v>
      </c>
      <c r="G527" s="13">
        <v>37500</v>
      </c>
      <c r="H527" s="12" t="s">
        <v>59</v>
      </c>
      <c r="I527" s="11">
        <v>43555</v>
      </c>
      <c r="J527" s="12" t="s">
        <v>53</v>
      </c>
      <c r="K527" s="11"/>
      <c r="L527" s="12" t="s">
        <v>53</v>
      </c>
      <c r="M527" s="12" t="s">
        <v>53</v>
      </c>
      <c r="N527" s="11"/>
      <c r="O527" s="12"/>
      <c r="P527" s="12" t="s">
        <v>53</v>
      </c>
      <c r="Q527" s="14"/>
      <c r="R527" s="14"/>
      <c r="S527" s="12" t="s">
        <v>53</v>
      </c>
      <c r="T527" s="11"/>
      <c r="U527" s="12" t="str">
        <f t="shared" si="72"/>
        <v>N</v>
      </c>
      <c r="V527" s="12" t="str">
        <f t="shared" si="73"/>
        <v>N</v>
      </c>
      <c r="W527" s="12" t="str">
        <f t="shared" si="74"/>
        <v>N</v>
      </c>
      <c r="X527" s="12" t="str">
        <f t="shared" si="75"/>
        <v>N</v>
      </c>
      <c r="Y527" s="12" t="str">
        <f t="shared" si="76"/>
        <v>N</v>
      </c>
      <c r="Z527" s="12" t="str">
        <f t="shared" si="77"/>
        <v>N</v>
      </c>
      <c r="AA527" s="12">
        <f t="shared" si="78"/>
        <v>1</v>
      </c>
      <c r="AB527" s="12" t="str">
        <f t="shared" si="79"/>
        <v>SINGLE-SIGNAL</v>
      </c>
      <c r="AC527" s="14" t="str">
        <f t="shared" si="80"/>
        <v>Settlement Authorization</v>
      </c>
    </row>
    <row r="528" spans="1:29" x14ac:dyDescent="0.45">
      <c r="A528" s="2" t="s">
        <v>1403</v>
      </c>
      <c r="B528" s="2" t="s">
        <v>1404</v>
      </c>
      <c r="C528" s="2" t="s">
        <v>367</v>
      </c>
      <c r="D528" s="2" t="s">
        <v>112</v>
      </c>
      <c r="E528" s="11">
        <v>43626</v>
      </c>
      <c r="F528" s="12" t="s">
        <v>53</v>
      </c>
      <c r="G528" s="13"/>
      <c r="H528" s="12"/>
      <c r="I528" s="11"/>
      <c r="J528" s="12" t="s">
        <v>53</v>
      </c>
      <c r="K528" s="11"/>
      <c r="L528" s="12"/>
      <c r="M528" s="12" t="s">
        <v>53</v>
      </c>
      <c r="N528" s="11"/>
      <c r="O528" s="12"/>
      <c r="P528" s="12" t="s">
        <v>53</v>
      </c>
      <c r="Q528" s="14"/>
      <c r="R528" s="14"/>
      <c r="S528" s="12" t="s">
        <v>51</v>
      </c>
      <c r="T528" s="11">
        <v>45825</v>
      </c>
      <c r="U528" s="12" t="str">
        <f t="shared" si="72"/>
        <v>N</v>
      </c>
      <c r="V528" s="12" t="str">
        <f t="shared" si="73"/>
        <v>N</v>
      </c>
      <c r="W528" s="12" t="str">
        <f t="shared" si="74"/>
        <v>N</v>
      </c>
      <c r="X528" s="12" t="str">
        <f t="shared" si="75"/>
        <v>N</v>
      </c>
      <c r="Y528" s="12" t="str">
        <f t="shared" si="76"/>
        <v>N</v>
      </c>
      <c r="Z528" s="12" t="str">
        <f t="shared" si="77"/>
        <v>N</v>
      </c>
      <c r="AA528" s="12">
        <f t="shared" si="78"/>
        <v>1</v>
      </c>
      <c r="AB528" s="12" t="str">
        <f t="shared" si="79"/>
        <v>SINGLE-SIGNAL</v>
      </c>
      <c r="AC528" s="14" t="str">
        <f t="shared" si="80"/>
        <v>Inactive Customer</v>
      </c>
    </row>
    <row r="529" spans="1:29" x14ac:dyDescent="0.45">
      <c r="A529" s="2" t="s">
        <v>1405</v>
      </c>
      <c r="B529" s="2" t="s">
        <v>1406</v>
      </c>
      <c r="C529" s="2" t="s">
        <v>367</v>
      </c>
      <c r="D529" s="2" t="s">
        <v>730</v>
      </c>
      <c r="E529" s="11">
        <v>45669</v>
      </c>
      <c r="F529" s="12" t="s">
        <v>53</v>
      </c>
      <c r="G529" s="13"/>
      <c r="H529" s="12"/>
      <c r="I529" s="11"/>
      <c r="J529" s="12" t="s">
        <v>53</v>
      </c>
      <c r="K529" s="11"/>
      <c r="L529" s="12"/>
      <c r="M529" s="12" t="s">
        <v>51</v>
      </c>
      <c r="N529" s="11">
        <v>46620</v>
      </c>
      <c r="O529" s="12" t="s">
        <v>139</v>
      </c>
      <c r="P529" s="12" t="s">
        <v>53</v>
      </c>
      <c r="Q529" s="14"/>
      <c r="R529" s="14"/>
      <c r="S529" s="12" t="s">
        <v>53</v>
      </c>
      <c r="T529" s="11"/>
      <c r="U529" s="12" t="str">
        <f t="shared" si="72"/>
        <v>N</v>
      </c>
      <c r="V529" s="12" t="str">
        <f t="shared" si="73"/>
        <v>N</v>
      </c>
      <c r="W529" s="12" t="str">
        <f t="shared" si="74"/>
        <v>N</v>
      </c>
      <c r="X529" s="12" t="str">
        <f t="shared" si="75"/>
        <v>N</v>
      </c>
      <c r="Y529" s="12" t="str">
        <f t="shared" si="76"/>
        <v>N</v>
      </c>
      <c r="Z529" s="12" t="str">
        <f t="shared" si="77"/>
        <v>N</v>
      </c>
      <c r="AA529" s="12">
        <f t="shared" si="78"/>
        <v>1</v>
      </c>
      <c r="AB529" s="12" t="str">
        <f t="shared" si="79"/>
        <v>SINGLE-SIGNAL</v>
      </c>
      <c r="AC529" s="14" t="str">
        <f t="shared" si="80"/>
        <v>Pending QME</v>
      </c>
    </row>
    <row r="530" spans="1:29" x14ac:dyDescent="0.45">
      <c r="A530" s="2" t="s">
        <v>1407</v>
      </c>
      <c r="B530" s="2" t="s">
        <v>1408</v>
      </c>
      <c r="C530" s="2" t="s">
        <v>367</v>
      </c>
      <c r="D530" s="2" t="s">
        <v>283</v>
      </c>
      <c r="E530" s="11">
        <v>44343</v>
      </c>
      <c r="F530" s="12" t="s">
        <v>53</v>
      </c>
      <c r="G530" s="13"/>
      <c r="H530" s="12"/>
      <c r="I530" s="11"/>
      <c r="J530" s="12" t="s">
        <v>51</v>
      </c>
      <c r="K530" s="11">
        <v>45582</v>
      </c>
      <c r="L530" s="12" t="s">
        <v>53</v>
      </c>
      <c r="M530" s="12" t="s">
        <v>53</v>
      </c>
      <c r="N530" s="11"/>
      <c r="O530" s="12"/>
      <c r="P530" s="12" t="s">
        <v>53</v>
      </c>
      <c r="Q530" s="14"/>
      <c r="R530" s="14"/>
      <c r="S530" s="12" t="s">
        <v>53</v>
      </c>
      <c r="T530" s="11"/>
      <c r="U530" s="12" t="str">
        <f t="shared" si="72"/>
        <v>N</v>
      </c>
      <c r="V530" s="12" t="str">
        <f t="shared" si="73"/>
        <v>N</v>
      </c>
      <c r="W530" s="12" t="str">
        <f t="shared" si="74"/>
        <v>N</v>
      </c>
      <c r="X530" s="12" t="str">
        <f t="shared" si="75"/>
        <v>N</v>
      </c>
      <c r="Y530" s="12" t="str">
        <f t="shared" si="76"/>
        <v>N</v>
      </c>
      <c r="Z530" s="12" t="str">
        <f t="shared" si="77"/>
        <v>N</v>
      </c>
      <c r="AA530" s="12">
        <f t="shared" si="78"/>
        <v>1</v>
      </c>
      <c r="AB530" s="12" t="str">
        <f t="shared" si="79"/>
        <v>SINGLE-SIGNAL</v>
      </c>
      <c r="AC530" s="14" t="str">
        <f t="shared" si="80"/>
        <v>Open Stipulation</v>
      </c>
    </row>
    <row r="531" spans="1:29" x14ac:dyDescent="0.45">
      <c r="A531" s="2" t="s">
        <v>1409</v>
      </c>
      <c r="B531" s="2" t="s">
        <v>1410</v>
      </c>
      <c r="C531" s="2" t="s">
        <v>367</v>
      </c>
      <c r="D531" s="2" t="s">
        <v>524</v>
      </c>
      <c r="E531" s="11">
        <v>44086</v>
      </c>
      <c r="F531" s="12" t="s">
        <v>51</v>
      </c>
      <c r="G531" s="13">
        <v>141250</v>
      </c>
      <c r="H531" s="12" t="s">
        <v>71</v>
      </c>
      <c r="I531" s="11">
        <v>44250</v>
      </c>
      <c r="J531" s="12" t="s">
        <v>53</v>
      </c>
      <c r="K531" s="11"/>
      <c r="L531" s="12" t="s">
        <v>53</v>
      </c>
      <c r="M531" s="12" t="s">
        <v>53</v>
      </c>
      <c r="N531" s="11"/>
      <c r="O531" s="12"/>
      <c r="P531" s="12" t="s">
        <v>53</v>
      </c>
      <c r="Q531" s="14"/>
      <c r="R531" s="14"/>
      <c r="S531" s="12" t="s">
        <v>53</v>
      </c>
      <c r="T531" s="11"/>
      <c r="U531" s="12" t="str">
        <f t="shared" si="72"/>
        <v>N</v>
      </c>
      <c r="V531" s="12" t="str">
        <f t="shared" si="73"/>
        <v>N</v>
      </c>
      <c r="W531" s="12" t="str">
        <f t="shared" si="74"/>
        <v>N</v>
      </c>
      <c r="X531" s="12" t="str">
        <f t="shared" si="75"/>
        <v>N</v>
      </c>
      <c r="Y531" s="12" t="str">
        <f t="shared" si="76"/>
        <v>N</v>
      </c>
      <c r="Z531" s="12" t="str">
        <f t="shared" si="77"/>
        <v>N</v>
      </c>
      <c r="AA531" s="12">
        <f t="shared" si="78"/>
        <v>1</v>
      </c>
      <c r="AB531" s="12" t="str">
        <f t="shared" si="79"/>
        <v>SINGLE-SIGNAL</v>
      </c>
      <c r="AC531" s="14" t="str">
        <f t="shared" si="80"/>
        <v>Settlement Authorization</v>
      </c>
    </row>
    <row r="532" spans="1:29" ht="28.5" x14ac:dyDescent="0.45">
      <c r="A532" s="2" t="s">
        <v>1411</v>
      </c>
      <c r="B532" s="2" t="s">
        <v>1412</v>
      </c>
      <c r="C532" s="2" t="s">
        <v>367</v>
      </c>
      <c r="D532" s="2" t="s">
        <v>267</v>
      </c>
      <c r="E532" s="11">
        <v>45140</v>
      </c>
      <c r="F532" s="12" t="s">
        <v>51</v>
      </c>
      <c r="G532" s="13">
        <v>50000</v>
      </c>
      <c r="H532" s="12" t="s">
        <v>78</v>
      </c>
      <c r="I532" s="11">
        <v>46913</v>
      </c>
      <c r="J532" s="12" t="s">
        <v>53</v>
      </c>
      <c r="K532" s="11"/>
      <c r="L532" s="12" t="s">
        <v>53</v>
      </c>
      <c r="M532" s="12" t="s">
        <v>53</v>
      </c>
      <c r="N532" s="11"/>
      <c r="O532" s="12"/>
      <c r="P532" s="12" t="s">
        <v>51</v>
      </c>
      <c r="Q532" s="14" t="s">
        <v>1413</v>
      </c>
      <c r="R532" s="14" t="s">
        <v>415</v>
      </c>
      <c r="S532" s="12" t="s">
        <v>53</v>
      </c>
      <c r="T532" s="11"/>
      <c r="U532" s="12" t="str">
        <f t="shared" si="72"/>
        <v>Y</v>
      </c>
      <c r="V532" s="12" t="str">
        <f t="shared" si="73"/>
        <v>Y</v>
      </c>
      <c r="W532" s="12" t="str">
        <f t="shared" si="74"/>
        <v>Y</v>
      </c>
      <c r="X532" s="12" t="str">
        <f t="shared" si="75"/>
        <v>Y</v>
      </c>
      <c r="Y532" s="12" t="str">
        <f t="shared" si="76"/>
        <v>Y</v>
      </c>
      <c r="Z532" s="12" t="str">
        <f t="shared" si="77"/>
        <v>N</v>
      </c>
      <c r="AA532" s="12">
        <f t="shared" si="78"/>
        <v>2</v>
      </c>
      <c r="AB532" s="12" t="str">
        <f t="shared" si="79"/>
        <v>MULTI-SIGNAL</v>
      </c>
      <c r="AC532" s="14" t="str">
        <f t="shared" si="80"/>
        <v>Settlement Authorization | Automated Claim Alert</v>
      </c>
    </row>
    <row r="533" spans="1:29" ht="28.5" x14ac:dyDescent="0.45">
      <c r="A533" s="2" t="s">
        <v>1414</v>
      </c>
      <c r="B533" s="2" t="s">
        <v>1415</v>
      </c>
      <c r="C533" s="2" t="s">
        <v>367</v>
      </c>
      <c r="D533" s="2" t="s">
        <v>132</v>
      </c>
      <c r="E533" s="11">
        <v>45843</v>
      </c>
      <c r="F533" s="12" t="s">
        <v>51</v>
      </c>
      <c r="G533" s="13">
        <v>64000</v>
      </c>
      <c r="H533" s="12" t="s">
        <v>85</v>
      </c>
      <c r="I533" s="11">
        <v>46964</v>
      </c>
      <c r="J533" s="12" t="s">
        <v>53</v>
      </c>
      <c r="K533" s="11"/>
      <c r="L533" s="12" t="s">
        <v>53</v>
      </c>
      <c r="M533" s="12" t="s">
        <v>51</v>
      </c>
      <c r="N533" s="11">
        <v>46638</v>
      </c>
      <c r="O533" s="12" t="s">
        <v>1135</v>
      </c>
      <c r="P533" s="12" t="s">
        <v>51</v>
      </c>
      <c r="Q533" s="14" t="s">
        <v>560</v>
      </c>
      <c r="R533" s="14" t="s">
        <v>61</v>
      </c>
      <c r="S533" s="12" t="s">
        <v>51</v>
      </c>
      <c r="T533" s="11">
        <v>47665</v>
      </c>
      <c r="U533" s="12" t="str">
        <f t="shared" si="72"/>
        <v>N</v>
      </c>
      <c r="V533" s="12" t="str">
        <f t="shared" si="73"/>
        <v>Y</v>
      </c>
      <c r="W533" s="12" t="str">
        <f t="shared" si="74"/>
        <v>N</v>
      </c>
      <c r="X533" s="12" t="str">
        <f t="shared" si="75"/>
        <v>Y</v>
      </c>
      <c r="Y533" s="12" t="str">
        <f t="shared" si="76"/>
        <v>Y</v>
      </c>
      <c r="Z533" s="12" t="str">
        <f t="shared" si="77"/>
        <v>Y</v>
      </c>
      <c r="AA533" s="12">
        <f t="shared" si="78"/>
        <v>4</v>
      </c>
      <c r="AB533" s="12" t="str">
        <f t="shared" si="79"/>
        <v>HIGH MULTI-SIGNAL</v>
      </c>
      <c r="AC533" s="14" t="str">
        <f t="shared" si="80"/>
        <v>Settlement Authorization | Pending QME | Automated Claim Alert | Inactive Customer</v>
      </c>
    </row>
    <row r="534" spans="1:29" x14ac:dyDescent="0.45">
      <c r="A534" s="2" t="s">
        <v>1416</v>
      </c>
      <c r="B534" s="2" t="s">
        <v>1417</v>
      </c>
      <c r="C534" s="2" t="s">
        <v>367</v>
      </c>
      <c r="D534" s="2" t="s">
        <v>907</v>
      </c>
      <c r="E534" s="11">
        <v>43392</v>
      </c>
      <c r="F534" s="12" t="s">
        <v>51</v>
      </c>
      <c r="G534" s="13">
        <v>98000</v>
      </c>
      <c r="H534" s="12" t="s">
        <v>71</v>
      </c>
      <c r="I534" s="11">
        <v>44952</v>
      </c>
      <c r="J534" s="12" t="s">
        <v>51</v>
      </c>
      <c r="K534" s="11">
        <v>43823</v>
      </c>
      <c r="L534" s="12" t="s">
        <v>51</v>
      </c>
      <c r="M534" s="12" t="s">
        <v>53</v>
      </c>
      <c r="N534" s="11"/>
      <c r="O534" s="12"/>
      <c r="P534" s="12" t="s">
        <v>53</v>
      </c>
      <c r="Q534" s="14"/>
      <c r="R534" s="14"/>
      <c r="S534" s="12" t="s">
        <v>53</v>
      </c>
      <c r="T534" s="11"/>
      <c r="U534" s="12" t="str">
        <f t="shared" si="72"/>
        <v>N</v>
      </c>
      <c r="V534" s="12" t="str">
        <f t="shared" si="73"/>
        <v>N</v>
      </c>
      <c r="W534" s="12" t="str">
        <f t="shared" si="74"/>
        <v>N</v>
      </c>
      <c r="X534" s="12" t="str">
        <f t="shared" si="75"/>
        <v>N</v>
      </c>
      <c r="Y534" s="12" t="str">
        <f t="shared" si="76"/>
        <v>N</v>
      </c>
      <c r="Z534" s="12" t="str">
        <f t="shared" si="77"/>
        <v>N</v>
      </c>
      <c r="AA534" s="12">
        <f t="shared" si="78"/>
        <v>2</v>
      </c>
      <c r="AB534" s="12" t="str">
        <f t="shared" si="79"/>
        <v>MULTI-SIGNAL</v>
      </c>
      <c r="AC534" s="14" t="str">
        <f t="shared" si="80"/>
        <v>Settlement Authorization | Open Stipulation</v>
      </c>
    </row>
    <row r="535" spans="1:29" ht="28.5" x14ac:dyDescent="0.45">
      <c r="A535" s="2" t="s">
        <v>1418</v>
      </c>
      <c r="B535" s="2" t="s">
        <v>1419</v>
      </c>
      <c r="C535" s="2" t="s">
        <v>367</v>
      </c>
      <c r="D535" s="2" t="s">
        <v>148</v>
      </c>
      <c r="E535" s="11">
        <v>43606</v>
      </c>
      <c r="F535" s="12" t="s">
        <v>53</v>
      </c>
      <c r="G535" s="13"/>
      <c r="H535" s="12"/>
      <c r="I535" s="11"/>
      <c r="J535" s="12" t="s">
        <v>51</v>
      </c>
      <c r="K535" s="11">
        <v>44951</v>
      </c>
      <c r="L535" s="12" t="s">
        <v>51</v>
      </c>
      <c r="M535" s="12" t="s">
        <v>51</v>
      </c>
      <c r="N535" s="11">
        <v>45448</v>
      </c>
      <c r="O535" s="12" t="s">
        <v>1236</v>
      </c>
      <c r="P535" s="12" t="s">
        <v>51</v>
      </c>
      <c r="Q535" s="14" t="s">
        <v>222</v>
      </c>
      <c r="R535" s="14" t="s">
        <v>374</v>
      </c>
      <c r="S535" s="12" t="s">
        <v>53</v>
      </c>
      <c r="T535" s="11"/>
      <c r="U535" s="12" t="str">
        <f t="shared" si="72"/>
        <v>N</v>
      </c>
      <c r="V535" s="12" t="str">
        <f t="shared" si="73"/>
        <v>N</v>
      </c>
      <c r="W535" s="12" t="str">
        <f t="shared" si="74"/>
        <v>N</v>
      </c>
      <c r="X535" s="12" t="str">
        <f t="shared" si="75"/>
        <v>Y</v>
      </c>
      <c r="Y535" s="12" t="str">
        <f t="shared" si="76"/>
        <v>Y</v>
      </c>
      <c r="Z535" s="12" t="str">
        <f t="shared" si="77"/>
        <v>Y</v>
      </c>
      <c r="AA535" s="12">
        <f t="shared" si="78"/>
        <v>3</v>
      </c>
      <c r="AB535" s="12" t="str">
        <f t="shared" si="79"/>
        <v>ELEVATED MULTI-SIGNAL</v>
      </c>
      <c r="AC535" s="14" t="str">
        <f t="shared" si="80"/>
        <v>Open Stipulation | Pending QME | Automated Claim Alert</v>
      </c>
    </row>
    <row r="536" spans="1:29" ht="28.5" x14ac:dyDescent="0.45">
      <c r="A536" s="2" t="s">
        <v>1420</v>
      </c>
      <c r="B536" s="2" t="s">
        <v>1421</v>
      </c>
      <c r="C536" s="2" t="s">
        <v>367</v>
      </c>
      <c r="D536" s="2" t="s">
        <v>453</v>
      </c>
      <c r="E536" s="11">
        <v>43621</v>
      </c>
      <c r="F536" s="12" t="s">
        <v>51</v>
      </c>
      <c r="G536" s="13">
        <v>62500</v>
      </c>
      <c r="H536" s="12" t="s">
        <v>109</v>
      </c>
      <c r="I536" s="11">
        <v>44692</v>
      </c>
      <c r="J536" s="12" t="s">
        <v>53</v>
      </c>
      <c r="K536" s="11"/>
      <c r="L536" s="12" t="s">
        <v>53</v>
      </c>
      <c r="M536" s="12" t="s">
        <v>53</v>
      </c>
      <c r="N536" s="11"/>
      <c r="O536" s="12"/>
      <c r="P536" s="12" t="s">
        <v>51</v>
      </c>
      <c r="Q536" s="14" t="s">
        <v>222</v>
      </c>
      <c r="R536" s="14" t="s">
        <v>183</v>
      </c>
      <c r="S536" s="12" t="s">
        <v>53</v>
      </c>
      <c r="T536" s="11"/>
      <c r="U536" s="12" t="str">
        <f t="shared" si="72"/>
        <v>N</v>
      </c>
      <c r="V536" s="12" t="str">
        <f t="shared" si="73"/>
        <v>N</v>
      </c>
      <c r="W536" s="12" t="str">
        <f t="shared" si="74"/>
        <v>Y</v>
      </c>
      <c r="X536" s="12" t="str">
        <f t="shared" si="75"/>
        <v>N</v>
      </c>
      <c r="Y536" s="12" t="str">
        <f t="shared" si="76"/>
        <v>Y</v>
      </c>
      <c r="Z536" s="12" t="str">
        <f t="shared" si="77"/>
        <v>N</v>
      </c>
      <c r="AA536" s="12">
        <f t="shared" si="78"/>
        <v>2</v>
      </c>
      <c r="AB536" s="12" t="str">
        <f t="shared" si="79"/>
        <v>MULTI-SIGNAL</v>
      </c>
      <c r="AC536" s="14" t="str">
        <f t="shared" si="80"/>
        <v>Settlement Authorization | Automated Claim Alert</v>
      </c>
    </row>
    <row r="537" spans="1:29" x14ac:dyDescent="0.45">
      <c r="A537" s="2" t="s">
        <v>1422</v>
      </c>
      <c r="B537" s="2" t="s">
        <v>1423</v>
      </c>
      <c r="C537" s="2" t="s">
        <v>367</v>
      </c>
      <c r="D537" s="2" t="s">
        <v>132</v>
      </c>
      <c r="E537" s="11">
        <v>45643</v>
      </c>
      <c r="F537" s="12" t="s">
        <v>51</v>
      </c>
      <c r="G537" s="13">
        <v>4750</v>
      </c>
      <c r="H537" s="12" t="s">
        <v>89</v>
      </c>
      <c r="I537" s="11">
        <v>46400</v>
      </c>
      <c r="J537" s="12" t="s">
        <v>53</v>
      </c>
      <c r="K537" s="11"/>
      <c r="L537" s="12" t="s">
        <v>53</v>
      </c>
      <c r="M537" s="12" t="s">
        <v>53</v>
      </c>
      <c r="N537" s="11"/>
      <c r="O537" s="12"/>
      <c r="P537" s="12" t="s">
        <v>53</v>
      </c>
      <c r="Q537" s="14"/>
      <c r="R537" s="14"/>
      <c r="S537" s="12" t="s">
        <v>51</v>
      </c>
      <c r="T537" s="11">
        <v>47292</v>
      </c>
      <c r="U537" s="12" t="str">
        <f t="shared" si="72"/>
        <v>N</v>
      </c>
      <c r="V537" s="12" t="str">
        <f t="shared" si="73"/>
        <v>N</v>
      </c>
      <c r="W537" s="12" t="str">
        <f t="shared" si="74"/>
        <v>N</v>
      </c>
      <c r="X537" s="12" t="str">
        <f t="shared" si="75"/>
        <v>N</v>
      </c>
      <c r="Y537" s="12" t="str">
        <f t="shared" si="76"/>
        <v>N</v>
      </c>
      <c r="Z537" s="12" t="str">
        <f t="shared" si="77"/>
        <v>N</v>
      </c>
      <c r="AA537" s="12">
        <f t="shared" si="78"/>
        <v>2</v>
      </c>
      <c r="AB537" s="12" t="str">
        <f t="shared" si="79"/>
        <v>MULTI-SIGNAL</v>
      </c>
      <c r="AC537" s="14" t="str">
        <f t="shared" si="80"/>
        <v>Settlement Authorization | Inactive Customer</v>
      </c>
    </row>
    <row r="538" spans="1:29" x14ac:dyDescent="0.45">
      <c r="A538" s="2" t="s">
        <v>1424</v>
      </c>
      <c r="B538" s="2" t="s">
        <v>1425</v>
      </c>
      <c r="C538" s="2" t="s">
        <v>367</v>
      </c>
      <c r="D538" s="2" t="s">
        <v>1291</v>
      </c>
      <c r="E538" s="11">
        <v>45919</v>
      </c>
      <c r="F538" s="12" t="s">
        <v>51</v>
      </c>
      <c r="G538" s="13">
        <v>139250</v>
      </c>
      <c r="H538" s="12" t="s">
        <v>85</v>
      </c>
      <c r="I538" s="11">
        <v>47599</v>
      </c>
      <c r="J538" s="12" t="s">
        <v>53</v>
      </c>
      <c r="K538" s="11"/>
      <c r="L538" s="12" t="s">
        <v>51</v>
      </c>
      <c r="M538" s="12" t="s">
        <v>53</v>
      </c>
      <c r="N538" s="11"/>
      <c r="O538" s="12"/>
      <c r="P538" s="12" t="s">
        <v>53</v>
      </c>
      <c r="Q538" s="14"/>
      <c r="R538" s="14"/>
      <c r="S538" s="12" t="s">
        <v>51</v>
      </c>
      <c r="T538" s="11">
        <v>46332</v>
      </c>
      <c r="U538" s="12" t="str">
        <f t="shared" si="72"/>
        <v>N</v>
      </c>
      <c r="V538" s="12" t="str">
        <f t="shared" si="73"/>
        <v>N</v>
      </c>
      <c r="W538" s="12" t="str">
        <f t="shared" si="74"/>
        <v>N</v>
      </c>
      <c r="X538" s="12" t="str">
        <f t="shared" si="75"/>
        <v>N</v>
      </c>
      <c r="Y538" s="12" t="str">
        <f t="shared" si="76"/>
        <v>N</v>
      </c>
      <c r="Z538" s="12" t="str">
        <f t="shared" si="77"/>
        <v>N</v>
      </c>
      <c r="AA538" s="12">
        <f t="shared" si="78"/>
        <v>2</v>
      </c>
      <c r="AB538" s="12" t="str">
        <f t="shared" si="79"/>
        <v>MULTI-SIGNAL</v>
      </c>
      <c r="AC538" s="14" t="str">
        <f t="shared" si="80"/>
        <v>Settlement Authorization | Inactive Customer</v>
      </c>
    </row>
    <row r="539" spans="1:29" ht="28.5" x14ac:dyDescent="0.45">
      <c r="A539" s="2" t="s">
        <v>1426</v>
      </c>
      <c r="B539" s="2" t="s">
        <v>1427</v>
      </c>
      <c r="C539" s="2" t="s">
        <v>367</v>
      </c>
      <c r="D539" s="2" t="s">
        <v>930</v>
      </c>
      <c r="E539" s="11">
        <v>45670</v>
      </c>
      <c r="F539" s="12" t="s">
        <v>53</v>
      </c>
      <c r="G539" s="13"/>
      <c r="H539" s="12"/>
      <c r="I539" s="11"/>
      <c r="J539" s="12" t="s">
        <v>53</v>
      </c>
      <c r="K539" s="11"/>
      <c r="L539" s="12"/>
      <c r="M539" s="12" t="s">
        <v>53</v>
      </c>
      <c r="N539" s="11"/>
      <c r="O539" s="12"/>
      <c r="P539" s="12" t="s">
        <v>51</v>
      </c>
      <c r="Q539" s="14" t="s">
        <v>1428</v>
      </c>
      <c r="R539" s="14"/>
      <c r="S539" s="12" t="s">
        <v>51</v>
      </c>
      <c r="T539" s="11">
        <v>47540</v>
      </c>
      <c r="U539" s="12" t="str">
        <f t="shared" si="72"/>
        <v>N</v>
      </c>
      <c r="V539" s="12" t="str">
        <f t="shared" si="73"/>
        <v>Y</v>
      </c>
      <c r="W539" s="12" t="str">
        <f t="shared" si="74"/>
        <v>Y</v>
      </c>
      <c r="X539" s="12" t="str">
        <f t="shared" si="75"/>
        <v>N</v>
      </c>
      <c r="Y539" s="12" t="str">
        <f t="shared" si="76"/>
        <v>N</v>
      </c>
      <c r="Z539" s="12" t="str">
        <f t="shared" si="77"/>
        <v>Y</v>
      </c>
      <c r="AA539" s="12">
        <f t="shared" si="78"/>
        <v>2</v>
      </c>
      <c r="AB539" s="12" t="str">
        <f t="shared" si="79"/>
        <v>MULTI-SIGNAL</v>
      </c>
      <c r="AC539" s="14" t="str">
        <f t="shared" si="80"/>
        <v>Automated Claim Alert | Inactive Customer</v>
      </c>
    </row>
    <row r="540" spans="1:29" ht="28.5" x14ac:dyDescent="0.45">
      <c r="A540" s="2" t="s">
        <v>1429</v>
      </c>
      <c r="B540" s="2" t="s">
        <v>1430</v>
      </c>
      <c r="C540" s="2" t="s">
        <v>367</v>
      </c>
      <c r="D540" s="2" t="s">
        <v>665</v>
      </c>
      <c r="E540" s="11">
        <v>44090</v>
      </c>
      <c r="F540" s="12" t="s">
        <v>53</v>
      </c>
      <c r="G540" s="13"/>
      <c r="H540" s="12"/>
      <c r="I540" s="11"/>
      <c r="J540" s="12" t="s">
        <v>53</v>
      </c>
      <c r="K540" s="11"/>
      <c r="L540" s="12"/>
      <c r="M540" s="12" t="s">
        <v>53</v>
      </c>
      <c r="N540" s="11"/>
      <c r="O540" s="12"/>
      <c r="P540" s="12" t="s">
        <v>51</v>
      </c>
      <c r="Q540" s="14" t="s">
        <v>560</v>
      </c>
      <c r="R540" s="14"/>
      <c r="S540" s="12" t="s">
        <v>53</v>
      </c>
      <c r="T540" s="11"/>
      <c r="U540" s="12" t="str">
        <f t="shared" si="72"/>
        <v>N</v>
      </c>
      <c r="V540" s="12" t="str">
        <f t="shared" si="73"/>
        <v>Y</v>
      </c>
      <c r="W540" s="12" t="str">
        <f t="shared" si="74"/>
        <v>N</v>
      </c>
      <c r="X540" s="12" t="str">
        <f t="shared" si="75"/>
        <v>N</v>
      </c>
      <c r="Y540" s="12" t="str">
        <f t="shared" si="76"/>
        <v>Y</v>
      </c>
      <c r="Z540" s="12" t="str">
        <f t="shared" si="77"/>
        <v>N</v>
      </c>
      <c r="AA540" s="12">
        <f t="shared" si="78"/>
        <v>1</v>
      </c>
      <c r="AB540" s="12" t="str">
        <f t="shared" si="79"/>
        <v>SINGLE-SIGNAL</v>
      </c>
      <c r="AC540" s="14" t="str">
        <f t="shared" si="80"/>
        <v>Automated Claim Alert</v>
      </c>
    </row>
    <row r="541" spans="1:29" ht="28.5" x14ac:dyDescent="0.45">
      <c r="A541" s="2" t="s">
        <v>1431</v>
      </c>
      <c r="B541" s="2" t="s">
        <v>1432</v>
      </c>
      <c r="C541" s="2" t="s">
        <v>367</v>
      </c>
      <c r="D541" s="2" t="s">
        <v>241</v>
      </c>
      <c r="E541" s="11">
        <v>44404</v>
      </c>
      <c r="F541" s="12" t="s">
        <v>53</v>
      </c>
      <c r="G541" s="13"/>
      <c r="H541" s="12"/>
      <c r="I541" s="11"/>
      <c r="J541" s="12" t="s">
        <v>53</v>
      </c>
      <c r="K541" s="11"/>
      <c r="L541" s="12"/>
      <c r="M541" s="12" t="s">
        <v>53</v>
      </c>
      <c r="N541" s="11"/>
      <c r="O541" s="12"/>
      <c r="P541" s="12" t="s">
        <v>51</v>
      </c>
      <c r="Q541" s="14" t="s">
        <v>544</v>
      </c>
      <c r="R541" s="14" t="s">
        <v>149</v>
      </c>
      <c r="S541" s="12" t="s">
        <v>53</v>
      </c>
      <c r="T541" s="11"/>
      <c r="U541" s="12" t="str">
        <f t="shared" si="72"/>
        <v>Y</v>
      </c>
      <c r="V541" s="12" t="str">
        <f t="shared" si="73"/>
        <v>Y</v>
      </c>
      <c r="W541" s="12" t="str">
        <f t="shared" si="74"/>
        <v>N</v>
      </c>
      <c r="X541" s="12" t="str">
        <f t="shared" si="75"/>
        <v>N</v>
      </c>
      <c r="Y541" s="12" t="str">
        <f t="shared" si="76"/>
        <v>Y</v>
      </c>
      <c r="Z541" s="12" t="str">
        <f t="shared" si="77"/>
        <v>Y</v>
      </c>
      <c r="AA541" s="12">
        <f t="shared" si="78"/>
        <v>1</v>
      </c>
      <c r="AB541" s="12" t="str">
        <f t="shared" si="79"/>
        <v>SINGLE-SIGNAL</v>
      </c>
      <c r="AC541" s="14" t="str">
        <f t="shared" si="80"/>
        <v>Automated Claim Alert</v>
      </c>
    </row>
    <row r="542" spans="1:29" x14ac:dyDescent="0.45">
      <c r="A542" s="2" t="s">
        <v>1433</v>
      </c>
      <c r="B542" s="2" t="s">
        <v>1434</v>
      </c>
      <c r="C542" s="2" t="s">
        <v>367</v>
      </c>
      <c r="D542" s="2" t="s">
        <v>152</v>
      </c>
      <c r="E542" s="11">
        <v>45216</v>
      </c>
      <c r="F542" s="12" t="s">
        <v>51</v>
      </c>
      <c r="G542" s="13">
        <v>61500</v>
      </c>
      <c r="H542" s="12" t="s">
        <v>116</v>
      </c>
      <c r="I542" s="11">
        <v>46224</v>
      </c>
      <c r="J542" s="12" t="s">
        <v>53</v>
      </c>
      <c r="K542" s="11"/>
      <c r="L542" s="12" t="s">
        <v>53</v>
      </c>
      <c r="M542" s="12" t="s">
        <v>53</v>
      </c>
      <c r="N542" s="11"/>
      <c r="O542" s="12"/>
      <c r="P542" s="12" t="s">
        <v>53</v>
      </c>
      <c r="Q542" s="14"/>
      <c r="R542" s="14"/>
      <c r="S542" s="12" t="s">
        <v>53</v>
      </c>
      <c r="T542" s="11"/>
      <c r="U542" s="12" t="str">
        <f t="shared" si="72"/>
        <v>N</v>
      </c>
      <c r="V542" s="12" t="str">
        <f t="shared" si="73"/>
        <v>N</v>
      </c>
      <c r="W542" s="12" t="str">
        <f t="shared" si="74"/>
        <v>N</v>
      </c>
      <c r="X542" s="12" t="str">
        <f t="shared" si="75"/>
        <v>N</v>
      </c>
      <c r="Y542" s="12" t="str">
        <f t="shared" si="76"/>
        <v>N</v>
      </c>
      <c r="Z542" s="12" t="str">
        <f t="shared" si="77"/>
        <v>N</v>
      </c>
      <c r="AA542" s="12">
        <f t="shared" si="78"/>
        <v>1</v>
      </c>
      <c r="AB542" s="12" t="str">
        <f t="shared" si="79"/>
        <v>SINGLE-SIGNAL</v>
      </c>
      <c r="AC542" s="14" t="str">
        <f t="shared" si="80"/>
        <v>Settlement Authorization</v>
      </c>
    </row>
    <row r="543" spans="1:29" x14ac:dyDescent="0.45">
      <c r="A543" s="2" t="s">
        <v>1435</v>
      </c>
      <c r="B543" s="2" t="s">
        <v>1436</v>
      </c>
      <c r="C543" s="2" t="s">
        <v>367</v>
      </c>
      <c r="D543" s="2" t="s">
        <v>120</v>
      </c>
      <c r="E543" s="11">
        <v>45188</v>
      </c>
      <c r="F543" s="12" t="s">
        <v>51</v>
      </c>
      <c r="G543" s="13">
        <v>144250</v>
      </c>
      <c r="H543" s="12" t="s">
        <v>66</v>
      </c>
      <c r="I543" s="11">
        <v>46841</v>
      </c>
      <c r="J543" s="12" t="s">
        <v>53</v>
      </c>
      <c r="K543" s="11"/>
      <c r="L543" s="12" t="s">
        <v>51</v>
      </c>
      <c r="M543" s="12" t="s">
        <v>53</v>
      </c>
      <c r="N543" s="11"/>
      <c r="O543" s="12"/>
      <c r="P543" s="12" t="s">
        <v>53</v>
      </c>
      <c r="Q543" s="14"/>
      <c r="R543" s="14"/>
      <c r="S543" s="12" t="s">
        <v>53</v>
      </c>
      <c r="T543" s="11"/>
      <c r="U543" s="12" t="str">
        <f t="shared" si="72"/>
        <v>N</v>
      </c>
      <c r="V543" s="12" t="str">
        <f t="shared" si="73"/>
        <v>N</v>
      </c>
      <c r="W543" s="12" t="str">
        <f t="shared" si="74"/>
        <v>N</v>
      </c>
      <c r="X543" s="12" t="str">
        <f t="shared" si="75"/>
        <v>N</v>
      </c>
      <c r="Y543" s="12" t="str">
        <f t="shared" si="76"/>
        <v>N</v>
      </c>
      <c r="Z543" s="12" t="str">
        <f t="shared" si="77"/>
        <v>N</v>
      </c>
      <c r="AA543" s="12">
        <f t="shared" si="78"/>
        <v>1</v>
      </c>
      <c r="AB543" s="12" t="str">
        <f t="shared" si="79"/>
        <v>SINGLE-SIGNAL</v>
      </c>
      <c r="AC543" s="14" t="str">
        <f t="shared" si="80"/>
        <v>Settlement Authorization</v>
      </c>
    </row>
    <row r="544" spans="1:29" ht="28.5" x14ac:dyDescent="0.45">
      <c r="A544" s="2" t="s">
        <v>1437</v>
      </c>
      <c r="B544" s="2" t="s">
        <v>1438</v>
      </c>
      <c r="C544" s="2" t="s">
        <v>367</v>
      </c>
      <c r="D544" s="2" t="s">
        <v>583</v>
      </c>
      <c r="E544" s="11">
        <v>46006</v>
      </c>
      <c r="F544" s="12" t="s">
        <v>51</v>
      </c>
      <c r="G544" s="13">
        <v>48500</v>
      </c>
      <c r="H544" s="12" t="s">
        <v>78</v>
      </c>
      <c r="I544" s="11">
        <v>46166</v>
      </c>
      <c r="J544" s="12" t="s">
        <v>53</v>
      </c>
      <c r="K544" s="11"/>
      <c r="L544" s="12" t="s">
        <v>53</v>
      </c>
      <c r="M544" s="12" t="s">
        <v>53</v>
      </c>
      <c r="N544" s="11"/>
      <c r="O544" s="12"/>
      <c r="P544" s="12" t="s">
        <v>51</v>
      </c>
      <c r="Q544" s="14" t="s">
        <v>1439</v>
      </c>
      <c r="R544" s="14" t="s">
        <v>149</v>
      </c>
      <c r="S544" s="12" t="s">
        <v>51</v>
      </c>
      <c r="T544" s="11">
        <v>48137</v>
      </c>
      <c r="U544" s="12" t="str">
        <f t="shared" si="72"/>
        <v>Y</v>
      </c>
      <c r="V544" s="12" t="str">
        <f t="shared" si="73"/>
        <v>Y</v>
      </c>
      <c r="W544" s="12" t="str">
        <f t="shared" si="74"/>
        <v>N</v>
      </c>
      <c r="X544" s="12" t="str">
        <f t="shared" si="75"/>
        <v>N</v>
      </c>
      <c r="Y544" s="12" t="str">
        <f t="shared" si="76"/>
        <v>Y</v>
      </c>
      <c r="Z544" s="12" t="str">
        <f t="shared" si="77"/>
        <v>Y</v>
      </c>
      <c r="AA544" s="12">
        <f t="shared" si="78"/>
        <v>3</v>
      </c>
      <c r="AB544" s="12" t="str">
        <f t="shared" si="79"/>
        <v>ELEVATED MULTI-SIGNAL</v>
      </c>
      <c r="AC544" s="14" t="str">
        <f t="shared" si="80"/>
        <v>Settlement Authorization | Automated Claim Alert | Inactive Customer</v>
      </c>
    </row>
    <row r="545" spans="1:29" x14ac:dyDescent="0.45">
      <c r="A545" s="2" t="s">
        <v>1440</v>
      </c>
      <c r="B545" s="2" t="s">
        <v>1441</v>
      </c>
      <c r="C545" s="2" t="s">
        <v>367</v>
      </c>
      <c r="D545" s="2" t="s">
        <v>204</v>
      </c>
      <c r="E545" s="11">
        <v>43644</v>
      </c>
      <c r="F545" s="12" t="s">
        <v>51</v>
      </c>
      <c r="G545" s="13">
        <v>108750</v>
      </c>
      <c r="H545" s="12" t="s">
        <v>52</v>
      </c>
      <c r="I545" s="11">
        <v>44016</v>
      </c>
      <c r="J545" s="12" t="s">
        <v>53</v>
      </c>
      <c r="K545" s="11"/>
      <c r="L545" s="12" t="s">
        <v>53</v>
      </c>
      <c r="M545" s="12" t="s">
        <v>53</v>
      </c>
      <c r="N545" s="11"/>
      <c r="O545" s="12"/>
      <c r="P545" s="12" t="s">
        <v>53</v>
      </c>
      <c r="Q545" s="14"/>
      <c r="R545" s="14"/>
      <c r="S545" s="12" t="s">
        <v>53</v>
      </c>
      <c r="T545" s="11"/>
      <c r="U545" s="12" t="str">
        <f t="shared" si="72"/>
        <v>N</v>
      </c>
      <c r="V545" s="12" t="str">
        <f t="shared" si="73"/>
        <v>N</v>
      </c>
      <c r="W545" s="12" t="str">
        <f t="shared" si="74"/>
        <v>N</v>
      </c>
      <c r="X545" s="12" t="str">
        <f t="shared" si="75"/>
        <v>N</v>
      </c>
      <c r="Y545" s="12" t="str">
        <f t="shared" si="76"/>
        <v>N</v>
      </c>
      <c r="Z545" s="12" t="str">
        <f t="shared" si="77"/>
        <v>N</v>
      </c>
      <c r="AA545" s="12">
        <f t="shared" si="78"/>
        <v>1</v>
      </c>
      <c r="AB545" s="12" t="str">
        <f t="shared" si="79"/>
        <v>SINGLE-SIGNAL</v>
      </c>
      <c r="AC545" s="14" t="str">
        <f t="shared" si="80"/>
        <v>Settlement Authorization</v>
      </c>
    </row>
    <row r="546" spans="1:29" x14ac:dyDescent="0.45">
      <c r="A546" s="2" t="s">
        <v>1442</v>
      </c>
      <c r="B546" s="2" t="s">
        <v>1443</v>
      </c>
      <c r="C546" s="2" t="s">
        <v>367</v>
      </c>
      <c r="D546" s="2" t="s">
        <v>397</v>
      </c>
      <c r="E546" s="11">
        <v>43567</v>
      </c>
      <c r="F546" s="12" t="s">
        <v>51</v>
      </c>
      <c r="G546" s="13">
        <v>31750</v>
      </c>
      <c r="H546" s="12" t="s">
        <v>59</v>
      </c>
      <c r="I546" s="11">
        <v>44707</v>
      </c>
      <c r="J546" s="12" t="s">
        <v>53</v>
      </c>
      <c r="K546" s="11"/>
      <c r="L546" s="12" t="s">
        <v>51</v>
      </c>
      <c r="M546" s="12" t="s">
        <v>53</v>
      </c>
      <c r="N546" s="11"/>
      <c r="O546" s="12"/>
      <c r="P546" s="12" t="s">
        <v>53</v>
      </c>
      <c r="Q546" s="14"/>
      <c r="R546" s="14"/>
      <c r="S546" s="12" t="s">
        <v>53</v>
      </c>
      <c r="T546" s="11"/>
      <c r="U546" s="12" t="str">
        <f t="shared" si="72"/>
        <v>N</v>
      </c>
      <c r="V546" s="12" t="str">
        <f t="shared" si="73"/>
        <v>N</v>
      </c>
      <c r="W546" s="12" t="str">
        <f t="shared" si="74"/>
        <v>N</v>
      </c>
      <c r="X546" s="12" t="str">
        <f t="shared" si="75"/>
        <v>N</v>
      </c>
      <c r="Y546" s="12" t="str">
        <f t="shared" si="76"/>
        <v>N</v>
      </c>
      <c r="Z546" s="12" t="str">
        <f t="shared" si="77"/>
        <v>N</v>
      </c>
      <c r="AA546" s="12">
        <f t="shared" si="78"/>
        <v>1</v>
      </c>
      <c r="AB546" s="12" t="str">
        <f t="shared" si="79"/>
        <v>SINGLE-SIGNAL</v>
      </c>
      <c r="AC546" s="14" t="str">
        <f t="shared" si="80"/>
        <v>Settlement Authorization</v>
      </c>
    </row>
    <row r="547" spans="1:29" x14ac:dyDescent="0.45">
      <c r="A547" s="2" t="s">
        <v>1444</v>
      </c>
      <c r="B547" s="2" t="s">
        <v>1445</v>
      </c>
      <c r="C547" s="2" t="s">
        <v>367</v>
      </c>
      <c r="D547" s="2" t="s">
        <v>295</v>
      </c>
      <c r="E547" s="11">
        <v>45513</v>
      </c>
      <c r="F547" s="12" t="s">
        <v>51</v>
      </c>
      <c r="G547" s="13">
        <v>47000</v>
      </c>
      <c r="H547" s="12" t="s">
        <v>242</v>
      </c>
      <c r="I547" s="11">
        <v>46617</v>
      </c>
      <c r="J547" s="12" t="s">
        <v>53</v>
      </c>
      <c r="K547" s="11"/>
      <c r="L547" s="12" t="s">
        <v>51</v>
      </c>
      <c r="M547" s="12" t="s">
        <v>53</v>
      </c>
      <c r="N547" s="11"/>
      <c r="O547" s="12"/>
      <c r="P547" s="12" t="s">
        <v>53</v>
      </c>
      <c r="Q547" s="14"/>
      <c r="R547" s="14"/>
      <c r="S547" s="12" t="s">
        <v>53</v>
      </c>
      <c r="T547" s="11"/>
      <c r="U547" s="12" t="str">
        <f t="shared" si="72"/>
        <v>N</v>
      </c>
      <c r="V547" s="12" t="str">
        <f t="shared" si="73"/>
        <v>N</v>
      </c>
      <c r="W547" s="12" t="str">
        <f t="shared" si="74"/>
        <v>N</v>
      </c>
      <c r="X547" s="12" t="str">
        <f t="shared" si="75"/>
        <v>N</v>
      </c>
      <c r="Y547" s="12" t="str">
        <f t="shared" si="76"/>
        <v>N</v>
      </c>
      <c r="Z547" s="12" t="str">
        <f t="shared" si="77"/>
        <v>N</v>
      </c>
      <c r="AA547" s="12">
        <f t="shared" si="78"/>
        <v>1</v>
      </c>
      <c r="AB547" s="12" t="str">
        <f t="shared" si="79"/>
        <v>SINGLE-SIGNAL</v>
      </c>
      <c r="AC547" s="14" t="str">
        <f t="shared" si="80"/>
        <v>Settlement Authorization</v>
      </c>
    </row>
    <row r="548" spans="1:29" ht="28.5" x14ac:dyDescent="0.45">
      <c r="A548" s="2" t="s">
        <v>1446</v>
      </c>
      <c r="B548" s="2" t="s">
        <v>1447</v>
      </c>
      <c r="C548" s="2" t="s">
        <v>367</v>
      </c>
      <c r="D548" s="2" t="s">
        <v>155</v>
      </c>
      <c r="E548" s="11">
        <v>44516</v>
      </c>
      <c r="F548" s="12" t="s">
        <v>53</v>
      </c>
      <c r="G548" s="13"/>
      <c r="H548" s="12"/>
      <c r="I548" s="11"/>
      <c r="J548" s="12" t="s">
        <v>53</v>
      </c>
      <c r="K548" s="11"/>
      <c r="L548" s="12"/>
      <c r="M548" s="12" t="s">
        <v>53</v>
      </c>
      <c r="N548" s="11"/>
      <c r="O548" s="12"/>
      <c r="P548" s="12" t="s">
        <v>51</v>
      </c>
      <c r="Q548" s="14" t="s">
        <v>1448</v>
      </c>
      <c r="R548" s="14" t="s">
        <v>227</v>
      </c>
      <c r="S548" s="12" t="s">
        <v>53</v>
      </c>
      <c r="T548" s="11"/>
      <c r="U548" s="12" t="str">
        <f t="shared" si="72"/>
        <v>Y</v>
      </c>
      <c r="V548" s="12" t="str">
        <f t="shared" si="73"/>
        <v>Y</v>
      </c>
      <c r="W548" s="12" t="str">
        <f t="shared" si="74"/>
        <v>Y</v>
      </c>
      <c r="X548" s="12" t="str">
        <f t="shared" si="75"/>
        <v>N</v>
      </c>
      <c r="Y548" s="12" t="str">
        <f t="shared" si="76"/>
        <v>Y</v>
      </c>
      <c r="Z548" s="12" t="str">
        <f t="shared" si="77"/>
        <v>N</v>
      </c>
      <c r="AA548" s="12">
        <f t="shared" si="78"/>
        <v>1</v>
      </c>
      <c r="AB548" s="12" t="str">
        <f t="shared" si="79"/>
        <v>SINGLE-SIGNAL</v>
      </c>
      <c r="AC548" s="14" t="str">
        <f t="shared" si="80"/>
        <v>Automated Claim Alert</v>
      </c>
    </row>
    <row r="549" spans="1:29" x14ac:dyDescent="0.45">
      <c r="A549" s="2" t="s">
        <v>1449</v>
      </c>
      <c r="B549" s="2" t="s">
        <v>1450</v>
      </c>
      <c r="C549" s="2" t="s">
        <v>367</v>
      </c>
      <c r="D549" s="2" t="s">
        <v>161</v>
      </c>
      <c r="E549" s="11">
        <v>44660</v>
      </c>
      <c r="F549" s="12" t="s">
        <v>53</v>
      </c>
      <c r="G549" s="13"/>
      <c r="H549" s="12"/>
      <c r="I549" s="11"/>
      <c r="J549" s="12" t="s">
        <v>53</v>
      </c>
      <c r="K549" s="11"/>
      <c r="L549" s="12"/>
      <c r="M549" s="12" t="s">
        <v>51</v>
      </c>
      <c r="N549" s="11">
        <v>45851</v>
      </c>
      <c r="O549" s="12" t="s">
        <v>129</v>
      </c>
      <c r="P549" s="12" t="s">
        <v>53</v>
      </c>
      <c r="Q549" s="14"/>
      <c r="R549" s="14"/>
      <c r="S549" s="12" t="s">
        <v>53</v>
      </c>
      <c r="T549" s="11"/>
      <c r="U549" s="12" t="str">
        <f t="shared" si="72"/>
        <v>N</v>
      </c>
      <c r="V549" s="12" t="str">
        <f t="shared" si="73"/>
        <v>N</v>
      </c>
      <c r="W549" s="12" t="str">
        <f t="shared" si="74"/>
        <v>N</v>
      </c>
      <c r="X549" s="12" t="str">
        <f t="shared" si="75"/>
        <v>N</v>
      </c>
      <c r="Y549" s="12" t="str">
        <f t="shared" si="76"/>
        <v>N</v>
      </c>
      <c r="Z549" s="12" t="str">
        <f t="shared" si="77"/>
        <v>N</v>
      </c>
      <c r="AA549" s="12">
        <f t="shared" si="78"/>
        <v>1</v>
      </c>
      <c r="AB549" s="12" t="str">
        <f t="shared" si="79"/>
        <v>SINGLE-SIGNAL</v>
      </c>
      <c r="AC549" s="14" t="str">
        <f t="shared" si="80"/>
        <v>Pending QME</v>
      </c>
    </row>
    <row r="550" spans="1:29" x14ac:dyDescent="0.45">
      <c r="A550" s="2" t="s">
        <v>1451</v>
      </c>
      <c r="B550" s="2" t="s">
        <v>1452</v>
      </c>
      <c r="C550" s="2" t="s">
        <v>367</v>
      </c>
      <c r="D550" s="2" t="s">
        <v>434</v>
      </c>
      <c r="E550" s="11">
        <v>43737</v>
      </c>
      <c r="F550" s="12" t="s">
        <v>51</v>
      </c>
      <c r="G550" s="13">
        <v>80750</v>
      </c>
      <c r="H550" s="12" t="s">
        <v>89</v>
      </c>
      <c r="I550" s="11">
        <v>43941</v>
      </c>
      <c r="J550" s="12" t="s">
        <v>53</v>
      </c>
      <c r="K550" s="11"/>
      <c r="L550" s="12" t="s">
        <v>53</v>
      </c>
      <c r="M550" s="12" t="s">
        <v>53</v>
      </c>
      <c r="N550" s="11"/>
      <c r="O550" s="12"/>
      <c r="P550" s="12" t="s">
        <v>53</v>
      </c>
      <c r="Q550" s="14"/>
      <c r="R550" s="14"/>
      <c r="S550" s="12" t="s">
        <v>53</v>
      </c>
      <c r="T550" s="11"/>
      <c r="U550" s="12" t="str">
        <f t="shared" si="72"/>
        <v>N</v>
      </c>
      <c r="V550" s="12" t="str">
        <f t="shared" si="73"/>
        <v>N</v>
      </c>
      <c r="W550" s="12" t="str">
        <f t="shared" si="74"/>
        <v>N</v>
      </c>
      <c r="X550" s="12" t="str">
        <f t="shared" si="75"/>
        <v>N</v>
      </c>
      <c r="Y550" s="12" t="str">
        <f t="shared" si="76"/>
        <v>N</v>
      </c>
      <c r="Z550" s="12" t="str">
        <f t="shared" si="77"/>
        <v>N</v>
      </c>
      <c r="AA550" s="12">
        <f t="shared" si="78"/>
        <v>1</v>
      </c>
      <c r="AB550" s="12" t="str">
        <f t="shared" si="79"/>
        <v>SINGLE-SIGNAL</v>
      </c>
      <c r="AC550" s="14" t="str">
        <f t="shared" si="80"/>
        <v>Settlement Authorization</v>
      </c>
    </row>
    <row r="551" spans="1:29" x14ac:dyDescent="0.45">
      <c r="A551" s="2" t="s">
        <v>1453</v>
      </c>
      <c r="B551" s="2" t="s">
        <v>1454</v>
      </c>
      <c r="C551" s="2" t="s">
        <v>367</v>
      </c>
      <c r="D551" s="2" t="s">
        <v>492</v>
      </c>
      <c r="E551" s="11">
        <v>45755</v>
      </c>
      <c r="F551" s="12" t="s">
        <v>53</v>
      </c>
      <c r="G551" s="13"/>
      <c r="H551" s="12"/>
      <c r="I551" s="11"/>
      <c r="J551" s="12" t="s">
        <v>53</v>
      </c>
      <c r="K551" s="11"/>
      <c r="L551" s="12"/>
      <c r="M551" s="12" t="s">
        <v>53</v>
      </c>
      <c r="N551" s="11"/>
      <c r="O551" s="12"/>
      <c r="P551" s="12" t="s">
        <v>53</v>
      </c>
      <c r="Q551" s="14"/>
      <c r="R551" s="14"/>
      <c r="S551" s="12" t="s">
        <v>51</v>
      </c>
      <c r="T551" s="11">
        <v>46137</v>
      </c>
      <c r="U551" s="12" t="str">
        <f t="shared" si="72"/>
        <v>N</v>
      </c>
      <c r="V551" s="12" t="str">
        <f t="shared" si="73"/>
        <v>N</v>
      </c>
      <c r="W551" s="12" t="str">
        <f t="shared" si="74"/>
        <v>N</v>
      </c>
      <c r="X551" s="12" t="str">
        <f t="shared" si="75"/>
        <v>N</v>
      </c>
      <c r="Y551" s="12" t="str">
        <f t="shared" si="76"/>
        <v>N</v>
      </c>
      <c r="Z551" s="12" t="str">
        <f t="shared" si="77"/>
        <v>N</v>
      </c>
      <c r="AA551" s="12">
        <f t="shared" si="78"/>
        <v>1</v>
      </c>
      <c r="AB551" s="12" t="str">
        <f t="shared" si="79"/>
        <v>SINGLE-SIGNAL</v>
      </c>
      <c r="AC551" s="14" t="str">
        <f t="shared" si="80"/>
        <v>Inactive Customer</v>
      </c>
    </row>
    <row r="552" spans="1:29" x14ac:dyDescent="0.45">
      <c r="A552" s="2" t="s">
        <v>1455</v>
      </c>
      <c r="B552" s="2" t="s">
        <v>1456</v>
      </c>
      <c r="C552" s="2" t="s">
        <v>367</v>
      </c>
      <c r="D552" s="2" t="s">
        <v>1028</v>
      </c>
      <c r="E552" s="11">
        <v>45104</v>
      </c>
      <c r="F552" s="12" t="s">
        <v>53</v>
      </c>
      <c r="G552" s="13"/>
      <c r="H552" s="12"/>
      <c r="I552" s="11"/>
      <c r="J552" s="12" t="s">
        <v>53</v>
      </c>
      <c r="K552" s="11"/>
      <c r="L552" s="12"/>
      <c r="M552" s="12" t="s">
        <v>53</v>
      </c>
      <c r="N552" s="11"/>
      <c r="O552" s="12"/>
      <c r="P552" s="12" t="s">
        <v>53</v>
      </c>
      <c r="Q552" s="14"/>
      <c r="R552" s="14"/>
      <c r="S552" s="12" t="s">
        <v>51</v>
      </c>
      <c r="T552" s="11">
        <v>47177</v>
      </c>
      <c r="U552" s="12" t="str">
        <f t="shared" si="72"/>
        <v>N</v>
      </c>
      <c r="V552" s="12" t="str">
        <f t="shared" si="73"/>
        <v>N</v>
      </c>
      <c r="W552" s="12" t="str">
        <f t="shared" si="74"/>
        <v>N</v>
      </c>
      <c r="X552" s="12" t="str">
        <f t="shared" si="75"/>
        <v>N</v>
      </c>
      <c r="Y552" s="12" t="str">
        <f t="shared" si="76"/>
        <v>N</v>
      </c>
      <c r="Z552" s="12" t="str">
        <f t="shared" si="77"/>
        <v>N</v>
      </c>
      <c r="AA552" s="12">
        <f t="shared" si="78"/>
        <v>1</v>
      </c>
      <c r="AB552" s="12" t="str">
        <f t="shared" si="79"/>
        <v>SINGLE-SIGNAL</v>
      </c>
      <c r="AC552" s="14" t="str">
        <f t="shared" si="80"/>
        <v>Inactive Customer</v>
      </c>
    </row>
    <row r="553" spans="1:29" x14ac:dyDescent="0.45">
      <c r="A553" s="2" t="s">
        <v>1457</v>
      </c>
      <c r="B553" s="2" t="s">
        <v>1458</v>
      </c>
      <c r="C553" s="2" t="s">
        <v>367</v>
      </c>
      <c r="D553" s="2" t="s">
        <v>649</v>
      </c>
      <c r="E553" s="11">
        <v>43757</v>
      </c>
      <c r="F553" s="12" t="s">
        <v>53</v>
      </c>
      <c r="G553" s="13"/>
      <c r="H553" s="12"/>
      <c r="I553" s="11"/>
      <c r="J553" s="12" t="s">
        <v>53</v>
      </c>
      <c r="K553" s="11"/>
      <c r="L553" s="12"/>
      <c r="M553" s="12" t="s">
        <v>51</v>
      </c>
      <c r="N553" s="11">
        <v>44025</v>
      </c>
      <c r="O553" s="12" t="s">
        <v>847</v>
      </c>
      <c r="P553" s="12" t="s">
        <v>53</v>
      </c>
      <c r="Q553" s="14"/>
      <c r="R553" s="14"/>
      <c r="S553" s="12" t="s">
        <v>53</v>
      </c>
      <c r="T553" s="11"/>
      <c r="U553" s="12" t="str">
        <f t="shared" si="72"/>
        <v>N</v>
      </c>
      <c r="V553" s="12" t="str">
        <f t="shared" si="73"/>
        <v>N</v>
      </c>
      <c r="W553" s="12" t="str">
        <f t="shared" si="74"/>
        <v>N</v>
      </c>
      <c r="X553" s="12" t="str">
        <f t="shared" si="75"/>
        <v>N</v>
      </c>
      <c r="Y553" s="12" t="str">
        <f t="shared" si="76"/>
        <v>N</v>
      </c>
      <c r="Z553" s="12" t="str">
        <f t="shared" si="77"/>
        <v>N</v>
      </c>
      <c r="AA553" s="12">
        <f t="shared" si="78"/>
        <v>1</v>
      </c>
      <c r="AB553" s="12" t="str">
        <f t="shared" si="79"/>
        <v>SINGLE-SIGNAL</v>
      </c>
      <c r="AC553" s="14" t="str">
        <f t="shared" si="80"/>
        <v>Pending QME</v>
      </c>
    </row>
    <row r="554" spans="1:29" ht="28.5" x14ac:dyDescent="0.45">
      <c r="A554" s="2" t="s">
        <v>1459</v>
      </c>
      <c r="B554" s="2" t="s">
        <v>1460</v>
      </c>
      <c r="C554" s="2" t="s">
        <v>367</v>
      </c>
      <c r="D554" s="2" t="s">
        <v>215</v>
      </c>
      <c r="E554" s="11">
        <v>44846</v>
      </c>
      <c r="F554" s="12" t="s">
        <v>51</v>
      </c>
      <c r="G554" s="13">
        <v>155000</v>
      </c>
      <c r="H554" s="12" t="s">
        <v>277</v>
      </c>
      <c r="I554" s="11">
        <v>45055</v>
      </c>
      <c r="J554" s="12" t="s">
        <v>53</v>
      </c>
      <c r="K554" s="11"/>
      <c r="L554" s="12" t="s">
        <v>51</v>
      </c>
      <c r="M554" s="12" t="s">
        <v>53</v>
      </c>
      <c r="N554" s="11"/>
      <c r="O554" s="12"/>
      <c r="P554" s="12" t="s">
        <v>51</v>
      </c>
      <c r="Q554" s="14" t="s">
        <v>321</v>
      </c>
      <c r="R554" s="14" t="s">
        <v>865</v>
      </c>
      <c r="S554" s="12" t="s">
        <v>53</v>
      </c>
      <c r="T554" s="11"/>
      <c r="U554" s="12" t="str">
        <f t="shared" si="72"/>
        <v>N</v>
      </c>
      <c r="V554" s="12" t="str">
        <f t="shared" si="73"/>
        <v>Y</v>
      </c>
      <c r="W554" s="12" t="str">
        <f t="shared" si="74"/>
        <v>Y</v>
      </c>
      <c r="X554" s="12" t="str">
        <f t="shared" si="75"/>
        <v>N</v>
      </c>
      <c r="Y554" s="12" t="str">
        <f t="shared" si="76"/>
        <v>Y</v>
      </c>
      <c r="Z554" s="12" t="str">
        <f t="shared" si="77"/>
        <v>Y</v>
      </c>
      <c r="AA554" s="12">
        <f t="shared" si="78"/>
        <v>2</v>
      </c>
      <c r="AB554" s="12" t="str">
        <f t="shared" si="79"/>
        <v>MULTI-SIGNAL</v>
      </c>
      <c r="AC554" s="14" t="str">
        <f t="shared" si="80"/>
        <v>Settlement Authorization | Automated Claim Alert</v>
      </c>
    </row>
    <row r="555" spans="1:29" ht="28.5" x14ac:dyDescent="0.45">
      <c r="A555" s="2" t="s">
        <v>1461</v>
      </c>
      <c r="B555" s="2" t="s">
        <v>1462</v>
      </c>
      <c r="C555" s="2" t="s">
        <v>367</v>
      </c>
      <c r="D555" s="2" t="s">
        <v>384</v>
      </c>
      <c r="E555" s="11">
        <v>43326</v>
      </c>
      <c r="F555" s="12" t="s">
        <v>53</v>
      </c>
      <c r="G555" s="13"/>
      <c r="H555" s="12"/>
      <c r="I555" s="11"/>
      <c r="J555" s="12" t="s">
        <v>53</v>
      </c>
      <c r="K555" s="11"/>
      <c r="L555" s="12"/>
      <c r="M555" s="12" t="s">
        <v>53</v>
      </c>
      <c r="N555" s="11"/>
      <c r="O555" s="12"/>
      <c r="P555" s="12" t="s">
        <v>51</v>
      </c>
      <c r="Q555" s="14" t="s">
        <v>1463</v>
      </c>
      <c r="R555" s="14"/>
      <c r="S555" s="12" t="s">
        <v>53</v>
      </c>
      <c r="T555" s="11"/>
      <c r="U555" s="12" t="str">
        <f t="shared" si="72"/>
        <v>N</v>
      </c>
      <c r="V555" s="12" t="str">
        <f t="shared" si="73"/>
        <v>Y</v>
      </c>
      <c r="W555" s="12" t="str">
        <f t="shared" si="74"/>
        <v>N</v>
      </c>
      <c r="X555" s="12" t="str">
        <f t="shared" si="75"/>
        <v>N</v>
      </c>
      <c r="Y555" s="12" t="str">
        <f t="shared" si="76"/>
        <v>Y</v>
      </c>
      <c r="Z555" s="12" t="str">
        <f t="shared" si="77"/>
        <v>Y</v>
      </c>
      <c r="AA555" s="12">
        <f t="shared" si="78"/>
        <v>1</v>
      </c>
      <c r="AB555" s="12" t="str">
        <f t="shared" si="79"/>
        <v>SINGLE-SIGNAL</v>
      </c>
      <c r="AC555" s="14" t="str">
        <f t="shared" si="80"/>
        <v>Automated Claim Alert</v>
      </c>
    </row>
    <row r="556" spans="1:29" ht="28.5" x14ac:dyDescent="0.45">
      <c r="A556" s="2" t="s">
        <v>1464</v>
      </c>
      <c r="B556" s="2" t="s">
        <v>1465</v>
      </c>
      <c r="C556" s="2" t="s">
        <v>367</v>
      </c>
      <c r="D556" s="2" t="s">
        <v>1466</v>
      </c>
      <c r="E556" s="11">
        <v>45445</v>
      </c>
      <c r="F556" s="12" t="s">
        <v>51</v>
      </c>
      <c r="G556" s="13">
        <v>141250</v>
      </c>
      <c r="H556" s="12" t="s">
        <v>116</v>
      </c>
      <c r="I556" s="11">
        <v>45843</v>
      </c>
      <c r="J556" s="12" t="s">
        <v>53</v>
      </c>
      <c r="K556" s="11"/>
      <c r="L556" s="12" t="s">
        <v>51</v>
      </c>
      <c r="M556" s="12" t="s">
        <v>51</v>
      </c>
      <c r="N556" s="11">
        <v>46990</v>
      </c>
      <c r="O556" s="12" t="s">
        <v>129</v>
      </c>
      <c r="P556" s="12" t="s">
        <v>51</v>
      </c>
      <c r="Q556" s="14" t="s">
        <v>227</v>
      </c>
      <c r="R556" s="14" t="s">
        <v>260</v>
      </c>
      <c r="S556" s="12" t="s">
        <v>51</v>
      </c>
      <c r="T556" s="11">
        <v>46055</v>
      </c>
      <c r="U556" s="12" t="str">
        <f t="shared" si="72"/>
        <v>N</v>
      </c>
      <c r="V556" s="12" t="str">
        <f t="shared" si="73"/>
        <v>Y</v>
      </c>
      <c r="W556" s="12" t="str">
        <f t="shared" si="74"/>
        <v>Y</v>
      </c>
      <c r="X556" s="12" t="str">
        <f t="shared" si="75"/>
        <v>Y</v>
      </c>
      <c r="Y556" s="12" t="str">
        <f t="shared" si="76"/>
        <v>N</v>
      </c>
      <c r="Z556" s="12" t="str">
        <f t="shared" si="77"/>
        <v>N</v>
      </c>
      <c r="AA556" s="12">
        <f t="shared" si="78"/>
        <v>4</v>
      </c>
      <c r="AB556" s="12" t="str">
        <f t="shared" si="79"/>
        <v>HIGH MULTI-SIGNAL</v>
      </c>
      <c r="AC556" s="14" t="str">
        <f t="shared" si="80"/>
        <v>Settlement Authorization | Pending QME | Automated Claim Alert | Inactive Customer</v>
      </c>
    </row>
    <row r="557" spans="1:29" x14ac:dyDescent="0.45">
      <c r="A557" s="2" t="s">
        <v>1467</v>
      </c>
      <c r="B557" s="2" t="s">
        <v>1468</v>
      </c>
      <c r="C557" s="2" t="s">
        <v>367</v>
      </c>
      <c r="D557" s="2" t="s">
        <v>387</v>
      </c>
      <c r="E557" s="11">
        <v>44844</v>
      </c>
      <c r="F557" s="12" t="s">
        <v>51</v>
      </c>
      <c r="G557" s="13">
        <v>138000</v>
      </c>
      <c r="H557" s="12" t="s">
        <v>78</v>
      </c>
      <c r="I557" s="11">
        <v>44918</v>
      </c>
      <c r="J557" s="12" t="s">
        <v>53</v>
      </c>
      <c r="K557" s="11"/>
      <c r="L557" s="12" t="s">
        <v>51</v>
      </c>
      <c r="M557" s="12" t="s">
        <v>53</v>
      </c>
      <c r="N557" s="11"/>
      <c r="O557" s="12"/>
      <c r="P557" s="12" t="s">
        <v>53</v>
      </c>
      <c r="Q557" s="14"/>
      <c r="R557" s="14"/>
      <c r="S557" s="12" t="s">
        <v>51</v>
      </c>
      <c r="T557" s="11">
        <v>46045</v>
      </c>
      <c r="U557" s="12" t="str">
        <f t="shared" si="72"/>
        <v>N</v>
      </c>
      <c r="V557" s="12" t="str">
        <f t="shared" si="73"/>
        <v>N</v>
      </c>
      <c r="W557" s="12" t="str">
        <f t="shared" si="74"/>
        <v>N</v>
      </c>
      <c r="X557" s="12" t="str">
        <f t="shared" si="75"/>
        <v>N</v>
      </c>
      <c r="Y557" s="12" t="str">
        <f t="shared" si="76"/>
        <v>N</v>
      </c>
      <c r="Z557" s="12" t="str">
        <f t="shared" si="77"/>
        <v>N</v>
      </c>
      <c r="AA557" s="12">
        <f t="shared" si="78"/>
        <v>2</v>
      </c>
      <c r="AB557" s="12" t="str">
        <f t="shared" si="79"/>
        <v>MULTI-SIGNAL</v>
      </c>
      <c r="AC557" s="14" t="str">
        <f t="shared" si="80"/>
        <v>Settlement Authorization | Inactive Customer</v>
      </c>
    </row>
    <row r="558" spans="1:29" x14ac:dyDescent="0.45">
      <c r="A558" s="2" t="s">
        <v>1469</v>
      </c>
      <c r="B558" s="2" t="s">
        <v>1470</v>
      </c>
      <c r="C558" s="2" t="s">
        <v>367</v>
      </c>
      <c r="D558" s="2" t="s">
        <v>344</v>
      </c>
      <c r="E558" s="11">
        <v>45591</v>
      </c>
      <c r="F558" s="12" t="s">
        <v>53</v>
      </c>
      <c r="G558" s="13"/>
      <c r="H558" s="12"/>
      <c r="I558" s="11"/>
      <c r="J558" s="12" t="s">
        <v>53</v>
      </c>
      <c r="K558" s="11"/>
      <c r="L558" s="12"/>
      <c r="M558" s="12" t="s">
        <v>53</v>
      </c>
      <c r="N558" s="11"/>
      <c r="O558" s="12"/>
      <c r="P558" s="12" t="s">
        <v>53</v>
      </c>
      <c r="Q558" s="14"/>
      <c r="R558" s="14"/>
      <c r="S558" s="12" t="s">
        <v>51</v>
      </c>
      <c r="T558" s="11">
        <v>46088</v>
      </c>
      <c r="U558" s="12" t="str">
        <f t="shared" si="72"/>
        <v>N</v>
      </c>
      <c r="V558" s="12" t="str">
        <f t="shared" si="73"/>
        <v>N</v>
      </c>
      <c r="W558" s="12" t="str">
        <f t="shared" si="74"/>
        <v>N</v>
      </c>
      <c r="X558" s="12" t="str">
        <f t="shared" si="75"/>
        <v>N</v>
      </c>
      <c r="Y558" s="12" t="str">
        <f t="shared" si="76"/>
        <v>N</v>
      </c>
      <c r="Z558" s="12" t="str">
        <f t="shared" si="77"/>
        <v>N</v>
      </c>
      <c r="AA558" s="12">
        <f t="shared" si="78"/>
        <v>1</v>
      </c>
      <c r="AB558" s="12" t="str">
        <f t="shared" si="79"/>
        <v>SINGLE-SIGNAL</v>
      </c>
      <c r="AC558" s="14" t="str">
        <f t="shared" si="80"/>
        <v>Inactive Customer</v>
      </c>
    </row>
    <row r="559" spans="1:29" ht="42.75" x14ac:dyDescent="0.45">
      <c r="A559" s="2" t="s">
        <v>1471</v>
      </c>
      <c r="B559" s="2" t="s">
        <v>1472</v>
      </c>
      <c r="C559" s="2" t="s">
        <v>367</v>
      </c>
      <c r="D559" s="2" t="s">
        <v>263</v>
      </c>
      <c r="E559" s="11">
        <v>43771</v>
      </c>
      <c r="F559" s="12" t="s">
        <v>51</v>
      </c>
      <c r="G559" s="13">
        <v>18000</v>
      </c>
      <c r="H559" s="12" t="s">
        <v>93</v>
      </c>
      <c r="I559" s="11">
        <v>44333</v>
      </c>
      <c r="J559" s="12" t="s">
        <v>53</v>
      </c>
      <c r="K559" s="11"/>
      <c r="L559" s="12" t="s">
        <v>51</v>
      </c>
      <c r="M559" s="12" t="s">
        <v>53</v>
      </c>
      <c r="N559" s="11"/>
      <c r="O559" s="12"/>
      <c r="P559" s="12" t="s">
        <v>51</v>
      </c>
      <c r="Q559" s="14" t="s">
        <v>1473</v>
      </c>
      <c r="R559" s="14"/>
      <c r="S559" s="12" t="s">
        <v>51</v>
      </c>
      <c r="T559" s="11">
        <v>44334</v>
      </c>
      <c r="U559" s="12" t="str">
        <f t="shared" si="72"/>
        <v>N</v>
      </c>
      <c r="V559" s="12" t="str">
        <f t="shared" si="73"/>
        <v>Y</v>
      </c>
      <c r="W559" s="12" t="str">
        <f t="shared" si="74"/>
        <v>Y</v>
      </c>
      <c r="X559" s="12" t="str">
        <f t="shared" si="75"/>
        <v>Y</v>
      </c>
      <c r="Y559" s="12" t="str">
        <f t="shared" si="76"/>
        <v>N</v>
      </c>
      <c r="Z559" s="12" t="str">
        <f t="shared" si="77"/>
        <v>N</v>
      </c>
      <c r="AA559" s="12">
        <f t="shared" si="78"/>
        <v>3</v>
      </c>
      <c r="AB559" s="12" t="str">
        <f t="shared" si="79"/>
        <v>ELEVATED MULTI-SIGNAL</v>
      </c>
      <c r="AC559" s="14" t="str">
        <f t="shared" si="80"/>
        <v>Settlement Authorization | Automated Claim Alert | Inactive Customer</v>
      </c>
    </row>
    <row r="560" spans="1:29" ht="42.75" x14ac:dyDescent="0.45">
      <c r="A560" s="2" t="s">
        <v>1474</v>
      </c>
      <c r="B560" s="2" t="s">
        <v>1475</v>
      </c>
      <c r="C560" s="2" t="s">
        <v>367</v>
      </c>
      <c r="D560" s="2" t="s">
        <v>1400</v>
      </c>
      <c r="E560" s="11">
        <v>44620</v>
      </c>
      <c r="F560" s="12" t="s">
        <v>51</v>
      </c>
      <c r="G560" s="13">
        <v>142500</v>
      </c>
      <c r="H560" s="12" t="s">
        <v>85</v>
      </c>
      <c r="I560" s="11">
        <v>45588</v>
      </c>
      <c r="J560" s="12" t="s">
        <v>53</v>
      </c>
      <c r="K560" s="11"/>
      <c r="L560" s="12" t="s">
        <v>53</v>
      </c>
      <c r="M560" s="12" t="s">
        <v>53</v>
      </c>
      <c r="N560" s="11"/>
      <c r="O560" s="12"/>
      <c r="P560" s="12" t="s">
        <v>51</v>
      </c>
      <c r="Q560" s="14" t="s">
        <v>1476</v>
      </c>
      <c r="R560" s="14" t="s">
        <v>416</v>
      </c>
      <c r="S560" s="12" t="s">
        <v>53</v>
      </c>
      <c r="T560" s="11"/>
      <c r="U560" s="12" t="str">
        <f t="shared" si="72"/>
        <v>N</v>
      </c>
      <c r="V560" s="12" t="str">
        <f t="shared" si="73"/>
        <v>Y</v>
      </c>
      <c r="W560" s="12" t="str">
        <f t="shared" si="74"/>
        <v>Y</v>
      </c>
      <c r="X560" s="12" t="str">
        <f t="shared" si="75"/>
        <v>Y</v>
      </c>
      <c r="Y560" s="12" t="str">
        <f t="shared" si="76"/>
        <v>Y</v>
      </c>
      <c r="Z560" s="12" t="str">
        <f t="shared" si="77"/>
        <v>Y</v>
      </c>
      <c r="AA560" s="12">
        <f t="shared" si="78"/>
        <v>2</v>
      </c>
      <c r="AB560" s="12" t="str">
        <f t="shared" si="79"/>
        <v>MULTI-SIGNAL</v>
      </c>
      <c r="AC560" s="14" t="str">
        <f t="shared" si="80"/>
        <v>Settlement Authorization | Automated Claim Alert</v>
      </c>
    </row>
    <row r="561" spans="1:29" ht="28.5" x14ac:dyDescent="0.45">
      <c r="A561" s="2" t="s">
        <v>1477</v>
      </c>
      <c r="B561" s="2" t="s">
        <v>1478</v>
      </c>
      <c r="C561" s="2" t="s">
        <v>367</v>
      </c>
      <c r="D561" s="2" t="s">
        <v>434</v>
      </c>
      <c r="E561" s="11">
        <v>44191</v>
      </c>
      <c r="F561" s="12" t="s">
        <v>51</v>
      </c>
      <c r="G561" s="13">
        <v>127750</v>
      </c>
      <c r="H561" s="12" t="s">
        <v>59</v>
      </c>
      <c r="I561" s="11">
        <v>45487</v>
      </c>
      <c r="J561" s="12" t="s">
        <v>51</v>
      </c>
      <c r="K561" s="11">
        <v>44355</v>
      </c>
      <c r="L561" s="12" t="s">
        <v>51</v>
      </c>
      <c r="M561" s="12" t="s">
        <v>51</v>
      </c>
      <c r="N561" s="11">
        <v>45794</v>
      </c>
      <c r="O561" s="12" t="s">
        <v>992</v>
      </c>
      <c r="P561" s="12" t="s">
        <v>53</v>
      </c>
      <c r="Q561" s="14"/>
      <c r="R561" s="14"/>
      <c r="S561" s="12" t="s">
        <v>53</v>
      </c>
      <c r="T561" s="11"/>
      <c r="U561" s="12" t="str">
        <f t="shared" si="72"/>
        <v>N</v>
      </c>
      <c r="V561" s="12" t="str">
        <f t="shared" si="73"/>
        <v>N</v>
      </c>
      <c r="W561" s="12" t="str">
        <f t="shared" si="74"/>
        <v>N</v>
      </c>
      <c r="X561" s="12" t="str">
        <f t="shared" si="75"/>
        <v>N</v>
      </c>
      <c r="Y561" s="12" t="str">
        <f t="shared" si="76"/>
        <v>N</v>
      </c>
      <c r="Z561" s="12" t="str">
        <f t="shared" si="77"/>
        <v>N</v>
      </c>
      <c r="AA561" s="12">
        <f t="shared" si="78"/>
        <v>3</v>
      </c>
      <c r="AB561" s="12" t="str">
        <f t="shared" si="79"/>
        <v>ELEVATED MULTI-SIGNAL</v>
      </c>
      <c r="AC561" s="14" t="str">
        <f t="shared" si="80"/>
        <v>Settlement Authorization | Open Stipulation | Pending QME</v>
      </c>
    </row>
  </sheetData>
  <conditionalFormatting sqref="AB2:AB561">
    <cfRule type="expression" dxfId="20" priority="4">
      <formula>AB2="SINGLE-SIGNAL"</formula>
    </cfRule>
    <cfRule type="expression" dxfId="19" priority="5">
      <formula>AB2="MULTI-SIGNAL"</formula>
    </cfRule>
    <cfRule type="expression" dxfId="18" priority="6">
      <formula>AB2="ELEVATED MULTI-SIGNAL"</formula>
    </cfRule>
    <cfRule type="expression" dxfId="17" priority="7">
      <formula>AB2="HIGH MULTI-SIGNAL"</formula>
    </cfRule>
    <cfRule type="expression" dxfId="16" priority="8">
      <formula>AB2="MAXIMUM MULTI-SIGNAL"</formula>
    </cfRule>
  </conditionalFormatting>
  <conditionalFormatting sqref="A2:AA561">
    <cfRule type="expression" dxfId="15" priority="2">
      <formula>MOD(ROW(),2)=0</formula>
    </cfRule>
  </conditionalFormatting>
  <conditionalFormatting sqref="AC2:AC561">
    <cfRule type="expression" dxfId="14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 r:id="rId1"/>
  <headerFooter>
    <oddFooter>&amp;CSynthetic portfolio demonstration | Not for operational decisions&amp;RPage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2"/>
  <sheetViews>
    <sheetView showGridLines="0" zoomScaleNormal="100" workbookViewId="0">
      <pane ySplit="3" topLeftCell="A4" activePane="bottomLeft" state="frozen"/>
      <selection pane="bottomLeft" sqref="A1:L2"/>
    </sheetView>
  </sheetViews>
  <sheetFormatPr defaultColWidth="8.73046875" defaultRowHeight="14.25" x14ac:dyDescent="0.45"/>
  <cols>
    <col min="1" max="1" width="22" customWidth="1"/>
    <col min="2" max="2" width="12" customWidth="1"/>
    <col min="3" max="3" width="4" customWidth="1"/>
    <col min="4" max="4" width="27" customWidth="1"/>
    <col min="5" max="5" width="12" customWidth="1"/>
    <col min="6" max="6" width="4" customWidth="1"/>
    <col min="7" max="7" width="30" customWidth="1"/>
    <col min="8" max="8" width="12" customWidth="1"/>
    <col min="9" max="9" width="4" customWidth="1"/>
    <col min="10" max="11" width="12" customWidth="1"/>
    <col min="12" max="12" width="4" customWidth="1"/>
  </cols>
  <sheetData>
    <row r="1" spans="1:12" x14ac:dyDescent="0.45">
      <c r="A1" s="5" t="s">
        <v>1479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45">
      <c r="A3" s="8" t="s">
        <v>1480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x14ac:dyDescent="0.45">
      <c r="A5" s="9" t="s">
        <v>1481</v>
      </c>
      <c r="B5" s="9"/>
      <c r="C5" s="9" t="s">
        <v>1482</v>
      </c>
      <c r="D5" s="9"/>
      <c r="E5" s="9" t="s">
        <v>1483</v>
      </c>
      <c r="F5" s="9"/>
      <c r="G5" s="9" t="s">
        <v>1484</v>
      </c>
      <c r="H5" s="9"/>
      <c r="I5" s="9" t="s">
        <v>1485</v>
      </c>
      <c r="J5" s="9"/>
      <c r="K5" s="9" t="s">
        <v>1486</v>
      </c>
      <c r="L5" s="9"/>
    </row>
    <row r="6" spans="1:12" ht="20.25" x14ac:dyDescent="0.55000000000000004">
      <c r="A6" s="6">
        <f>COUNTA('MASTER DATA'!A2:A561)</f>
        <v>560</v>
      </c>
      <c r="B6" s="6"/>
      <c r="C6" s="6">
        <f>COUNTIF('MASTER DATA'!AA2:AA561,5)</f>
        <v>0</v>
      </c>
      <c r="D6" s="6"/>
      <c r="E6" s="6">
        <f>COUNTIF('MASTER DATA'!AA2:AA561,4)</f>
        <v>6</v>
      </c>
      <c r="F6" s="6"/>
      <c r="G6" s="6">
        <f>COUNTIF('MASTER DATA'!AA2:AA561,3)</f>
        <v>45</v>
      </c>
      <c r="H6" s="6"/>
      <c r="I6" s="6">
        <f>COUNTIF('MASTER DATA'!AA2:AA561,2)</f>
        <v>152</v>
      </c>
      <c r="J6" s="6"/>
      <c r="K6" s="6">
        <f>COUNTIF('MASTER DATA'!AA2:AA561,1)</f>
        <v>357</v>
      </c>
      <c r="L6" s="6"/>
    </row>
    <row r="9" spans="1:12" x14ac:dyDescent="0.45">
      <c r="A9" s="7" t="s">
        <v>1487</v>
      </c>
      <c r="B9" s="7"/>
      <c r="D9" s="7" t="s">
        <v>1488</v>
      </c>
      <c r="E9" s="7"/>
      <c r="G9" s="7" t="s">
        <v>1489</v>
      </c>
      <c r="H9" s="7"/>
      <c r="J9" s="7" t="s">
        <v>1490</v>
      </c>
      <c r="K9" s="7"/>
    </row>
    <row r="10" spans="1:12" x14ac:dyDescent="0.45">
      <c r="A10" s="1" t="s">
        <v>20</v>
      </c>
      <c r="B10" s="1" t="s">
        <v>1491</v>
      </c>
      <c r="D10" s="1" t="s">
        <v>45</v>
      </c>
      <c r="E10" s="1" t="s">
        <v>1491</v>
      </c>
      <c r="G10" s="1" t="s">
        <v>1492</v>
      </c>
      <c r="H10" s="1" t="s">
        <v>1491</v>
      </c>
      <c r="J10" s="1" t="s">
        <v>1493</v>
      </c>
      <c r="K10" s="1" t="s">
        <v>1491</v>
      </c>
    </row>
    <row r="11" spans="1:12" x14ac:dyDescent="0.45">
      <c r="A11" t="s">
        <v>367</v>
      </c>
      <c r="B11">
        <f>COUNTIF('MASTER DATA'!C2:C561,A11)</f>
        <v>76</v>
      </c>
      <c r="D11" t="s">
        <v>1494</v>
      </c>
      <c r="E11">
        <f>COUNTIF('MASTER DATA'!AB2:AB561,D11)</f>
        <v>0</v>
      </c>
      <c r="G11" t="s">
        <v>1495</v>
      </c>
      <c r="H11">
        <f>COUNTIF('MASTER DATA'!F2:F561,"Y")</f>
        <v>333</v>
      </c>
      <c r="J11">
        <v>1</v>
      </c>
      <c r="K11">
        <f>COUNTIF('MASTER DATA'!AA2:AA561,J11)</f>
        <v>357</v>
      </c>
    </row>
    <row r="12" spans="1:12" x14ac:dyDescent="0.45">
      <c r="A12" t="s">
        <v>69</v>
      </c>
      <c r="B12">
        <f>COUNTIF('MASTER DATA'!C2:C561,A12)</f>
        <v>63</v>
      </c>
      <c r="D12" t="s">
        <v>1496</v>
      </c>
      <c r="E12">
        <f>COUNTIF('MASTER DATA'!AB2:AB561,D12)</f>
        <v>6</v>
      </c>
      <c r="G12" t="s">
        <v>1497</v>
      </c>
      <c r="H12">
        <f>COUNTIF('MASTER DATA'!J2:J561,"Y")</f>
        <v>106</v>
      </c>
      <c r="J12">
        <v>2</v>
      </c>
      <c r="K12">
        <f>COUNTIF('MASTER DATA'!AA2:AA561,J12)</f>
        <v>152</v>
      </c>
    </row>
    <row r="13" spans="1:12" x14ac:dyDescent="0.45">
      <c r="A13" t="s">
        <v>313</v>
      </c>
      <c r="B13">
        <f>COUNTIF('MASTER DATA'!C2:C561,A13)</f>
        <v>60</v>
      </c>
      <c r="D13" t="s">
        <v>1498</v>
      </c>
      <c r="E13">
        <f>COUNTIF('MASTER DATA'!AB2:AB561,D13)</f>
        <v>45</v>
      </c>
      <c r="G13" t="s">
        <v>1499</v>
      </c>
      <c r="H13">
        <f>COUNTIF('MASTER DATA'!M2:M561,"Y")</f>
        <v>80</v>
      </c>
      <c r="J13">
        <v>3</v>
      </c>
      <c r="K13">
        <f>COUNTIF('MASTER DATA'!AA2:AA561,J13)</f>
        <v>45</v>
      </c>
    </row>
    <row r="14" spans="1:12" x14ac:dyDescent="0.45">
      <c r="A14" t="s">
        <v>119</v>
      </c>
      <c r="B14">
        <f>COUNTIF('MASTER DATA'!C2:C561,A14)</f>
        <v>55</v>
      </c>
      <c r="D14" t="s">
        <v>1500</v>
      </c>
      <c r="E14">
        <f>COUNTIF('MASTER DATA'!AB2:AB561,D14)</f>
        <v>152</v>
      </c>
      <c r="G14" t="s">
        <v>1501</v>
      </c>
      <c r="H14">
        <f>COUNTIF('MASTER DATA'!P2:P561,"Y")</f>
        <v>152</v>
      </c>
      <c r="J14">
        <v>4</v>
      </c>
      <c r="K14">
        <f>COUNTIF('MASTER DATA'!AA2:AA561,J14)</f>
        <v>6</v>
      </c>
    </row>
    <row r="15" spans="1:12" x14ac:dyDescent="0.45">
      <c r="A15" t="s">
        <v>64</v>
      </c>
      <c r="B15">
        <f>COUNTIF('MASTER DATA'!C2:C561,A15)</f>
        <v>55</v>
      </c>
      <c r="D15" t="s">
        <v>1502</v>
      </c>
      <c r="E15">
        <f>COUNTIF('MASTER DATA'!AB2:AB561,D15)</f>
        <v>357</v>
      </c>
      <c r="G15" t="s">
        <v>1503</v>
      </c>
      <c r="H15">
        <f>COUNTIF('MASTER DATA'!S2:S561,"Y")</f>
        <v>149</v>
      </c>
      <c r="J15">
        <v>5</v>
      </c>
      <c r="K15">
        <f>COUNTIF('MASTER DATA'!AA2:AA561,J15)</f>
        <v>0</v>
      </c>
    </row>
    <row r="16" spans="1:12" x14ac:dyDescent="0.45">
      <c r="A16" t="s">
        <v>57</v>
      </c>
      <c r="B16">
        <f>COUNTIF('MASTER DATA'!C2:C561,A16)</f>
        <v>48</v>
      </c>
    </row>
    <row r="17" spans="1:2" x14ac:dyDescent="0.45">
      <c r="A17" t="s">
        <v>270</v>
      </c>
      <c r="B17">
        <f>COUNTIF('MASTER DATA'!C2:C561,A17)</f>
        <v>44</v>
      </c>
    </row>
    <row r="18" spans="1:2" x14ac:dyDescent="0.45">
      <c r="A18" t="s">
        <v>49</v>
      </c>
      <c r="B18">
        <f>COUNTIF('MASTER DATA'!C2:C561,A18)</f>
        <v>42</v>
      </c>
    </row>
    <row r="19" spans="1:2" x14ac:dyDescent="0.45">
      <c r="A19" t="s">
        <v>497</v>
      </c>
      <c r="B19">
        <f>COUNTIF('MASTER DATA'!C2:C561,A19)</f>
        <v>41</v>
      </c>
    </row>
    <row r="20" spans="1:2" x14ac:dyDescent="0.45">
      <c r="A20" t="s">
        <v>170</v>
      </c>
      <c r="B20">
        <f>COUNTIF('MASTER DATA'!C2:C561,A20)</f>
        <v>36</v>
      </c>
    </row>
    <row r="21" spans="1:2" x14ac:dyDescent="0.45">
      <c r="A21" t="s">
        <v>989</v>
      </c>
      <c r="B21">
        <f>COUNTIF('MASTER DATA'!C2:C561,A21)</f>
        <v>23</v>
      </c>
    </row>
    <row r="22" spans="1:2" x14ac:dyDescent="0.45">
      <c r="A22" t="s">
        <v>167</v>
      </c>
      <c r="B22">
        <f>COUNTIF('MASTER DATA'!C2:C561,A22)</f>
        <v>17</v>
      </c>
    </row>
  </sheetData>
  <mergeCells count="18">
    <mergeCell ref="A1:L2"/>
    <mergeCell ref="A3:L3"/>
    <mergeCell ref="A5:B5"/>
    <mergeCell ref="C5:D5"/>
    <mergeCell ref="E5:F5"/>
    <mergeCell ref="G5:H5"/>
    <mergeCell ref="I5:J5"/>
    <mergeCell ref="K5:L5"/>
    <mergeCell ref="K6:L6"/>
    <mergeCell ref="A9:B9"/>
    <mergeCell ref="D9:E9"/>
    <mergeCell ref="G9:H9"/>
    <mergeCell ref="J9:K9"/>
    <mergeCell ref="A6:B6"/>
    <mergeCell ref="C6:D6"/>
    <mergeCell ref="E6:F6"/>
    <mergeCell ref="G6:H6"/>
    <mergeCell ref="I6:J6"/>
  </mergeCells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8"/>
  <sheetViews>
    <sheetView showGridLines="0" zoomScaleNormal="100" workbookViewId="0">
      <pane ySplit="3" topLeftCell="A4" activePane="bottomLeft" state="frozen"/>
      <selection pane="bottomLeft" sqref="A1:F2"/>
    </sheetView>
  </sheetViews>
  <sheetFormatPr defaultColWidth="8.73046875" defaultRowHeight="14.25" x14ac:dyDescent="0.45"/>
  <cols>
    <col min="1" max="1" width="34" customWidth="1"/>
    <col min="2" max="2" width="18" customWidth="1"/>
    <col min="3" max="3" width="22" customWidth="1"/>
    <col min="4" max="5" width="14" customWidth="1"/>
    <col min="6" max="6" width="58" customWidth="1"/>
  </cols>
  <sheetData>
    <row r="1" spans="1:6" x14ac:dyDescent="0.45">
      <c r="A1" s="10" t="s">
        <v>1504</v>
      </c>
      <c r="B1" s="10"/>
      <c r="C1" s="10"/>
      <c r="D1" s="10"/>
      <c r="E1" s="10"/>
      <c r="F1" s="10"/>
    </row>
    <row r="2" spans="1:6" x14ac:dyDescent="0.45">
      <c r="A2" s="10"/>
      <c r="B2" s="10"/>
      <c r="C2" s="10"/>
      <c r="D2" s="10"/>
      <c r="E2" s="10"/>
      <c r="F2" s="10"/>
    </row>
    <row r="4" spans="1:6" x14ac:dyDescent="0.45">
      <c r="A4" s="1" t="s">
        <v>1505</v>
      </c>
      <c r="B4" s="1" t="s">
        <v>1506</v>
      </c>
      <c r="C4" s="1" t="s">
        <v>1507</v>
      </c>
      <c r="D4" s="1" t="s">
        <v>1508</v>
      </c>
      <c r="E4" s="1" t="s">
        <v>1509</v>
      </c>
      <c r="F4" s="1" t="s">
        <v>1510</v>
      </c>
    </row>
    <row r="5" spans="1:6" x14ac:dyDescent="0.45">
      <c r="A5" t="s">
        <v>1495</v>
      </c>
      <c r="B5">
        <f>COUNTIF('MASTER DATA'!F2:F561,"Y")</f>
        <v>333</v>
      </c>
      <c r="C5">
        <f>DASHBOARD!H11</f>
        <v>333</v>
      </c>
      <c r="D5">
        <f>B5-C5</f>
        <v>0</v>
      </c>
      <c r="E5" t="str">
        <f>IF(D5=0,"PASS","FAIL")</f>
        <v>PASS</v>
      </c>
      <c r="F5" t="s">
        <v>1511</v>
      </c>
    </row>
    <row r="6" spans="1:6" x14ac:dyDescent="0.45">
      <c r="A6" t="s">
        <v>1497</v>
      </c>
      <c r="B6">
        <f>COUNTIF('MASTER DATA'!J2:J561,"Y")</f>
        <v>106</v>
      </c>
      <c r="C6">
        <f>DASHBOARD!H12</f>
        <v>106</v>
      </c>
      <c r="D6">
        <f>B6-C6</f>
        <v>0</v>
      </c>
      <c r="E6" t="str">
        <f>IF(D6=0,"PASS","FAIL")</f>
        <v>PASS</v>
      </c>
      <c r="F6" t="s">
        <v>1511</v>
      </c>
    </row>
    <row r="7" spans="1:6" x14ac:dyDescent="0.45">
      <c r="A7" t="s">
        <v>1499</v>
      </c>
      <c r="B7">
        <f>COUNTIF('MASTER DATA'!M2:M561,"Y")</f>
        <v>80</v>
      </c>
      <c r="C7">
        <f>DASHBOARD!H13</f>
        <v>80</v>
      </c>
      <c r="D7">
        <f>B7-C7</f>
        <v>0</v>
      </c>
      <c r="E7" t="str">
        <f>IF(D7=0,"PASS","FAIL")</f>
        <v>PASS</v>
      </c>
      <c r="F7" t="s">
        <v>1511</v>
      </c>
    </row>
    <row r="8" spans="1:6" x14ac:dyDescent="0.45">
      <c r="A8" t="s">
        <v>1501</v>
      </c>
      <c r="B8">
        <f>COUNTIF('MASTER DATA'!P2:P561,"Y")</f>
        <v>152</v>
      </c>
      <c r="C8">
        <f>DASHBOARD!H14</f>
        <v>152</v>
      </c>
      <c r="D8">
        <f>B8-C8</f>
        <v>0</v>
      </c>
      <c r="E8" t="str">
        <f>IF(D8=0,"PASS","FAIL")</f>
        <v>PASS</v>
      </c>
      <c r="F8" t="s">
        <v>1511</v>
      </c>
    </row>
    <row r="9" spans="1:6" x14ac:dyDescent="0.45">
      <c r="A9" t="s">
        <v>1503</v>
      </c>
      <c r="B9">
        <f>COUNTIF('MASTER DATA'!S2:S561,"Y")</f>
        <v>149</v>
      </c>
      <c r="C9">
        <f>DASHBOARD!H15</f>
        <v>149</v>
      </c>
      <c r="D9">
        <f>B9-C9</f>
        <v>0</v>
      </c>
      <c r="E9" t="str">
        <f>IF(D9=0,"PASS","FAIL")</f>
        <v>PASS</v>
      </c>
      <c r="F9" t="s">
        <v>1511</v>
      </c>
    </row>
    <row r="12" spans="1:6" x14ac:dyDescent="0.45">
      <c r="A12" s="1" t="s">
        <v>1512</v>
      </c>
      <c r="B12" s="1" t="s">
        <v>1513</v>
      </c>
      <c r="C12" s="1" t="s">
        <v>1514</v>
      </c>
      <c r="D12" s="1" t="s">
        <v>1508</v>
      </c>
      <c r="E12" s="1" t="s">
        <v>1515</v>
      </c>
      <c r="F12" s="1" t="s">
        <v>1516</v>
      </c>
    </row>
    <row r="13" spans="1:6" x14ac:dyDescent="0.45">
      <c r="A13" t="s">
        <v>1517</v>
      </c>
      <c r="B13">
        <f>COUNTA('MASTER DATA'!A2:A561)</f>
        <v>560</v>
      </c>
      <c r="C13">
        <f>DASHBOARD!A6</f>
        <v>560</v>
      </c>
      <c r="D13">
        <f>B13-C13</f>
        <v>0</v>
      </c>
      <c r="E13" t="str">
        <f>IF(D13=0,"PASS","FAIL")</f>
        <v>PASS</v>
      </c>
      <c r="F13" t="s">
        <v>1518</v>
      </c>
    </row>
    <row r="14" spans="1:6" x14ac:dyDescent="0.45">
      <c r="A14" t="s">
        <v>1519</v>
      </c>
      <c r="B14">
        <f>SUMPRODUCT(1/COUNTIF('MASTER DATA'!A2:A561,'MASTER DATA'!A2:A561))</f>
        <v>560</v>
      </c>
      <c r="C14">
        <f>COUNTA('MASTER DATA'!A2:A561)</f>
        <v>560</v>
      </c>
      <c r="D14">
        <f>B14-C14</f>
        <v>0</v>
      </c>
      <c r="E14" t="str">
        <f>IF(D14=0,"PASS","FAIL")</f>
        <v>PASS</v>
      </c>
      <c r="F14" t="s">
        <v>1520</v>
      </c>
    </row>
    <row r="15" spans="1:6" x14ac:dyDescent="0.45">
      <c r="A15" t="s">
        <v>1521</v>
      </c>
      <c r="B15">
        <f>SUM(B19:B23)</f>
        <v>560</v>
      </c>
      <c r="C15">
        <f>COUNTA('MASTER DATA'!A2:A561)</f>
        <v>560</v>
      </c>
      <c r="D15">
        <f>B15-C15</f>
        <v>0</v>
      </c>
      <c r="E15" t="str">
        <f>IF(D15=0,"PASS","FAIL")</f>
        <v>PASS</v>
      </c>
      <c r="F15" t="s">
        <v>1522</v>
      </c>
    </row>
    <row r="16" spans="1:6" x14ac:dyDescent="0.45">
      <c r="A16" t="s">
        <v>1523</v>
      </c>
      <c r="B16">
        <f>SUM(B27:B38)</f>
        <v>560</v>
      </c>
      <c r="C16">
        <f>COUNTA('MASTER DATA'!A2:A561)</f>
        <v>560</v>
      </c>
      <c r="D16">
        <f>B16-C16</f>
        <v>0</v>
      </c>
      <c r="E16" t="str">
        <f>IF(D16=0,"PASS","FAIL")</f>
        <v>PASS</v>
      </c>
      <c r="F16" t="s">
        <v>1524</v>
      </c>
    </row>
    <row r="18" spans="1:2" x14ac:dyDescent="0.45">
      <c r="A18" s="3" t="s">
        <v>1525</v>
      </c>
      <c r="B18" s="3" t="s">
        <v>1526</v>
      </c>
    </row>
    <row r="19" spans="1:2" x14ac:dyDescent="0.45">
      <c r="A19" t="s">
        <v>1527</v>
      </c>
      <c r="B19">
        <f>COUNTIF('MASTER DATA'!AA2:AA561,1)</f>
        <v>357</v>
      </c>
    </row>
    <row r="20" spans="1:2" x14ac:dyDescent="0.45">
      <c r="A20" t="s">
        <v>1528</v>
      </c>
      <c r="B20">
        <f>COUNTIF('MASTER DATA'!AA2:AA561,2)</f>
        <v>152</v>
      </c>
    </row>
    <row r="21" spans="1:2" x14ac:dyDescent="0.45">
      <c r="A21" t="s">
        <v>1529</v>
      </c>
      <c r="B21">
        <f>COUNTIF('MASTER DATA'!AA2:AA561,3)</f>
        <v>45</v>
      </c>
    </row>
    <row r="22" spans="1:2" x14ac:dyDescent="0.45">
      <c r="A22" t="s">
        <v>1530</v>
      </c>
      <c r="B22">
        <f>COUNTIF('MASTER DATA'!AA2:AA561,4)</f>
        <v>6</v>
      </c>
    </row>
    <row r="23" spans="1:2" x14ac:dyDescent="0.45">
      <c r="A23" t="s">
        <v>1531</v>
      </c>
      <c r="B23">
        <f>COUNTIF('MASTER DATA'!AA2:AA561,5)</f>
        <v>0</v>
      </c>
    </row>
    <row r="24" spans="1:2" x14ac:dyDescent="0.45">
      <c r="A24" t="s">
        <v>1532</v>
      </c>
      <c r="B24">
        <f>SUM(B20:B23)</f>
        <v>203</v>
      </c>
    </row>
    <row r="26" spans="1:2" x14ac:dyDescent="0.45">
      <c r="A26" s="3" t="s">
        <v>1533</v>
      </c>
      <c r="B26" s="3" t="s">
        <v>1534</v>
      </c>
    </row>
    <row r="27" spans="1:2" x14ac:dyDescent="0.45">
      <c r="A27" t="s">
        <v>49</v>
      </c>
      <c r="B27">
        <f>COUNTA('Claims Analyst A'!A2:A1000)</f>
        <v>42</v>
      </c>
    </row>
    <row r="28" spans="1:2" x14ac:dyDescent="0.45">
      <c r="A28" t="s">
        <v>497</v>
      </c>
      <c r="B28">
        <f>COUNTA('Claims Analyst B'!A2:A1000)</f>
        <v>41</v>
      </c>
    </row>
    <row r="29" spans="1:2" x14ac:dyDescent="0.45">
      <c r="A29" t="s">
        <v>119</v>
      </c>
      <c r="B29">
        <f>COUNTA('Claims Analyst C'!A2:A1000)</f>
        <v>55</v>
      </c>
    </row>
    <row r="30" spans="1:2" x14ac:dyDescent="0.45">
      <c r="A30" t="s">
        <v>167</v>
      </c>
      <c r="B30">
        <f>COUNTA('Claims Analyst D'!A2:A1000)</f>
        <v>17</v>
      </c>
    </row>
    <row r="31" spans="1:2" x14ac:dyDescent="0.45">
      <c r="A31" t="s">
        <v>170</v>
      </c>
      <c r="B31">
        <f>COUNTA('Claims Analyst E'!A2:A1000)</f>
        <v>36</v>
      </c>
    </row>
    <row r="32" spans="1:2" x14ac:dyDescent="0.45">
      <c r="A32" t="s">
        <v>57</v>
      </c>
      <c r="B32">
        <f>COUNTA('Claims Analyst F'!A2:A1000)</f>
        <v>48</v>
      </c>
    </row>
    <row r="33" spans="1:2" x14ac:dyDescent="0.45">
      <c r="A33" t="s">
        <v>64</v>
      </c>
      <c r="B33">
        <f>COUNTA('Claims Analyst G'!A2:A1000)</f>
        <v>55</v>
      </c>
    </row>
    <row r="34" spans="1:2" x14ac:dyDescent="0.45">
      <c r="A34" t="s">
        <v>989</v>
      </c>
      <c r="B34">
        <f>COUNTA('Claims Analyst H'!A2:A1000)</f>
        <v>23</v>
      </c>
    </row>
    <row r="35" spans="1:2" x14ac:dyDescent="0.45">
      <c r="A35" t="s">
        <v>270</v>
      </c>
      <c r="B35">
        <f>COUNTA('Claims Analyst I'!A2:A1000)</f>
        <v>44</v>
      </c>
    </row>
    <row r="36" spans="1:2" x14ac:dyDescent="0.45">
      <c r="A36" t="s">
        <v>69</v>
      </c>
      <c r="B36">
        <f>COUNTA('Claims Analyst J'!A2:A1000)</f>
        <v>63</v>
      </c>
    </row>
    <row r="37" spans="1:2" x14ac:dyDescent="0.45">
      <c r="A37" t="s">
        <v>313</v>
      </c>
      <c r="B37">
        <f>COUNTA('Claims Analyst K'!A2:A1000)</f>
        <v>60</v>
      </c>
    </row>
    <row r="38" spans="1:2" x14ac:dyDescent="0.45">
      <c r="A38" t="s">
        <v>367</v>
      </c>
      <c r="B38">
        <f>COUNTA('Claims Analyst L'!A2:A1000)</f>
        <v>76</v>
      </c>
    </row>
  </sheetData>
  <mergeCells count="1">
    <mergeCell ref="A1:F2"/>
  </mergeCells>
  <conditionalFormatting sqref="E5:E16">
    <cfRule type="expression" dxfId="13" priority="2">
      <formula>E5="PASS"</formula>
    </cfRule>
    <cfRule type="expression" dxfId="12" priority="3">
      <formula>E5="FAIL"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4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8" width="34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57.132812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DATA'!A2="","",'MASTER DATA'!A2)</f>
        <v>SYN-CLM-0001</v>
      </c>
      <c r="B2" t="str">
        <f>IF('MASTER DATA'!B2="","",'MASTER DATA'!B2)</f>
        <v>Synthetic Claimant 0001</v>
      </c>
      <c r="C2" t="str">
        <f>IF('MASTER DATA'!C2="","",'MASTER DATA'!C2)</f>
        <v>Claims Analyst A</v>
      </c>
      <c r="D2" t="str">
        <f>IF('MASTER DATA'!D2="","",'MASTER DATA'!D2)</f>
        <v>Synthetic Policyholder 034, LLC</v>
      </c>
      <c r="E2" s="15">
        <f>IF('MASTER DATA'!E2="","",'MASTER DATA'!E2)</f>
        <v>44113</v>
      </c>
      <c r="F2" s="16" t="str">
        <f>IF('MASTER DATA'!F2="","",'MASTER DATA'!F2)</f>
        <v>Y</v>
      </c>
      <c r="G2" s="17">
        <f>IF('MASTER DATA'!G2="","",'MASTER DATA'!G2)</f>
        <v>156750</v>
      </c>
      <c r="H2" s="16" t="str">
        <f>IF('MASTER DATA'!H2="","",'MASTER DATA'!H2)</f>
        <v>Synthetic Approver 07</v>
      </c>
      <c r="I2" s="15">
        <f>IF('MASTER DATA'!I2="","",'MASTER DATA'!I2)</f>
        <v>44650</v>
      </c>
      <c r="J2" s="16" t="str">
        <f>IF('MASTER DATA'!J2="","",'MASTER DATA'!J2)</f>
        <v>N</v>
      </c>
      <c r="K2" s="15" t="str">
        <f>IF('MASTER DATA'!K2="","",'MASTER DATA'!K2)</f>
        <v/>
      </c>
      <c r="L2" s="16" t="str">
        <f>IF('MASTER DATA'!L2="","",'MASTER DATA'!L2)</f>
        <v>N</v>
      </c>
      <c r="M2" s="16" t="str">
        <f>IF('MASTER DATA'!M2="","",'MASTER DATA'!M2)</f>
        <v>N</v>
      </c>
      <c r="N2" s="15" t="str">
        <f>IF('MASTER DATA'!N2="","",'MASTER DATA'!N2)</f>
        <v/>
      </c>
      <c r="O2" s="16" t="str">
        <f>IF('MASTER DATA'!O2="","",'MASTER DATA'!O2)</f>
        <v/>
      </c>
      <c r="P2" s="16" t="str">
        <f>IF('MASTER DATA'!P2="","",'MASTER DATA'!P2)</f>
        <v>Y</v>
      </c>
      <c r="Q2" s="16" t="str">
        <f>IF('MASTER DATA'!Q2="","",'MASTER DATA'!Q2)</f>
        <v>MMI Date Reported; Non-Renewed Account; MSA Eligible in Next 3 Years</v>
      </c>
      <c r="R2" s="16" t="str">
        <f>IF('MASTER DATA'!R2="","",'MASTER DATA'!R2)</f>
        <v/>
      </c>
      <c r="S2" s="16" t="str">
        <f>IF('MASTER DATA'!S2="","",'MASTER DATA'!S2)</f>
        <v>N</v>
      </c>
      <c r="T2" s="15" t="str">
        <f>IF('MASTER DATA'!T2="","",'MASTER DATA'!T2)</f>
        <v/>
      </c>
      <c r="U2" s="16" t="str">
        <f>IF('MASTER DATA'!U2="","",'MASTER DATA'!U2)</f>
        <v>N</v>
      </c>
      <c r="V2" s="16" t="str">
        <f>IF('MASTER DATA'!V2="","",'MASTER DATA'!V2)</f>
        <v>Y</v>
      </c>
      <c r="W2" s="16" t="str">
        <f>IF('MASTER DATA'!W2="","",'MASTER DATA'!W2)</f>
        <v>N</v>
      </c>
      <c r="X2" s="16" t="str">
        <f>IF('MASTER DATA'!X2="","",'MASTER DATA'!X2)</f>
        <v>N</v>
      </c>
      <c r="Y2" s="16" t="str">
        <f>IF('MASTER DATA'!Y2="","",'MASTER DATA'!Y2)</f>
        <v>Y</v>
      </c>
      <c r="Z2" s="16" t="str">
        <f>IF('MASTER DATA'!Z2="","",'MASTER DATA'!Z2)</f>
        <v>Y</v>
      </c>
      <c r="AA2" s="16">
        <f>IF('MASTER DATA'!AA2="","",'MASTER DATA'!AA2)</f>
        <v>2</v>
      </c>
      <c r="AB2" s="16" t="str">
        <f>IF('MASTER DATA'!AB2="","",'MASTER DATA'!AB2)</f>
        <v>MULTI-SIGNAL</v>
      </c>
      <c r="AC2" s="16" t="str">
        <f>IF('MASTER DATA'!AC2="","",'MASTER DATA'!AC2)</f>
        <v>Settlement Authorization | Automated Claim Alert</v>
      </c>
    </row>
    <row r="3" spans="1:29" x14ac:dyDescent="0.45">
      <c r="A3" t="str">
        <f>IF('MASTER DATA'!A6="","",'MASTER DATA'!A6)</f>
        <v>SYN-CLM-0005</v>
      </c>
      <c r="B3" t="str">
        <f>IF('MASTER DATA'!B6="","",'MASTER DATA'!B6)</f>
        <v>Synthetic Claimant 0005</v>
      </c>
      <c r="C3" t="str">
        <f>IF('MASTER DATA'!C6="","",'MASTER DATA'!C6)</f>
        <v>Claims Analyst A</v>
      </c>
      <c r="D3" t="str">
        <f>IF('MASTER DATA'!D6="","",'MASTER DATA'!D6)</f>
        <v>Synthetic Policyholder 129, LLC</v>
      </c>
      <c r="E3" s="15">
        <f>IF('MASTER DATA'!E6="","",'MASTER DATA'!E6)</f>
        <v>45421</v>
      </c>
      <c r="F3" s="16" t="str">
        <f>IF('MASTER DATA'!F6="","",'MASTER DATA'!F6)</f>
        <v>Y</v>
      </c>
      <c r="G3" s="17">
        <f>IF('MASTER DATA'!G6="","",'MASTER DATA'!G6)</f>
        <v>108000</v>
      </c>
      <c r="H3" s="16" t="str">
        <f>IF('MASTER DATA'!H6="","",'MASTER DATA'!H6)</f>
        <v>Synthetic Approver 01</v>
      </c>
      <c r="I3" s="15">
        <f>IF('MASTER DATA'!I6="","",'MASTER DATA'!I6)</f>
        <v>47152</v>
      </c>
      <c r="J3" s="16" t="str">
        <f>IF('MASTER DATA'!J6="","",'MASTER DATA'!J6)</f>
        <v>N</v>
      </c>
      <c r="K3" s="15" t="str">
        <f>IF('MASTER DATA'!K6="","",'MASTER DATA'!K6)</f>
        <v/>
      </c>
      <c r="L3" s="16" t="str">
        <f>IF('MASTER DATA'!L6="","",'MASTER DATA'!L6)</f>
        <v>Y</v>
      </c>
      <c r="M3" s="16" t="str">
        <f>IF('MASTER DATA'!M6="","",'MASTER DATA'!M6)</f>
        <v>N</v>
      </c>
      <c r="N3" s="15" t="str">
        <f>IF('MASTER DATA'!N6="","",'MASTER DATA'!N6)</f>
        <v/>
      </c>
      <c r="O3" s="16" t="str">
        <f>IF('MASTER DATA'!O6="","",'MASTER DATA'!O6)</f>
        <v/>
      </c>
      <c r="P3" s="16" t="str">
        <f>IF('MASTER DATA'!P6="","",'MASTER DATA'!P6)</f>
        <v>N</v>
      </c>
      <c r="Q3" s="16" t="str">
        <f>IF('MASTER DATA'!Q6="","",'MASTER DATA'!Q6)</f>
        <v/>
      </c>
      <c r="R3" s="16" t="str">
        <f>IF('MASTER DATA'!R6="","",'MASTER DATA'!R6)</f>
        <v/>
      </c>
      <c r="S3" s="16" t="str">
        <f>IF('MASTER DATA'!S6="","",'MASTER DATA'!S6)</f>
        <v>N</v>
      </c>
      <c r="T3" s="15" t="str">
        <f>IF('MASTER DATA'!T6="","",'MASTER DATA'!T6)</f>
        <v/>
      </c>
      <c r="U3" s="16" t="str">
        <f>IF('MASTER DATA'!U6="","",'MASTER DATA'!U6)</f>
        <v>N</v>
      </c>
      <c r="V3" s="16" t="str">
        <f>IF('MASTER DATA'!V6="","",'MASTER DATA'!V6)</f>
        <v>N</v>
      </c>
      <c r="W3" s="16" t="str">
        <f>IF('MASTER DATA'!W6="","",'MASTER DATA'!W6)</f>
        <v>N</v>
      </c>
      <c r="X3" s="16" t="str">
        <f>IF('MASTER DATA'!X6="","",'MASTER DATA'!X6)</f>
        <v>N</v>
      </c>
      <c r="Y3" s="16" t="str">
        <f>IF('MASTER DATA'!Y6="","",'MASTER DATA'!Y6)</f>
        <v>N</v>
      </c>
      <c r="Z3" s="16" t="str">
        <f>IF('MASTER DATA'!Z6="","",'MASTER DATA'!Z6)</f>
        <v>N</v>
      </c>
      <c r="AA3" s="16">
        <f>IF('MASTER DATA'!AA6="","",'MASTER DATA'!AA6)</f>
        <v>1</v>
      </c>
      <c r="AB3" s="16" t="str">
        <f>IF('MASTER DATA'!AB6="","",'MASTER DATA'!AB6)</f>
        <v>SINGLE-SIGNAL</v>
      </c>
      <c r="AC3" s="16" t="str">
        <f>IF('MASTER DATA'!AC6="","",'MASTER DATA'!AC6)</f>
        <v>Settlement Authorization</v>
      </c>
    </row>
    <row r="4" spans="1:29" x14ac:dyDescent="0.45">
      <c r="A4" t="str">
        <f>IF('MASTER DATA'!A7="","",'MASTER DATA'!A7)</f>
        <v>SYN-CLM-0006</v>
      </c>
      <c r="B4" t="str">
        <f>IF('MASTER DATA'!B7="","",'MASTER DATA'!B7)</f>
        <v>Synthetic Claimant 0006</v>
      </c>
      <c r="C4" t="str">
        <f>IF('MASTER DATA'!C7="","",'MASTER DATA'!C7)</f>
        <v>Claims Analyst A</v>
      </c>
      <c r="D4" t="str">
        <f>IF('MASTER DATA'!D7="","",'MASTER DATA'!D7)</f>
        <v>Synthetic Policyholder 167, LLC</v>
      </c>
      <c r="E4" s="15">
        <f>IF('MASTER DATA'!E7="","",'MASTER DATA'!E7)</f>
        <v>44212</v>
      </c>
      <c r="F4" s="16" t="str">
        <f>IF('MASTER DATA'!F7="","",'MASTER DATA'!F7)</f>
        <v>Y</v>
      </c>
      <c r="G4" s="17">
        <f>IF('MASTER DATA'!G7="","",'MASTER DATA'!G7)</f>
        <v>25250</v>
      </c>
      <c r="H4" s="16" t="str">
        <f>IF('MASTER DATA'!H7="","",'MASTER DATA'!H7)</f>
        <v>Synthetic Approver 09</v>
      </c>
      <c r="I4" s="15">
        <f>IF('MASTER DATA'!I7="","",'MASTER DATA'!I7)</f>
        <v>45671</v>
      </c>
      <c r="J4" s="16" t="str">
        <f>IF('MASTER DATA'!J7="","",'MASTER DATA'!J7)</f>
        <v>N</v>
      </c>
      <c r="K4" s="15" t="str">
        <f>IF('MASTER DATA'!K7="","",'MASTER DATA'!K7)</f>
        <v/>
      </c>
      <c r="L4" s="16" t="str">
        <f>IF('MASTER DATA'!L7="","",'MASTER DATA'!L7)</f>
        <v>N</v>
      </c>
      <c r="M4" s="16" t="str">
        <f>IF('MASTER DATA'!M7="","",'MASTER DATA'!M7)</f>
        <v>N</v>
      </c>
      <c r="N4" s="15" t="str">
        <f>IF('MASTER DATA'!N7="","",'MASTER DATA'!N7)</f>
        <v/>
      </c>
      <c r="O4" s="16" t="str">
        <f>IF('MASTER DATA'!O7="","",'MASTER DATA'!O7)</f>
        <v/>
      </c>
      <c r="P4" s="16" t="str">
        <f>IF('MASTER DATA'!P7="","",'MASTER DATA'!P7)</f>
        <v>N</v>
      </c>
      <c r="Q4" s="16" t="str">
        <f>IF('MASTER DATA'!Q7="","",'MASTER DATA'!Q7)</f>
        <v/>
      </c>
      <c r="R4" s="16" t="str">
        <f>IF('MASTER DATA'!R7="","",'MASTER DATA'!R7)</f>
        <v/>
      </c>
      <c r="S4" s="16" t="str">
        <f>IF('MASTER DATA'!S7="","",'MASTER DATA'!S7)</f>
        <v>N</v>
      </c>
      <c r="T4" s="15" t="str">
        <f>IF('MASTER DATA'!T7="","",'MASTER DATA'!T7)</f>
        <v/>
      </c>
      <c r="U4" s="16" t="str">
        <f>IF('MASTER DATA'!U7="","",'MASTER DATA'!U7)</f>
        <v>N</v>
      </c>
      <c r="V4" s="16" t="str">
        <f>IF('MASTER DATA'!V7="","",'MASTER DATA'!V7)</f>
        <v>N</v>
      </c>
      <c r="W4" s="16" t="str">
        <f>IF('MASTER DATA'!W7="","",'MASTER DATA'!W7)</f>
        <v>N</v>
      </c>
      <c r="X4" s="16" t="str">
        <f>IF('MASTER DATA'!X7="","",'MASTER DATA'!X7)</f>
        <v>N</v>
      </c>
      <c r="Y4" s="16" t="str">
        <f>IF('MASTER DATA'!Y7="","",'MASTER DATA'!Y7)</f>
        <v>N</v>
      </c>
      <c r="Z4" s="16" t="str">
        <f>IF('MASTER DATA'!Z7="","",'MASTER DATA'!Z7)</f>
        <v>N</v>
      </c>
      <c r="AA4" s="16">
        <f>IF('MASTER DATA'!AA7="","",'MASTER DATA'!AA7)</f>
        <v>1</v>
      </c>
      <c r="AB4" s="16" t="str">
        <f>IF('MASTER DATA'!AB7="","",'MASTER DATA'!AB7)</f>
        <v>SINGLE-SIGNAL</v>
      </c>
      <c r="AC4" s="16" t="str">
        <f>IF('MASTER DATA'!AC7="","",'MASTER DATA'!AC7)</f>
        <v>Settlement Authorization</v>
      </c>
    </row>
    <row r="5" spans="1:29" x14ac:dyDescent="0.45">
      <c r="A5" t="str">
        <f>IF('MASTER DATA'!A8="","",'MASTER DATA'!A8)</f>
        <v>SYN-CLM-0007</v>
      </c>
      <c r="B5" t="str">
        <f>IF('MASTER DATA'!B8="","",'MASTER DATA'!B8)</f>
        <v>Synthetic Claimant 0007</v>
      </c>
      <c r="C5" t="str">
        <f>IF('MASTER DATA'!C8="","",'MASTER DATA'!C8)</f>
        <v>Claims Analyst A</v>
      </c>
      <c r="D5" t="str">
        <f>IF('MASTER DATA'!D8="","",'MASTER DATA'!D8)</f>
        <v>Synthetic Policyholder 080, LLC</v>
      </c>
      <c r="E5" s="15">
        <f>IF('MASTER DATA'!E8="","",'MASTER DATA'!E8)</f>
        <v>44367</v>
      </c>
      <c r="F5" s="16" t="str">
        <f>IF('MASTER DATA'!F8="","",'MASTER DATA'!F8)</f>
        <v>Y</v>
      </c>
      <c r="G5" s="17">
        <f>IF('MASTER DATA'!G8="","",'MASTER DATA'!G8)</f>
        <v>55500</v>
      </c>
      <c r="H5" s="16" t="str">
        <f>IF('MASTER DATA'!H8="","",'MASTER DATA'!H8)</f>
        <v>Synthetic Approver 01</v>
      </c>
      <c r="I5" s="15">
        <f>IF('MASTER DATA'!I8="","",'MASTER DATA'!I8)</f>
        <v>45792</v>
      </c>
      <c r="J5" s="16" t="str">
        <f>IF('MASTER DATA'!J8="","",'MASTER DATA'!J8)</f>
        <v>N</v>
      </c>
      <c r="K5" s="15" t="str">
        <f>IF('MASTER DATA'!K8="","",'MASTER DATA'!K8)</f>
        <v/>
      </c>
      <c r="L5" s="16" t="str">
        <f>IF('MASTER DATA'!L8="","",'MASTER DATA'!L8)</f>
        <v>N</v>
      </c>
      <c r="M5" s="16" t="str">
        <f>IF('MASTER DATA'!M8="","",'MASTER DATA'!M8)</f>
        <v>N</v>
      </c>
      <c r="N5" s="15" t="str">
        <f>IF('MASTER DATA'!N8="","",'MASTER DATA'!N8)</f>
        <v/>
      </c>
      <c r="O5" s="16" t="str">
        <f>IF('MASTER DATA'!O8="","",'MASTER DATA'!O8)</f>
        <v/>
      </c>
      <c r="P5" s="16" t="str">
        <f>IF('MASTER DATA'!P8="","",'MASTER DATA'!P8)</f>
        <v>N</v>
      </c>
      <c r="Q5" s="16" t="str">
        <f>IF('MASTER DATA'!Q8="","",'MASTER DATA'!Q8)</f>
        <v/>
      </c>
      <c r="R5" s="16" t="str">
        <f>IF('MASTER DATA'!R8="","",'MASTER DATA'!R8)</f>
        <v/>
      </c>
      <c r="S5" s="16" t="str">
        <f>IF('MASTER DATA'!S8="","",'MASTER DATA'!S8)</f>
        <v>N</v>
      </c>
      <c r="T5" s="15" t="str">
        <f>IF('MASTER DATA'!T8="","",'MASTER DATA'!T8)</f>
        <v/>
      </c>
      <c r="U5" s="16" t="str">
        <f>IF('MASTER DATA'!U8="","",'MASTER DATA'!U8)</f>
        <v>N</v>
      </c>
      <c r="V5" s="16" t="str">
        <f>IF('MASTER DATA'!V8="","",'MASTER DATA'!V8)</f>
        <v>N</v>
      </c>
      <c r="W5" s="16" t="str">
        <f>IF('MASTER DATA'!W8="","",'MASTER DATA'!W8)</f>
        <v>N</v>
      </c>
      <c r="X5" s="16" t="str">
        <f>IF('MASTER DATA'!X8="","",'MASTER DATA'!X8)</f>
        <v>N</v>
      </c>
      <c r="Y5" s="16" t="str">
        <f>IF('MASTER DATA'!Y8="","",'MASTER DATA'!Y8)</f>
        <v>N</v>
      </c>
      <c r="Z5" s="16" t="str">
        <f>IF('MASTER DATA'!Z8="","",'MASTER DATA'!Z8)</f>
        <v>N</v>
      </c>
      <c r="AA5" s="16">
        <f>IF('MASTER DATA'!AA8="","",'MASTER DATA'!AA8)</f>
        <v>1</v>
      </c>
      <c r="AB5" s="16" t="str">
        <f>IF('MASTER DATA'!AB8="","",'MASTER DATA'!AB8)</f>
        <v>SINGLE-SIGNAL</v>
      </c>
      <c r="AC5" s="16" t="str">
        <f>IF('MASTER DATA'!AC8="","",'MASTER DATA'!AC8)</f>
        <v>Settlement Authorization</v>
      </c>
    </row>
    <row r="6" spans="1:29" x14ac:dyDescent="0.45">
      <c r="A6" t="str">
        <f>IF('MASTER DATA'!A9="","",'MASTER DATA'!A9)</f>
        <v>SYN-CLM-0008</v>
      </c>
      <c r="B6" t="str">
        <f>IF('MASTER DATA'!B9="","",'MASTER DATA'!B9)</f>
        <v>Synthetic Claimant 0008</v>
      </c>
      <c r="C6" t="str">
        <f>IF('MASTER DATA'!C9="","",'MASTER DATA'!C9)</f>
        <v>Claims Analyst A</v>
      </c>
      <c r="D6" t="str">
        <f>IF('MASTER DATA'!D9="","",'MASTER DATA'!D9)</f>
        <v>Synthetic Policyholder 153, LLC</v>
      </c>
      <c r="E6" s="15">
        <f>IF('MASTER DATA'!E9="","",'MASTER DATA'!E9)</f>
        <v>45296</v>
      </c>
      <c r="F6" s="16" t="str">
        <f>IF('MASTER DATA'!F9="","",'MASTER DATA'!F9)</f>
        <v>Y</v>
      </c>
      <c r="G6" s="17">
        <f>IF('MASTER DATA'!G9="","",'MASTER DATA'!G9)</f>
        <v>99250</v>
      </c>
      <c r="H6" s="16" t="str">
        <f>IF('MASTER DATA'!H9="","",'MASTER DATA'!H9)</f>
        <v>Synthetic Approver 06</v>
      </c>
      <c r="I6" s="15">
        <f>IF('MASTER DATA'!I9="","",'MASTER DATA'!I9)</f>
        <v>47034</v>
      </c>
      <c r="J6" s="16" t="str">
        <f>IF('MASTER DATA'!J9="","",'MASTER DATA'!J9)</f>
        <v>N</v>
      </c>
      <c r="K6" s="15" t="str">
        <f>IF('MASTER DATA'!K9="","",'MASTER DATA'!K9)</f>
        <v/>
      </c>
      <c r="L6" s="16" t="str">
        <f>IF('MASTER DATA'!L9="","",'MASTER DATA'!L9)</f>
        <v>Y</v>
      </c>
      <c r="M6" s="16" t="str">
        <f>IF('MASTER DATA'!M9="","",'MASTER DATA'!M9)</f>
        <v>N</v>
      </c>
      <c r="N6" s="15" t="str">
        <f>IF('MASTER DATA'!N9="","",'MASTER DATA'!N9)</f>
        <v/>
      </c>
      <c r="O6" s="16" t="str">
        <f>IF('MASTER DATA'!O9="","",'MASTER DATA'!O9)</f>
        <v/>
      </c>
      <c r="P6" s="16" t="str">
        <f>IF('MASTER DATA'!P9="","",'MASTER DATA'!P9)</f>
        <v>N</v>
      </c>
      <c r="Q6" s="16" t="str">
        <f>IF('MASTER DATA'!Q9="","",'MASTER DATA'!Q9)</f>
        <v/>
      </c>
      <c r="R6" s="16" t="str">
        <f>IF('MASTER DATA'!R9="","",'MASTER DATA'!R9)</f>
        <v/>
      </c>
      <c r="S6" s="16" t="str">
        <f>IF('MASTER DATA'!S9="","",'MASTER DATA'!S9)</f>
        <v>N</v>
      </c>
      <c r="T6" s="15" t="str">
        <f>IF('MASTER DATA'!T9="","",'MASTER DATA'!T9)</f>
        <v/>
      </c>
      <c r="U6" s="16" t="str">
        <f>IF('MASTER DATA'!U9="","",'MASTER DATA'!U9)</f>
        <v>N</v>
      </c>
      <c r="V6" s="16" t="str">
        <f>IF('MASTER DATA'!V9="","",'MASTER DATA'!V9)</f>
        <v>N</v>
      </c>
      <c r="W6" s="16" t="str">
        <f>IF('MASTER DATA'!W9="","",'MASTER DATA'!W9)</f>
        <v>N</v>
      </c>
      <c r="X6" s="16" t="str">
        <f>IF('MASTER DATA'!X9="","",'MASTER DATA'!X9)</f>
        <v>N</v>
      </c>
      <c r="Y6" s="16" t="str">
        <f>IF('MASTER DATA'!Y9="","",'MASTER DATA'!Y9)</f>
        <v>N</v>
      </c>
      <c r="Z6" s="16" t="str">
        <f>IF('MASTER DATA'!Z9="","",'MASTER DATA'!Z9)</f>
        <v>N</v>
      </c>
      <c r="AA6" s="16">
        <f>IF('MASTER DATA'!AA9="","",'MASTER DATA'!AA9)</f>
        <v>1</v>
      </c>
      <c r="AB6" s="16" t="str">
        <f>IF('MASTER DATA'!AB9="","",'MASTER DATA'!AB9)</f>
        <v>SINGLE-SIGNAL</v>
      </c>
      <c r="AC6" s="16" t="str">
        <f>IF('MASTER DATA'!AC9="","",'MASTER DATA'!AC9)</f>
        <v>Settlement Authorization</v>
      </c>
    </row>
    <row r="7" spans="1:29" x14ac:dyDescent="0.45">
      <c r="A7" t="str">
        <f>IF('MASTER DATA'!A10="","",'MASTER DATA'!A10)</f>
        <v>SYN-CLM-0009</v>
      </c>
      <c r="B7" t="str">
        <f>IF('MASTER DATA'!B10="","",'MASTER DATA'!B10)</f>
        <v>Synthetic Claimant 0009</v>
      </c>
      <c r="C7" t="str">
        <f>IF('MASTER DATA'!C10="","",'MASTER DATA'!C10)</f>
        <v>Claims Analyst A</v>
      </c>
      <c r="D7" t="str">
        <f>IF('MASTER DATA'!D10="","",'MASTER DATA'!D10)</f>
        <v>Synthetic Policyholder 143, LLC</v>
      </c>
      <c r="E7" s="15">
        <f>IF('MASTER DATA'!E10="","",'MASTER DATA'!E10)</f>
        <v>45045</v>
      </c>
      <c r="F7" s="16" t="str">
        <f>IF('MASTER DATA'!F10="","",'MASTER DATA'!F10)</f>
        <v>Y</v>
      </c>
      <c r="G7" s="17">
        <f>IF('MASTER DATA'!G10="","",'MASTER DATA'!G10)</f>
        <v>36250</v>
      </c>
      <c r="H7" s="16" t="str">
        <f>IF('MASTER DATA'!H10="","",'MASTER DATA'!H10)</f>
        <v>Synthetic Approver 02</v>
      </c>
      <c r="I7" s="15">
        <f>IF('MASTER DATA'!I10="","",'MASTER DATA'!I10)</f>
        <v>46628</v>
      </c>
      <c r="J7" s="16" t="str">
        <f>IF('MASTER DATA'!J10="","",'MASTER DATA'!J10)</f>
        <v>Y</v>
      </c>
      <c r="K7" s="15">
        <f>IF('MASTER DATA'!K10="","",'MASTER DATA'!K10)</f>
        <v>45616</v>
      </c>
      <c r="L7" s="16" t="str">
        <f>IF('MASTER DATA'!L10="","",'MASTER DATA'!L10)</f>
        <v>Y</v>
      </c>
      <c r="M7" s="16" t="str">
        <f>IF('MASTER DATA'!M10="","",'MASTER DATA'!M10)</f>
        <v>N</v>
      </c>
      <c r="N7" s="15" t="str">
        <f>IF('MASTER DATA'!N10="","",'MASTER DATA'!N10)</f>
        <v/>
      </c>
      <c r="O7" s="16" t="str">
        <f>IF('MASTER DATA'!O10="","",'MASTER DATA'!O10)</f>
        <v/>
      </c>
      <c r="P7" s="16" t="str">
        <f>IF('MASTER DATA'!P10="","",'MASTER DATA'!P10)</f>
        <v>N</v>
      </c>
      <c r="Q7" s="16" t="str">
        <f>IF('MASTER DATA'!Q10="","",'MASTER DATA'!Q10)</f>
        <v/>
      </c>
      <c r="R7" s="16" t="str">
        <f>IF('MASTER DATA'!R10="","",'MASTER DATA'!R10)</f>
        <v/>
      </c>
      <c r="S7" s="16" t="str">
        <f>IF('MASTER DATA'!S10="","",'MASTER DATA'!S10)</f>
        <v>N</v>
      </c>
      <c r="T7" s="15" t="str">
        <f>IF('MASTER DATA'!T10="","",'MASTER DATA'!T10)</f>
        <v/>
      </c>
      <c r="U7" s="16" t="str">
        <f>IF('MASTER DATA'!U10="","",'MASTER DATA'!U10)</f>
        <v>N</v>
      </c>
      <c r="V7" s="16" t="str">
        <f>IF('MASTER DATA'!V10="","",'MASTER DATA'!V10)</f>
        <v>N</v>
      </c>
      <c r="W7" s="16" t="str">
        <f>IF('MASTER DATA'!W10="","",'MASTER DATA'!W10)</f>
        <v>N</v>
      </c>
      <c r="X7" s="16" t="str">
        <f>IF('MASTER DATA'!X10="","",'MASTER DATA'!X10)</f>
        <v>N</v>
      </c>
      <c r="Y7" s="16" t="str">
        <f>IF('MASTER DATA'!Y10="","",'MASTER DATA'!Y10)</f>
        <v>N</v>
      </c>
      <c r="Z7" s="16" t="str">
        <f>IF('MASTER DATA'!Z10="","",'MASTER DATA'!Z10)</f>
        <v>N</v>
      </c>
      <c r="AA7" s="16">
        <f>IF('MASTER DATA'!AA10="","",'MASTER DATA'!AA10)</f>
        <v>2</v>
      </c>
      <c r="AB7" s="16" t="str">
        <f>IF('MASTER DATA'!AB10="","",'MASTER DATA'!AB10)</f>
        <v>MULTI-SIGNAL</v>
      </c>
      <c r="AC7" s="16" t="str">
        <f>IF('MASTER DATA'!AC10="","",'MASTER DATA'!AC10)</f>
        <v>Settlement Authorization | Open Stipulation</v>
      </c>
    </row>
    <row r="8" spans="1:29" x14ac:dyDescent="0.45">
      <c r="A8" t="str">
        <f>IF('MASTER DATA'!A11="","",'MASTER DATA'!A11)</f>
        <v>SYN-CLM-0010</v>
      </c>
      <c r="B8" t="str">
        <f>IF('MASTER DATA'!B11="","",'MASTER DATA'!B11)</f>
        <v>Synthetic Claimant 0010</v>
      </c>
      <c r="C8" t="str">
        <f>IF('MASTER DATA'!C11="","",'MASTER DATA'!C11)</f>
        <v>Claims Analyst A</v>
      </c>
      <c r="D8" t="str">
        <f>IF('MASTER DATA'!D11="","",'MASTER DATA'!D11)</f>
        <v>Synthetic Policyholder 172, LLC</v>
      </c>
      <c r="E8" s="15">
        <f>IF('MASTER DATA'!E11="","",'MASTER DATA'!E11)</f>
        <v>45075</v>
      </c>
      <c r="F8" s="16" t="str">
        <f>IF('MASTER DATA'!F11="","",'MASTER DATA'!F11)</f>
        <v>Y</v>
      </c>
      <c r="G8" s="17">
        <f>IF('MASTER DATA'!G11="","",'MASTER DATA'!G11)</f>
        <v>99500</v>
      </c>
      <c r="H8" s="16" t="str">
        <f>IF('MASTER DATA'!H11="","",'MASTER DATA'!H11)</f>
        <v>Synthetic Approver 08</v>
      </c>
      <c r="I8" s="15">
        <f>IF('MASTER DATA'!I11="","",'MASTER DATA'!I11)</f>
        <v>45452</v>
      </c>
      <c r="J8" s="16" t="str">
        <f>IF('MASTER DATA'!J11="","",'MASTER DATA'!J11)</f>
        <v>N</v>
      </c>
      <c r="K8" s="15" t="str">
        <f>IF('MASTER DATA'!K11="","",'MASTER DATA'!K11)</f>
        <v/>
      </c>
      <c r="L8" s="16" t="str">
        <f>IF('MASTER DATA'!L11="","",'MASTER DATA'!L11)</f>
        <v>N</v>
      </c>
      <c r="M8" s="16" t="str">
        <f>IF('MASTER DATA'!M11="","",'MASTER DATA'!M11)</f>
        <v>N</v>
      </c>
      <c r="N8" s="15" t="str">
        <f>IF('MASTER DATA'!N11="","",'MASTER DATA'!N11)</f>
        <v/>
      </c>
      <c r="O8" s="16" t="str">
        <f>IF('MASTER DATA'!O11="","",'MASTER DATA'!O11)</f>
        <v/>
      </c>
      <c r="P8" s="16" t="str">
        <f>IF('MASTER DATA'!P11="","",'MASTER DATA'!P11)</f>
        <v>N</v>
      </c>
      <c r="Q8" s="16" t="str">
        <f>IF('MASTER DATA'!Q11="","",'MASTER DATA'!Q11)</f>
        <v/>
      </c>
      <c r="R8" s="16" t="str">
        <f>IF('MASTER DATA'!R11="","",'MASTER DATA'!R11)</f>
        <v/>
      </c>
      <c r="S8" s="16" t="str">
        <f>IF('MASTER DATA'!S11="","",'MASTER DATA'!S11)</f>
        <v>N</v>
      </c>
      <c r="T8" s="15" t="str">
        <f>IF('MASTER DATA'!T11="","",'MASTER DATA'!T11)</f>
        <v/>
      </c>
      <c r="U8" s="16" t="str">
        <f>IF('MASTER DATA'!U11="","",'MASTER DATA'!U11)</f>
        <v>N</v>
      </c>
      <c r="V8" s="16" t="str">
        <f>IF('MASTER DATA'!V11="","",'MASTER DATA'!V11)</f>
        <v>N</v>
      </c>
      <c r="W8" s="16" t="str">
        <f>IF('MASTER DATA'!W11="","",'MASTER DATA'!W11)</f>
        <v>N</v>
      </c>
      <c r="X8" s="16" t="str">
        <f>IF('MASTER DATA'!X11="","",'MASTER DATA'!X11)</f>
        <v>N</v>
      </c>
      <c r="Y8" s="16" t="str">
        <f>IF('MASTER DATA'!Y11="","",'MASTER DATA'!Y11)</f>
        <v>N</v>
      </c>
      <c r="Z8" s="16" t="str">
        <f>IF('MASTER DATA'!Z11="","",'MASTER DATA'!Z11)</f>
        <v>N</v>
      </c>
      <c r="AA8" s="16">
        <f>IF('MASTER DATA'!AA11="","",'MASTER DATA'!AA11)</f>
        <v>1</v>
      </c>
      <c r="AB8" s="16" t="str">
        <f>IF('MASTER DATA'!AB11="","",'MASTER DATA'!AB11)</f>
        <v>SINGLE-SIGNAL</v>
      </c>
      <c r="AC8" s="16" t="str">
        <f>IF('MASTER DATA'!AC11="","",'MASTER DATA'!AC11)</f>
        <v>Settlement Authorization</v>
      </c>
    </row>
    <row r="9" spans="1:29" x14ac:dyDescent="0.45">
      <c r="A9" t="str">
        <f>IF('MASTER DATA'!A12="","",'MASTER DATA'!A12)</f>
        <v>SYN-CLM-0011</v>
      </c>
      <c r="B9" t="str">
        <f>IF('MASTER DATA'!B12="","",'MASTER DATA'!B12)</f>
        <v>Synthetic Claimant 0011</v>
      </c>
      <c r="C9" t="str">
        <f>IF('MASTER DATA'!C12="","",'MASTER DATA'!C12)</f>
        <v>Claims Analyst A</v>
      </c>
      <c r="D9" t="str">
        <f>IF('MASTER DATA'!D12="","",'MASTER DATA'!D12)</f>
        <v>Synthetic Policyholder 103, LLC</v>
      </c>
      <c r="E9" s="15">
        <f>IF('MASTER DATA'!E12="","",'MASTER DATA'!E12)</f>
        <v>46061</v>
      </c>
      <c r="F9" s="16" t="str">
        <f>IF('MASTER DATA'!F12="","",'MASTER DATA'!F12)</f>
        <v>Y</v>
      </c>
      <c r="G9" s="17">
        <f>IF('MASTER DATA'!G12="","",'MASTER DATA'!G12)</f>
        <v>151750</v>
      </c>
      <c r="H9" s="16" t="str">
        <f>IF('MASTER DATA'!H12="","",'MASTER DATA'!H12)</f>
        <v>Synthetic Approver 07</v>
      </c>
      <c r="I9" s="15">
        <f>IF('MASTER DATA'!I12="","",'MASTER DATA'!I12)</f>
        <v>47491</v>
      </c>
      <c r="J9" s="16" t="str">
        <f>IF('MASTER DATA'!J12="","",'MASTER DATA'!J12)</f>
        <v>N</v>
      </c>
      <c r="K9" s="15" t="str">
        <f>IF('MASTER DATA'!K12="","",'MASTER DATA'!K12)</f>
        <v/>
      </c>
      <c r="L9" s="16" t="str">
        <f>IF('MASTER DATA'!L12="","",'MASTER DATA'!L12)</f>
        <v>Y</v>
      </c>
      <c r="M9" s="16" t="str">
        <f>IF('MASTER DATA'!M12="","",'MASTER DATA'!M12)</f>
        <v>N</v>
      </c>
      <c r="N9" s="15" t="str">
        <f>IF('MASTER DATA'!N12="","",'MASTER DATA'!N12)</f>
        <v/>
      </c>
      <c r="O9" s="16" t="str">
        <f>IF('MASTER DATA'!O12="","",'MASTER DATA'!O12)</f>
        <v/>
      </c>
      <c r="P9" s="16" t="str">
        <f>IF('MASTER DATA'!P12="","",'MASTER DATA'!P12)</f>
        <v>N</v>
      </c>
      <c r="Q9" s="16" t="str">
        <f>IF('MASTER DATA'!Q12="","",'MASTER DATA'!Q12)</f>
        <v/>
      </c>
      <c r="R9" s="16" t="str">
        <f>IF('MASTER DATA'!R12="","",'MASTER DATA'!R12)</f>
        <v/>
      </c>
      <c r="S9" s="16" t="str">
        <f>IF('MASTER DATA'!S12="","",'MASTER DATA'!S12)</f>
        <v>N</v>
      </c>
      <c r="T9" s="15" t="str">
        <f>IF('MASTER DATA'!T12="","",'MASTER DATA'!T12)</f>
        <v/>
      </c>
      <c r="U9" s="16" t="str">
        <f>IF('MASTER DATA'!U12="","",'MASTER DATA'!U12)</f>
        <v>N</v>
      </c>
      <c r="V9" s="16" t="str">
        <f>IF('MASTER DATA'!V12="","",'MASTER DATA'!V12)</f>
        <v>N</v>
      </c>
      <c r="W9" s="16" t="str">
        <f>IF('MASTER DATA'!W12="","",'MASTER DATA'!W12)</f>
        <v>N</v>
      </c>
      <c r="X9" s="16" t="str">
        <f>IF('MASTER DATA'!X12="","",'MASTER DATA'!X12)</f>
        <v>N</v>
      </c>
      <c r="Y9" s="16" t="str">
        <f>IF('MASTER DATA'!Y12="","",'MASTER DATA'!Y12)</f>
        <v>N</v>
      </c>
      <c r="Z9" s="16" t="str">
        <f>IF('MASTER DATA'!Z12="","",'MASTER DATA'!Z12)</f>
        <v>N</v>
      </c>
      <c r="AA9" s="16">
        <f>IF('MASTER DATA'!AA12="","",'MASTER DATA'!AA12)</f>
        <v>1</v>
      </c>
      <c r="AB9" s="16" t="str">
        <f>IF('MASTER DATA'!AB12="","",'MASTER DATA'!AB12)</f>
        <v>SINGLE-SIGNAL</v>
      </c>
      <c r="AC9" s="16" t="str">
        <f>IF('MASTER DATA'!AC12="","",'MASTER DATA'!AC12)</f>
        <v>Settlement Authorization</v>
      </c>
    </row>
    <row r="10" spans="1:29" x14ac:dyDescent="0.45">
      <c r="A10" t="str">
        <f>IF('MASTER DATA'!A13="","",'MASTER DATA'!A13)</f>
        <v>SYN-CLM-0012</v>
      </c>
      <c r="B10" t="str">
        <f>IF('MASTER DATA'!B13="","",'MASTER DATA'!B13)</f>
        <v>Synthetic Claimant 0012</v>
      </c>
      <c r="C10" t="str">
        <f>IF('MASTER DATA'!C13="","",'MASTER DATA'!C13)</f>
        <v>Claims Analyst A</v>
      </c>
      <c r="D10" t="str">
        <f>IF('MASTER DATA'!D13="","",'MASTER DATA'!D13)</f>
        <v>Synthetic Policyholder 125, LLC</v>
      </c>
      <c r="E10" s="15">
        <f>IF('MASTER DATA'!E13="","",'MASTER DATA'!E13)</f>
        <v>43150</v>
      </c>
      <c r="F10" s="16" t="str">
        <f>IF('MASTER DATA'!F13="","",'MASTER DATA'!F13)</f>
        <v>N</v>
      </c>
      <c r="G10" s="17" t="str">
        <f>IF('MASTER DATA'!G13="","",'MASTER DATA'!G13)</f>
        <v/>
      </c>
      <c r="H10" s="16" t="str">
        <f>IF('MASTER DATA'!H13="","",'MASTER DATA'!H13)</f>
        <v/>
      </c>
      <c r="I10" s="15" t="str">
        <f>IF('MASTER DATA'!I13="","",'MASTER DATA'!I13)</f>
        <v/>
      </c>
      <c r="J10" s="16" t="str">
        <f>IF('MASTER DATA'!J13="","",'MASTER DATA'!J13)</f>
        <v>Y</v>
      </c>
      <c r="K10" s="15">
        <f>IF('MASTER DATA'!K13="","",'MASTER DATA'!K13)</f>
        <v>44474</v>
      </c>
      <c r="L10" s="16" t="str">
        <f>IF('MASTER DATA'!L13="","",'MASTER DATA'!L13)</f>
        <v>Y</v>
      </c>
      <c r="M10" s="16" t="str">
        <f>IF('MASTER DATA'!M13="","",'MASTER DATA'!M13)</f>
        <v>N</v>
      </c>
      <c r="N10" s="15" t="str">
        <f>IF('MASTER DATA'!N13="","",'MASTER DATA'!N13)</f>
        <v/>
      </c>
      <c r="O10" s="16" t="str">
        <f>IF('MASTER DATA'!O13="","",'MASTER DATA'!O13)</f>
        <v/>
      </c>
      <c r="P10" s="16" t="str">
        <f>IF('MASTER DATA'!P13="","",'MASTER DATA'!P13)</f>
        <v>N</v>
      </c>
      <c r="Q10" s="16" t="str">
        <f>IF('MASTER DATA'!Q13="","",'MASTER DATA'!Q13)</f>
        <v/>
      </c>
      <c r="R10" s="16" t="str">
        <f>IF('MASTER DATA'!R13="","",'MASTER DATA'!R13)</f>
        <v/>
      </c>
      <c r="S10" s="16" t="str">
        <f>IF('MASTER DATA'!S13="","",'MASTER DATA'!S13)</f>
        <v>N</v>
      </c>
      <c r="T10" s="15" t="str">
        <f>IF('MASTER DATA'!T13="","",'MASTER DATA'!T13)</f>
        <v/>
      </c>
      <c r="U10" s="16" t="str">
        <f>IF('MASTER DATA'!U13="","",'MASTER DATA'!U13)</f>
        <v>N</v>
      </c>
      <c r="V10" s="16" t="str">
        <f>IF('MASTER DATA'!V13="","",'MASTER DATA'!V13)</f>
        <v>N</v>
      </c>
      <c r="W10" s="16" t="str">
        <f>IF('MASTER DATA'!W13="","",'MASTER DATA'!W13)</f>
        <v>N</v>
      </c>
      <c r="X10" s="16" t="str">
        <f>IF('MASTER DATA'!X13="","",'MASTER DATA'!X13)</f>
        <v>N</v>
      </c>
      <c r="Y10" s="16" t="str">
        <f>IF('MASTER DATA'!Y13="","",'MASTER DATA'!Y13)</f>
        <v>N</v>
      </c>
      <c r="Z10" s="16" t="str">
        <f>IF('MASTER DATA'!Z13="","",'MASTER DATA'!Z13)</f>
        <v>N</v>
      </c>
      <c r="AA10" s="16">
        <f>IF('MASTER DATA'!AA13="","",'MASTER DATA'!AA13)</f>
        <v>1</v>
      </c>
      <c r="AB10" s="16" t="str">
        <f>IF('MASTER DATA'!AB13="","",'MASTER DATA'!AB13)</f>
        <v>SINGLE-SIGNAL</v>
      </c>
      <c r="AC10" s="16" t="str">
        <f>IF('MASTER DATA'!AC13="","",'MASTER DATA'!AC13)</f>
        <v>Open Stipulation</v>
      </c>
    </row>
    <row r="11" spans="1:29" x14ac:dyDescent="0.45">
      <c r="A11" t="str">
        <f>IF('MASTER DATA'!A14="","",'MASTER DATA'!A14)</f>
        <v>SYN-CLM-0013</v>
      </c>
      <c r="B11" t="str">
        <f>IF('MASTER DATA'!B14="","",'MASTER DATA'!B14)</f>
        <v>Synthetic Claimant 0013</v>
      </c>
      <c r="C11" t="str">
        <f>IF('MASTER DATA'!C14="","",'MASTER DATA'!C14)</f>
        <v>Claims Analyst A</v>
      </c>
      <c r="D11" t="str">
        <f>IF('MASTER DATA'!D14="","",'MASTER DATA'!D14)</f>
        <v>Synthetic Policyholder 002, LLC</v>
      </c>
      <c r="E11" s="15">
        <f>IF('MASTER DATA'!E14="","",'MASTER DATA'!E14)</f>
        <v>43189</v>
      </c>
      <c r="F11" s="16" t="str">
        <f>IF('MASTER DATA'!F14="","",'MASTER DATA'!F14)</f>
        <v>N</v>
      </c>
      <c r="G11" s="17" t="str">
        <f>IF('MASTER DATA'!G14="","",'MASTER DATA'!G14)</f>
        <v/>
      </c>
      <c r="H11" s="16" t="str">
        <f>IF('MASTER DATA'!H14="","",'MASTER DATA'!H14)</f>
        <v/>
      </c>
      <c r="I11" s="15" t="str">
        <f>IF('MASTER DATA'!I14="","",'MASTER DATA'!I14)</f>
        <v/>
      </c>
      <c r="J11" s="16" t="str">
        <f>IF('MASTER DATA'!J14="","",'MASTER DATA'!J14)</f>
        <v>N</v>
      </c>
      <c r="K11" s="15" t="str">
        <f>IF('MASTER DATA'!K14="","",'MASTER DATA'!K14)</f>
        <v/>
      </c>
      <c r="L11" s="16" t="str">
        <f>IF('MASTER DATA'!L14="","",'MASTER DATA'!L14)</f>
        <v/>
      </c>
      <c r="M11" s="16" t="str">
        <f>IF('MASTER DATA'!M14="","",'MASTER DATA'!M14)</f>
        <v>N</v>
      </c>
      <c r="N11" s="15" t="str">
        <f>IF('MASTER DATA'!N14="","",'MASTER DATA'!N14)</f>
        <v/>
      </c>
      <c r="O11" s="16" t="str">
        <f>IF('MASTER DATA'!O14="","",'MASTER DATA'!O14)</f>
        <v/>
      </c>
      <c r="P11" s="16" t="str">
        <f>IF('MASTER DATA'!P14="","",'MASTER DATA'!P14)</f>
        <v>N</v>
      </c>
      <c r="Q11" s="16" t="str">
        <f>IF('MASTER DATA'!Q14="","",'MASTER DATA'!Q14)</f>
        <v/>
      </c>
      <c r="R11" s="16" t="str">
        <f>IF('MASTER DATA'!R14="","",'MASTER DATA'!R14)</f>
        <v/>
      </c>
      <c r="S11" s="16" t="str">
        <f>IF('MASTER DATA'!S14="","",'MASTER DATA'!S14)</f>
        <v>Y</v>
      </c>
      <c r="T11" s="15">
        <f>IF('MASTER DATA'!T14="","",'MASTER DATA'!T14)</f>
        <v>45140</v>
      </c>
      <c r="U11" s="16" t="str">
        <f>IF('MASTER DATA'!U14="","",'MASTER DATA'!U14)</f>
        <v>N</v>
      </c>
      <c r="V11" s="16" t="str">
        <f>IF('MASTER DATA'!V14="","",'MASTER DATA'!V14)</f>
        <v>N</v>
      </c>
      <c r="W11" s="16" t="str">
        <f>IF('MASTER DATA'!W14="","",'MASTER DATA'!W14)</f>
        <v>N</v>
      </c>
      <c r="X11" s="16" t="str">
        <f>IF('MASTER DATA'!X14="","",'MASTER DATA'!X14)</f>
        <v>N</v>
      </c>
      <c r="Y11" s="16" t="str">
        <f>IF('MASTER DATA'!Y14="","",'MASTER DATA'!Y14)</f>
        <v>N</v>
      </c>
      <c r="Z11" s="16" t="str">
        <f>IF('MASTER DATA'!Z14="","",'MASTER DATA'!Z14)</f>
        <v>N</v>
      </c>
      <c r="AA11" s="16">
        <f>IF('MASTER DATA'!AA14="","",'MASTER DATA'!AA14)</f>
        <v>1</v>
      </c>
      <c r="AB11" s="16" t="str">
        <f>IF('MASTER DATA'!AB14="","",'MASTER DATA'!AB14)</f>
        <v>SINGLE-SIGNAL</v>
      </c>
      <c r="AC11" s="16" t="str">
        <f>IF('MASTER DATA'!AC14="","",'MASTER DATA'!AC14)</f>
        <v>Inactive Customer</v>
      </c>
    </row>
    <row r="12" spans="1:29" x14ac:dyDescent="0.45">
      <c r="A12" t="str">
        <f>IF('MASTER DATA'!A15="","",'MASTER DATA'!A15)</f>
        <v>SYN-CLM-0014</v>
      </c>
      <c r="B12" t="str">
        <f>IF('MASTER DATA'!B15="","",'MASTER DATA'!B15)</f>
        <v>Synthetic Claimant 0014</v>
      </c>
      <c r="C12" t="str">
        <f>IF('MASTER DATA'!C15="","",'MASTER DATA'!C15)</f>
        <v>Claims Analyst A</v>
      </c>
      <c r="D12" t="str">
        <f>IF('MASTER DATA'!D15="","",'MASTER DATA'!D15)</f>
        <v>Synthetic Policyholder 171, LLC</v>
      </c>
      <c r="E12" s="15">
        <f>IF('MASTER DATA'!E15="","",'MASTER DATA'!E15)</f>
        <v>43724</v>
      </c>
      <c r="F12" s="16" t="str">
        <f>IF('MASTER DATA'!F15="","",'MASTER DATA'!F15)</f>
        <v>N</v>
      </c>
      <c r="G12" s="17" t="str">
        <f>IF('MASTER DATA'!G15="","",'MASTER DATA'!G15)</f>
        <v/>
      </c>
      <c r="H12" s="16" t="str">
        <f>IF('MASTER DATA'!H15="","",'MASTER DATA'!H15)</f>
        <v/>
      </c>
      <c r="I12" s="15" t="str">
        <f>IF('MASTER DATA'!I15="","",'MASTER DATA'!I15)</f>
        <v/>
      </c>
      <c r="J12" s="16" t="str">
        <f>IF('MASTER DATA'!J15="","",'MASTER DATA'!J15)</f>
        <v>N</v>
      </c>
      <c r="K12" s="15" t="str">
        <f>IF('MASTER DATA'!K15="","",'MASTER DATA'!K15)</f>
        <v/>
      </c>
      <c r="L12" s="16" t="str">
        <f>IF('MASTER DATA'!L15="","",'MASTER DATA'!L15)</f>
        <v/>
      </c>
      <c r="M12" s="16" t="str">
        <f>IF('MASTER DATA'!M15="","",'MASTER DATA'!M15)</f>
        <v>N</v>
      </c>
      <c r="N12" s="15" t="str">
        <f>IF('MASTER DATA'!N15="","",'MASTER DATA'!N15)</f>
        <v/>
      </c>
      <c r="O12" s="16" t="str">
        <f>IF('MASTER DATA'!O15="","",'MASTER DATA'!O15)</f>
        <v/>
      </c>
      <c r="P12" s="16" t="str">
        <f>IF('MASTER DATA'!P15="","",'MASTER DATA'!P15)</f>
        <v>N</v>
      </c>
      <c r="Q12" s="16" t="str">
        <f>IF('MASTER DATA'!Q15="","",'MASTER DATA'!Q15)</f>
        <v/>
      </c>
      <c r="R12" s="16" t="str">
        <f>IF('MASTER DATA'!R15="","",'MASTER DATA'!R15)</f>
        <v/>
      </c>
      <c r="S12" s="16" t="str">
        <f>IF('MASTER DATA'!S15="","",'MASTER DATA'!S15)</f>
        <v>Y</v>
      </c>
      <c r="T12" s="15">
        <f>IF('MASTER DATA'!T15="","",'MASTER DATA'!T15)</f>
        <v>44294</v>
      </c>
      <c r="U12" s="16" t="str">
        <f>IF('MASTER DATA'!U15="","",'MASTER DATA'!U15)</f>
        <v>N</v>
      </c>
      <c r="V12" s="16" t="str">
        <f>IF('MASTER DATA'!V15="","",'MASTER DATA'!V15)</f>
        <v>N</v>
      </c>
      <c r="W12" s="16" t="str">
        <f>IF('MASTER DATA'!W15="","",'MASTER DATA'!W15)</f>
        <v>N</v>
      </c>
      <c r="X12" s="16" t="str">
        <f>IF('MASTER DATA'!X15="","",'MASTER DATA'!X15)</f>
        <v>N</v>
      </c>
      <c r="Y12" s="16" t="str">
        <f>IF('MASTER DATA'!Y15="","",'MASTER DATA'!Y15)</f>
        <v>N</v>
      </c>
      <c r="Z12" s="16" t="str">
        <f>IF('MASTER DATA'!Z15="","",'MASTER DATA'!Z15)</f>
        <v>N</v>
      </c>
      <c r="AA12" s="16">
        <f>IF('MASTER DATA'!AA15="","",'MASTER DATA'!AA15)</f>
        <v>1</v>
      </c>
      <c r="AB12" s="16" t="str">
        <f>IF('MASTER DATA'!AB15="","",'MASTER DATA'!AB15)</f>
        <v>SINGLE-SIGNAL</v>
      </c>
      <c r="AC12" s="16" t="str">
        <f>IF('MASTER DATA'!AC15="","",'MASTER DATA'!AC15)</f>
        <v>Inactive Customer</v>
      </c>
    </row>
    <row r="13" spans="1:29" x14ac:dyDescent="0.45">
      <c r="A13" t="str">
        <f>IF('MASTER DATA'!A16="","",'MASTER DATA'!A16)</f>
        <v>SYN-CLM-0015</v>
      </c>
      <c r="B13" t="str">
        <f>IF('MASTER DATA'!B16="","",'MASTER DATA'!B16)</f>
        <v>Synthetic Claimant 0015</v>
      </c>
      <c r="C13" t="str">
        <f>IF('MASTER DATA'!C16="","",'MASTER DATA'!C16)</f>
        <v>Claims Analyst A</v>
      </c>
      <c r="D13" t="str">
        <f>IF('MASTER DATA'!D16="","",'MASTER DATA'!D16)</f>
        <v>Synthetic Policyholder 056, LLC</v>
      </c>
      <c r="E13" s="15">
        <f>IF('MASTER DATA'!E16="","",'MASTER DATA'!E16)</f>
        <v>44130</v>
      </c>
      <c r="F13" s="16" t="str">
        <f>IF('MASTER DATA'!F16="","",'MASTER DATA'!F16)</f>
        <v>Y</v>
      </c>
      <c r="G13" s="17">
        <f>IF('MASTER DATA'!G16="","",'MASTER DATA'!G16)</f>
        <v>107500</v>
      </c>
      <c r="H13" s="16" t="str">
        <f>IF('MASTER DATA'!H16="","",'MASTER DATA'!H16)</f>
        <v>Synthetic Approver 12</v>
      </c>
      <c r="I13" s="15">
        <f>IF('MASTER DATA'!I16="","",'MASTER DATA'!I16)</f>
        <v>45894</v>
      </c>
      <c r="J13" s="16" t="str">
        <f>IF('MASTER DATA'!J16="","",'MASTER DATA'!J16)</f>
        <v>N</v>
      </c>
      <c r="K13" s="15" t="str">
        <f>IF('MASTER DATA'!K16="","",'MASTER DATA'!K16)</f>
        <v/>
      </c>
      <c r="L13" s="16" t="str">
        <f>IF('MASTER DATA'!L16="","",'MASTER DATA'!L16)</f>
        <v>N</v>
      </c>
      <c r="M13" s="16" t="str">
        <f>IF('MASTER DATA'!M16="","",'MASTER DATA'!M16)</f>
        <v>N</v>
      </c>
      <c r="N13" s="15" t="str">
        <f>IF('MASTER DATA'!N16="","",'MASTER DATA'!N16)</f>
        <v/>
      </c>
      <c r="O13" s="16" t="str">
        <f>IF('MASTER DATA'!O16="","",'MASTER DATA'!O16)</f>
        <v/>
      </c>
      <c r="P13" s="16" t="str">
        <f>IF('MASTER DATA'!P16="","",'MASTER DATA'!P16)</f>
        <v>N</v>
      </c>
      <c r="Q13" s="16" t="str">
        <f>IF('MASTER DATA'!Q16="","",'MASTER DATA'!Q16)</f>
        <v/>
      </c>
      <c r="R13" s="16" t="str">
        <f>IF('MASTER DATA'!R16="","",'MASTER DATA'!R16)</f>
        <v/>
      </c>
      <c r="S13" s="16" t="str">
        <f>IF('MASTER DATA'!S16="","",'MASTER DATA'!S16)</f>
        <v>N</v>
      </c>
      <c r="T13" s="15" t="str">
        <f>IF('MASTER DATA'!T16="","",'MASTER DATA'!T16)</f>
        <v/>
      </c>
      <c r="U13" s="16" t="str">
        <f>IF('MASTER DATA'!U16="","",'MASTER DATA'!U16)</f>
        <v>N</v>
      </c>
      <c r="V13" s="16" t="str">
        <f>IF('MASTER DATA'!V16="","",'MASTER DATA'!V16)</f>
        <v>N</v>
      </c>
      <c r="W13" s="16" t="str">
        <f>IF('MASTER DATA'!W16="","",'MASTER DATA'!W16)</f>
        <v>N</v>
      </c>
      <c r="X13" s="16" t="str">
        <f>IF('MASTER DATA'!X16="","",'MASTER DATA'!X16)</f>
        <v>N</v>
      </c>
      <c r="Y13" s="16" t="str">
        <f>IF('MASTER DATA'!Y16="","",'MASTER DATA'!Y16)</f>
        <v>N</v>
      </c>
      <c r="Z13" s="16" t="str">
        <f>IF('MASTER DATA'!Z16="","",'MASTER DATA'!Z16)</f>
        <v>N</v>
      </c>
      <c r="AA13" s="16">
        <f>IF('MASTER DATA'!AA16="","",'MASTER DATA'!AA16)</f>
        <v>1</v>
      </c>
      <c r="AB13" s="16" t="str">
        <f>IF('MASTER DATA'!AB16="","",'MASTER DATA'!AB16)</f>
        <v>SINGLE-SIGNAL</v>
      </c>
      <c r="AC13" s="16" t="str">
        <f>IF('MASTER DATA'!AC16="","",'MASTER DATA'!AC16)</f>
        <v>Settlement Authorization</v>
      </c>
    </row>
    <row r="14" spans="1:29" x14ac:dyDescent="0.45">
      <c r="A14" t="str">
        <f>IF('MASTER DATA'!A17="","",'MASTER DATA'!A17)</f>
        <v>SYN-CLM-0016</v>
      </c>
      <c r="B14" t="str">
        <f>IF('MASTER DATA'!B17="","",'MASTER DATA'!B17)</f>
        <v>Synthetic Claimant 0016</v>
      </c>
      <c r="C14" t="str">
        <f>IF('MASTER DATA'!C17="","",'MASTER DATA'!C17)</f>
        <v>Claims Analyst A</v>
      </c>
      <c r="D14" t="str">
        <f>IF('MASTER DATA'!D17="","",'MASTER DATA'!D17)</f>
        <v>Synthetic Policyholder 018, LLC</v>
      </c>
      <c r="E14" s="15">
        <f>IF('MASTER DATA'!E17="","",'MASTER DATA'!E17)</f>
        <v>44236</v>
      </c>
      <c r="F14" s="16" t="str">
        <f>IF('MASTER DATA'!F17="","",'MASTER DATA'!F17)</f>
        <v>Y</v>
      </c>
      <c r="G14" s="17">
        <f>IF('MASTER DATA'!G17="","",'MASTER DATA'!G17)</f>
        <v>108750</v>
      </c>
      <c r="H14" s="16" t="str">
        <f>IF('MASTER DATA'!H17="","",'MASTER DATA'!H17)</f>
        <v>Synthetic Approver 04</v>
      </c>
      <c r="I14" s="15">
        <f>IF('MASTER DATA'!I17="","",'MASTER DATA'!I17)</f>
        <v>45432</v>
      </c>
      <c r="J14" s="16" t="str">
        <f>IF('MASTER DATA'!J17="","",'MASTER DATA'!J17)</f>
        <v>N</v>
      </c>
      <c r="K14" s="15" t="str">
        <f>IF('MASTER DATA'!K17="","",'MASTER DATA'!K17)</f>
        <v/>
      </c>
      <c r="L14" s="16" t="str">
        <f>IF('MASTER DATA'!L17="","",'MASTER DATA'!L17)</f>
        <v>N</v>
      </c>
      <c r="M14" s="16" t="str">
        <f>IF('MASTER DATA'!M17="","",'MASTER DATA'!M17)</f>
        <v>N</v>
      </c>
      <c r="N14" s="15" t="str">
        <f>IF('MASTER DATA'!N17="","",'MASTER DATA'!N17)</f>
        <v/>
      </c>
      <c r="O14" s="16" t="str">
        <f>IF('MASTER DATA'!O17="","",'MASTER DATA'!O17)</f>
        <v/>
      </c>
      <c r="P14" s="16" t="str">
        <f>IF('MASTER DATA'!P17="","",'MASTER DATA'!P17)</f>
        <v>N</v>
      </c>
      <c r="Q14" s="16" t="str">
        <f>IF('MASTER DATA'!Q17="","",'MASTER DATA'!Q17)</f>
        <v/>
      </c>
      <c r="R14" s="16" t="str">
        <f>IF('MASTER DATA'!R17="","",'MASTER DATA'!R17)</f>
        <v/>
      </c>
      <c r="S14" s="16" t="str">
        <f>IF('MASTER DATA'!S17="","",'MASTER DATA'!S17)</f>
        <v>Y</v>
      </c>
      <c r="T14" s="15">
        <f>IF('MASTER DATA'!T17="","",'MASTER DATA'!T17)</f>
        <v>45642</v>
      </c>
      <c r="U14" s="16" t="str">
        <f>IF('MASTER DATA'!U17="","",'MASTER DATA'!U17)</f>
        <v>N</v>
      </c>
      <c r="V14" s="16" t="str">
        <f>IF('MASTER DATA'!V17="","",'MASTER DATA'!V17)</f>
        <v>N</v>
      </c>
      <c r="W14" s="16" t="str">
        <f>IF('MASTER DATA'!W17="","",'MASTER DATA'!W17)</f>
        <v>N</v>
      </c>
      <c r="X14" s="16" t="str">
        <f>IF('MASTER DATA'!X17="","",'MASTER DATA'!X17)</f>
        <v>N</v>
      </c>
      <c r="Y14" s="16" t="str">
        <f>IF('MASTER DATA'!Y17="","",'MASTER DATA'!Y17)</f>
        <v>N</v>
      </c>
      <c r="Z14" s="16" t="str">
        <f>IF('MASTER DATA'!Z17="","",'MASTER DATA'!Z17)</f>
        <v>N</v>
      </c>
      <c r="AA14" s="16">
        <f>IF('MASTER DATA'!AA17="","",'MASTER DATA'!AA17)</f>
        <v>2</v>
      </c>
      <c r="AB14" s="16" t="str">
        <f>IF('MASTER DATA'!AB17="","",'MASTER DATA'!AB17)</f>
        <v>MULTI-SIGNAL</v>
      </c>
      <c r="AC14" s="16" t="str">
        <f>IF('MASTER DATA'!AC17="","",'MASTER DATA'!AC17)</f>
        <v>Settlement Authorization | Inactive Customer</v>
      </c>
    </row>
    <row r="15" spans="1:29" x14ac:dyDescent="0.45">
      <c r="A15" t="str">
        <f>IF('MASTER DATA'!A18="","",'MASTER DATA'!A18)</f>
        <v>SYN-CLM-0017</v>
      </c>
      <c r="B15" t="str">
        <f>IF('MASTER DATA'!B18="","",'MASTER DATA'!B18)</f>
        <v>Synthetic Claimant 0017</v>
      </c>
      <c r="C15" t="str">
        <f>IF('MASTER DATA'!C18="","",'MASTER DATA'!C18)</f>
        <v>Claims Analyst A</v>
      </c>
      <c r="D15" t="str">
        <f>IF('MASTER DATA'!D18="","",'MASTER DATA'!D18)</f>
        <v>Synthetic Policyholder 028, LLC</v>
      </c>
      <c r="E15" s="15">
        <f>IF('MASTER DATA'!E18="","",'MASTER DATA'!E18)</f>
        <v>43129</v>
      </c>
      <c r="F15" s="16" t="str">
        <f>IF('MASTER DATA'!F18="","",'MASTER DATA'!F18)</f>
        <v>Y</v>
      </c>
      <c r="G15" s="17">
        <f>IF('MASTER DATA'!G18="","",'MASTER DATA'!G18)</f>
        <v>27250</v>
      </c>
      <c r="H15" s="16" t="str">
        <f>IF('MASTER DATA'!H18="","",'MASTER DATA'!H18)</f>
        <v>Synthetic Approver 05</v>
      </c>
      <c r="I15" s="15">
        <f>IF('MASTER DATA'!I18="","",'MASTER DATA'!I18)</f>
        <v>43305</v>
      </c>
      <c r="J15" s="16" t="str">
        <f>IF('MASTER DATA'!J18="","",'MASTER DATA'!J18)</f>
        <v>N</v>
      </c>
      <c r="K15" s="15" t="str">
        <f>IF('MASTER DATA'!K18="","",'MASTER DATA'!K18)</f>
        <v/>
      </c>
      <c r="L15" s="16" t="str">
        <f>IF('MASTER DATA'!L18="","",'MASTER DATA'!L18)</f>
        <v>N</v>
      </c>
      <c r="M15" s="16" t="str">
        <f>IF('MASTER DATA'!M18="","",'MASTER DATA'!M18)</f>
        <v>N</v>
      </c>
      <c r="N15" s="15" t="str">
        <f>IF('MASTER DATA'!N18="","",'MASTER DATA'!N18)</f>
        <v/>
      </c>
      <c r="O15" s="16" t="str">
        <f>IF('MASTER DATA'!O18="","",'MASTER DATA'!O18)</f>
        <v/>
      </c>
      <c r="P15" s="16" t="str">
        <f>IF('MASTER DATA'!P18="","",'MASTER DATA'!P18)</f>
        <v>N</v>
      </c>
      <c r="Q15" s="16" t="str">
        <f>IF('MASTER DATA'!Q18="","",'MASTER DATA'!Q18)</f>
        <v/>
      </c>
      <c r="R15" s="16" t="str">
        <f>IF('MASTER DATA'!R18="","",'MASTER DATA'!R18)</f>
        <v/>
      </c>
      <c r="S15" s="16" t="str">
        <f>IF('MASTER DATA'!S18="","",'MASTER DATA'!S18)</f>
        <v>N</v>
      </c>
      <c r="T15" s="15" t="str">
        <f>IF('MASTER DATA'!T18="","",'MASTER DATA'!T18)</f>
        <v/>
      </c>
      <c r="U15" s="16" t="str">
        <f>IF('MASTER DATA'!U18="","",'MASTER DATA'!U18)</f>
        <v>N</v>
      </c>
      <c r="V15" s="16" t="str">
        <f>IF('MASTER DATA'!V18="","",'MASTER DATA'!V18)</f>
        <v>N</v>
      </c>
      <c r="W15" s="16" t="str">
        <f>IF('MASTER DATA'!W18="","",'MASTER DATA'!W18)</f>
        <v>N</v>
      </c>
      <c r="X15" s="16" t="str">
        <f>IF('MASTER DATA'!X18="","",'MASTER DATA'!X18)</f>
        <v>N</v>
      </c>
      <c r="Y15" s="16" t="str">
        <f>IF('MASTER DATA'!Y18="","",'MASTER DATA'!Y18)</f>
        <v>N</v>
      </c>
      <c r="Z15" s="16" t="str">
        <f>IF('MASTER DATA'!Z18="","",'MASTER DATA'!Z18)</f>
        <v>N</v>
      </c>
      <c r="AA15" s="16">
        <f>IF('MASTER DATA'!AA18="","",'MASTER DATA'!AA18)</f>
        <v>1</v>
      </c>
      <c r="AB15" s="16" t="str">
        <f>IF('MASTER DATA'!AB18="","",'MASTER DATA'!AB18)</f>
        <v>SINGLE-SIGNAL</v>
      </c>
      <c r="AC15" s="16" t="str">
        <f>IF('MASTER DATA'!AC18="","",'MASTER DATA'!AC18)</f>
        <v>Settlement Authorization</v>
      </c>
    </row>
    <row r="16" spans="1:29" x14ac:dyDescent="0.45">
      <c r="A16" t="str">
        <f>IF('MASTER DATA'!A109="","",'MASTER DATA'!A109)</f>
        <v>SYN-CLM-0108</v>
      </c>
      <c r="B16" t="str">
        <f>IF('MASTER DATA'!B109="","",'MASTER DATA'!B109)</f>
        <v>Synthetic Claimant 0108</v>
      </c>
      <c r="C16" t="str">
        <f>IF('MASTER DATA'!C109="","",'MASTER DATA'!C109)</f>
        <v>Claims Analyst A</v>
      </c>
      <c r="D16" t="str">
        <f>IF('MASTER DATA'!D109="","",'MASTER DATA'!D109)</f>
        <v>Synthetic Policyholder 127, LLC</v>
      </c>
      <c r="E16" s="15">
        <f>IF('MASTER DATA'!E109="","",'MASTER DATA'!E109)</f>
        <v>44219</v>
      </c>
      <c r="F16" s="16" t="str">
        <f>IF('MASTER DATA'!F109="","",'MASTER DATA'!F109)</f>
        <v>Y</v>
      </c>
      <c r="G16" s="17">
        <f>IF('MASTER DATA'!G109="","",'MASTER DATA'!G109)</f>
        <v>22750</v>
      </c>
      <c r="H16" s="16" t="str">
        <f>IF('MASTER DATA'!H109="","",'MASTER DATA'!H109)</f>
        <v>Synthetic Approver 06</v>
      </c>
      <c r="I16" s="15">
        <f>IF('MASTER DATA'!I109="","",'MASTER DATA'!I109)</f>
        <v>45036</v>
      </c>
      <c r="J16" s="16" t="str">
        <f>IF('MASTER DATA'!J109="","",'MASTER DATA'!J109)</f>
        <v>N</v>
      </c>
      <c r="K16" s="15" t="str">
        <f>IF('MASTER DATA'!K109="","",'MASTER DATA'!K109)</f>
        <v/>
      </c>
      <c r="L16" s="16" t="str">
        <f>IF('MASTER DATA'!L109="","",'MASTER DATA'!L109)</f>
        <v>N</v>
      </c>
      <c r="M16" s="16" t="str">
        <f>IF('MASTER DATA'!M109="","",'MASTER DATA'!M109)</f>
        <v>N</v>
      </c>
      <c r="N16" s="15" t="str">
        <f>IF('MASTER DATA'!N109="","",'MASTER DATA'!N109)</f>
        <v/>
      </c>
      <c r="O16" s="16" t="str">
        <f>IF('MASTER DATA'!O109="","",'MASTER DATA'!O109)</f>
        <v/>
      </c>
      <c r="P16" s="16" t="str">
        <f>IF('MASTER DATA'!P109="","",'MASTER DATA'!P109)</f>
        <v>N</v>
      </c>
      <c r="Q16" s="16" t="str">
        <f>IF('MASTER DATA'!Q109="","",'MASTER DATA'!Q109)</f>
        <v/>
      </c>
      <c r="R16" s="16" t="str">
        <f>IF('MASTER DATA'!R109="","",'MASTER DATA'!R109)</f>
        <v/>
      </c>
      <c r="S16" s="16" t="str">
        <f>IF('MASTER DATA'!S109="","",'MASTER DATA'!S109)</f>
        <v>N</v>
      </c>
      <c r="T16" s="15" t="str">
        <f>IF('MASTER DATA'!T109="","",'MASTER DATA'!T109)</f>
        <v/>
      </c>
      <c r="U16" s="16" t="str">
        <f>IF('MASTER DATA'!U109="","",'MASTER DATA'!U109)</f>
        <v>N</v>
      </c>
      <c r="V16" s="16" t="str">
        <f>IF('MASTER DATA'!V109="","",'MASTER DATA'!V109)</f>
        <v>N</v>
      </c>
      <c r="W16" s="16" t="str">
        <f>IF('MASTER DATA'!W109="","",'MASTER DATA'!W109)</f>
        <v>N</v>
      </c>
      <c r="X16" s="16" t="str">
        <f>IF('MASTER DATA'!X109="","",'MASTER DATA'!X109)</f>
        <v>N</v>
      </c>
      <c r="Y16" s="16" t="str">
        <f>IF('MASTER DATA'!Y109="","",'MASTER DATA'!Y109)</f>
        <v>N</v>
      </c>
      <c r="Z16" s="16" t="str">
        <f>IF('MASTER DATA'!Z109="","",'MASTER DATA'!Z109)</f>
        <v>N</v>
      </c>
      <c r="AA16" s="16">
        <f>IF('MASTER DATA'!AA109="","",'MASTER DATA'!AA109)</f>
        <v>1</v>
      </c>
      <c r="AB16" s="16" t="str">
        <f>IF('MASTER DATA'!AB109="","",'MASTER DATA'!AB109)</f>
        <v>SINGLE-SIGNAL</v>
      </c>
      <c r="AC16" s="16" t="str">
        <f>IF('MASTER DATA'!AC109="","",'MASTER DATA'!AC109)</f>
        <v>Settlement Authorization</v>
      </c>
    </row>
    <row r="17" spans="1:29" x14ac:dyDescent="0.45">
      <c r="A17" t="str">
        <f>IF('MASTER DATA'!A110="","",'MASTER DATA'!A110)</f>
        <v>SYN-CLM-0109</v>
      </c>
      <c r="B17" t="str">
        <f>IF('MASTER DATA'!B110="","",'MASTER DATA'!B110)</f>
        <v>Synthetic Claimant 0109</v>
      </c>
      <c r="C17" t="str">
        <f>IF('MASTER DATA'!C110="","",'MASTER DATA'!C110)</f>
        <v>Claims Analyst A</v>
      </c>
      <c r="D17" t="str">
        <f>IF('MASTER DATA'!D110="","",'MASTER DATA'!D110)</f>
        <v>Synthetic Policyholder 103, LLC</v>
      </c>
      <c r="E17" s="15">
        <f>IF('MASTER DATA'!E110="","",'MASTER DATA'!E110)</f>
        <v>45779</v>
      </c>
      <c r="F17" s="16" t="str">
        <f>IF('MASTER DATA'!F110="","",'MASTER DATA'!F110)</f>
        <v>Y</v>
      </c>
      <c r="G17" s="17">
        <f>IF('MASTER DATA'!G110="","",'MASTER DATA'!G110)</f>
        <v>81500</v>
      </c>
      <c r="H17" s="16" t="str">
        <f>IF('MASTER DATA'!H110="","",'MASTER DATA'!H110)</f>
        <v>Synthetic Approver 02</v>
      </c>
      <c r="I17" s="15">
        <f>IF('MASTER DATA'!I110="","",'MASTER DATA'!I110)</f>
        <v>47199</v>
      </c>
      <c r="J17" s="16" t="str">
        <f>IF('MASTER DATA'!J110="","",'MASTER DATA'!J110)</f>
        <v>N</v>
      </c>
      <c r="K17" s="15" t="str">
        <f>IF('MASTER DATA'!K110="","",'MASTER DATA'!K110)</f>
        <v/>
      </c>
      <c r="L17" s="16" t="str">
        <f>IF('MASTER DATA'!L110="","",'MASTER DATA'!L110)</f>
        <v>N</v>
      </c>
      <c r="M17" s="16" t="str">
        <f>IF('MASTER DATA'!M110="","",'MASTER DATA'!M110)</f>
        <v>N</v>
      </c>
      <c r="N17" s="15" t="str">
        <f>IF('MASTER DATA'!N110="","",'MASTER DATA'!N110)</f>
        <v/>
      </c>
      <c r="O17" s="16" t="str">
        <f>IF('MASTER DATA'!O110="","",'MASTER DATA'!O110)</f>
        <v/>
      </c>
      <c r="P17" s="16" t="str">
        <f>IF('MASTER DATA'!P110="","",'MASTER DATA'!P110)</f>
        <v>N</v>
      </c>
      <c r="Q17" s="16" t="str">
        <f>IF('MASTER DATA'!Q110="","",'MASTER DATA'!Q110)</f>
        <v/>
      </c>
      <c r="R17" s="16" t="str">
        <f>IF('MASTER DATA'!R110="","",'MASTER DATA'!R110)</f>
        <v/>
      </c>
      <c r="S17" s="16" t="str">
        <f>IF('MASTER DATA'!S110="","",'MASTER DATA'!S110)</f>
        <v>N</v>
      </c>
      <c r="T17" s="15" t="str">
        <f>IF('MASTER DATA'!T110="","",'MASTER DATA'!T110)</f>
        <v/>
      </c>
      <c r="U17" s="16" t="str">
        <f>IF('MASTER DATA'!U110="","",'MASTER DATA'!U110)</f>
        <v>N</v>
      </c>
      <c r="V17" s="16" t="str">
        <f>IF('MASTER DATA'!V110="","",'MASTER DATA'!V110)</f>
        <v>N</v>
      </c>
      <c r="W17" s="16" t="str">
        <f>IF('MASTER DATA'!W110="","",'MASTER DATA'!W110)</f>
        <v>N</v>
      </c>
      <c r="X17" s="16" t="str">
        <f>IF('MASTER DATA'!X110="","",'MASTER DATA'!X110)</f>
        <v>N</v>
      </c>
      <c r="Y17" s="16" t="str">
        <f>IF('MASTER DATA'!Y110="","",'MASTER DATA'!Y110)</f>
        <v>N</v>
      </c>
      <c r="Z17" s="16" t="str">
        <f>IF('MASTER DATA'!Z110="","",'MASTER DATA'!Z110)</f>
        <v>N</v>
      </c>
      <c r="AA17" s="16">
        <f>IF('MASTER DATA'!AA110="","",'MASTER DATA'!AA110)</f>
        <v>1</v>
      </c>
      <c r="AB17" s="16" t="str">
        <f>IF('MASTER DATA'!AB110="","",'MASTER DATA'!AB110)</f>
        <v>SINGLE-SIGNAL</v>
      </c>
      <c r="AC17" s="16" t="str">
        <f>IF('MASTER DATA'!AC110="","",'MASTER DATA'!AC110)</f>
        <v>Settlement Authorization</v>
      </c>
    </row>
    <row r="18" spans="1:29" x14ac:dyDescent="0.45">
      <c r="A18" t="str">
        <f>IF('MASTER DATA'!A111="","",'MASTER DATA'!A111)</f>
        <v>SYN-CLM-0110</v>
      </c>
      <c r="B18" t="str">
        <f>IF('MASTER DATA'!B111="","",'MASTER DATA'!B111)</f>
        <v>Synthetic Claimant 0110</v>
      </c>
      <c r="C18" t="str">
        <f>IF('MASTER DATA'!C111="","",'MASTER DATA'!C111)</f>
        <v>Claims Analyst A</v>
      </c>
      <c r="D18" t="str">
        <f>IF('MASTER DATA'!D111="","",'MASTER DATA'!D111)</f>
        <v>Synthetic Policyholder 051, LLC</v>
      </c>
      <c r="E18" s="15">
        <f>IF('MASTER DATA'!E111="","",'MASTER DATA'!E111)</f>
        <v>43161</v>
      </c>
      <c r="F18" s="16" t="str">
        <f>IF('MASTER DATA'!F111="","",'MASTER DATA'!F111)</f>
        <v>N</v>
      </c>
      <c r="G18" s="17" t="str">
        <f>IF('MASTER DATA'!G111="","",'MASTER DATA'!G111)</f>
        <v/>
      </c>
      <c r="H18" s="16" t="str">
        <f>IF('MASTER DATA'!H111="","",'MASTER DATA'!H111)</f>
        <v/>
      </c>
      <c r="I18" s="15" t="str">
        <f>IF('MASTER DATA'!I111="","",'MASTER DATA'!I111)</f>
        <v/>
      </c>
      <c r="J18" s="16" t="str">
        <f>IF('MASTER DATA'!J111="","",'MASTER DATA'!J111)</f>
        <v>Y</v>
      </c>
      <c r="K18" s="15">
        <f>IF('MASTER DATA'!K111="","",'MASTER DATA'!K111)</f>
        <v>43976</v>
      </c>
      <c r="L18" s="16" t="str">
        <f>IF('MASTER DATA'!L111="","",'MASTER DATA'!L111)</f>
        <v>N</v>
      </c>
      <c r="M18" s="16" t="str">
        <f>IF('MASTER DATA'!M111="","",'MASTER DATA'!M111)</f>
        <v>Y</v>
      </c>
      <c r="N18" s="15">
        <f>IF('MASTER DATA'!N111="","",'MASTER DATA'!N111)</f>
        <v>43918</v>
      </c>
      <c r="O18" s="16" t="str">
        <f>IF('MASTER DATA'!O111="","",'MASTER DATA'!O111)</f>
        <v>Synthetic QME Evaluator 19</v>
      </c>
      <c r="P18" s="16" t="str">
        <f>IF('MASTER DATA'!P111="","",'MASTER DATA'!P111)</f>
        <v>N</v>
      </c>
      <c r="Q18" s="16" t="str">
        <f>IF('MASTER DATA'!Q111="","",'MASTER DATA'!Q111)</f>
        <v/>
      </c>
      <c r="R18" s="16" t="str">
        <f>IF('MASTER DATA'!R111="","",'MASTER DATA'!R111)</f>
        <v/>
      </c>
      <c r="S18" s="16" t="str">
        <f>IF('MASTER DATA'!S111="","",'MASTER DATA'!S111)</f>
        <v>Y</v>
      </c>
      <c r="T18" s="15">
        <f>IF('MASTER DATA'!T111="","",'MASTER DATA'!T111)</f>
        <v>43572</v>
      </c>
      <c r="U18" s="16" t="str">
        <f>IF('MASTER DATA'!U111="","",'MASTER DATA'!U111)</f>
        <v>N</v>
      </c>
      <c r="V18" s="16" t="str">
        <f>IF('MASTER DATA'!V111="","",'MASTER DATA'!V111)</f>
        <v>N</v>
      </c>
      <c r="W18" s="16" t="str">
        <f>IF('MASTER DATA'!W111="","",'MASTER DATA'!W111)</f>
        <v>N</v>
      </c>
      <c r="X18" s="16" t="str">
        <f>IF('MASTER DATA'!X111="","",'MASTER DATA'!X111)</f>
        <v>N</v>
      </c>
      <c r="Y18" s="16" t="str">
        <f>IF('MASTER DATA'!Y111="","",'MASTER DATA'!Y111)</f>
        <v>N</v>
      </c>
      <c r="Z18" s="16" t="str">
        <f>IF('MASTER DATA'!Z111="","",'MASTER DATA'!Z111)</f>
        <v>N</v>
      </c>
      <c r="AA18" s="16">
        <f>IF('MASTER DATA'!AA111="","",'MASTER DATA'!AA111)</f>
        <v>3</v>
      </c>
      <c r="AB18" s="16" t="str">
        <f>IF('MASTER DATA'!AB111="","",'MASTER DATA'!AB111)</f>
        <v>ELEVATED MULTI-SIGNAL</v>
      </c>
      <c r="AC18" s="16" t="str">
        <f>IF('MASTER DATA'!AC111="","",'MASTER DATA'!AC111)</f>
        <v>Open Stipulation | Pending QME | Inactive Customer</v>
      </c>
    </row>
    <row r="19" spans="1:29" x14ac:dyDescent="0.45">
      <c r="A19" t="str">
        <f>IF('MASTER DATA'!A112="","",'MASTER DATA'!A112)</f>
        <v>SYN-CLM-0111</v>
      </c>
      <c r="B19" t="str">
        <f>IF('MASTER DATA'!B112="","",'MASTER DATA'!B112)</f>
        <v>Synthetic Claimant 0111</v>
      </c>
      <c r="C19" t="str">
        <f>IF('MASTER DATA'!C112="","",'MASTER DATA'!C112)</f>
        <v>Claims Analyst A</v>
      </c>
      <c r="D19" t="str">
        <f>IF('MASTER DATA'!D112="","",'MASTER DATA'!D112)</f>
        <v>Synthetic Policyholder 044, LLC</v>
      </c>
      <c r="E19" s="15">
        <f>IF('MASTER DATA'!E112="","",'MASTER DATA'!E112)</f>
        <v>45176</v>
      </c>
      <c r="F19" s="16" t="str">
        <f>IF('MASTER DATA'!F112="","",'MASTER DATA'!F112)</f>
        <v>N</v>
      </c>
      <c r="G19" s="17" t="str">
        <f>IF('MASTER DATA'!G112="","",'MASTER DATA'!G112)</f>
        <v/>
      </c>
      <c r="H19" s="16" t="str">
        <f>IF('MASTER DATA'!H112="","",'MASTER DATA'!H112)</f>
        <v/>
      </c>
      <c r="I19" s="15" t="str">
        <f>IF('MASTER DATA'!I112="","",'MASTER DATA'!I112)</f>
        <v/>
      </c>
      <c r="J19" s="16" t="str">
        <f>IF('MASTER DATA'!J112="","",'MASTER DATA'!J112)</f>
        <v>N</v>
      </c>
      <c r="K19" s="15" t="str">
        <f>IF('MASTER DATA'!K112="","",'MASTER DATA'!K112)</f>
        <v/>
      </c>
      <c r="L19" s="16" t="str">
        <f>IF('MASTER DATA'!L112="","",'MASTER DATA'!L112)</f>
        <v/>
      </c>
      <c r="M19" s="16" t="str">
        <f>IF('MASTER DATA'!M112="","",'MASTER DATA'!M112)</f>
        <v>Y</v>
      </c>
      <c r="N19" s="15">
        <f>IF('MASTER DATA'!N112="","",'MASTER DATA'!N112)</f>
        <v>45829</v>
      </c>
      <c r="O19" s="16" t="str">
        <f>IF('MASTER DATA'!O112="","",'MASTER DATA'!O112)</f>
        <v>Synthetic QME Evaluator 08</v>
      </c>
      <c r="P19" s="16" t="str">
        <f>IF('MASTER DATA'!P112="","",'MASTER DATA'!P112)</f>
        <v>Y</v>
      </c>
      <c r="Q19" s="16" t="str">
        <f>IF('MASTER DATA'!Q112="","",'MASTER DATA'!Q112)</f>
        <v>Surgery Requested; Specialist Consultation Requested</v>
      </c>
      <c r="R19" s="16" t="str">
        <f>IF('MASTER DATA'!R112="","",'MASTER DATA'!R112)</f>
        <v>Non-Renewed Account; Denied Treatment Requests</v>
      </c>
      <c r="S19" s="16" t="str">
        <f>IF('MASTER DATA'!S112="","",'MASTER DATA'!S112)</f>
        <v>N</v>
      </c>
      <c r="T19" s="15" t="str">
        <f>IF('MASTER DATA'!T112="","",'MASTER DATA'!T112)</f>
        <v/>
      </c>
      <c r="U19" s="16" t="str">
        <f>IF('MASTER DATA'!U112="","",'MASTER DATA'!U112)</f>
        <v>Y</v>
      </c>
      <c r="V19" s="16" t="str">
        <f>IF('MASTER DATA'!V112="","",'MASTER DATA'!V112)</f>
        <v>N</v>
      </c>
      <c r="W19" s="16" t="str">
        <f>IF('MASTER DATA'!W112="","",'MASTER DATA'!W112)</f>
        <v>Y</v>
      </c>
      <c r="X19" s="16" t="str">
        <f>IF('MASTER DATA'!X112="","",'MASTER DATA'!X112)</f>
        <v>Y</v>
      </c>
      <c r="Y19" s="16" t="str">
        <f>IF('MASTER DATA'!Y112="","",'MASTER DATA'!Y112)</f>
        <v>Y</v>
      </c>
      <c r="Z19" s="16" t="str">
        <f>IF('MASTER DATA'!Z112="","",'MASTER DATA'!Z112)</f>
        <v>N</v>
      </c>
      <c r="AA19" s="16">
        <f>IF('MASTER DATA'!AA112="","",'MASTER DATA'!AA112)</f>
        <v>2</v>
      </c>
      <c r="AB19" s="16" t="str">
        <f>IF('MASTER DATA'!AB112="","",'MASTER DATA'!AB112)</f>
        <v>MULTI-SIGNAL</v>
      </c>
      <c r="AC19" s="16" t="str">
        <f>IF('MASTER DATA'!AC112="","",'MASTER DATA'!AC112)</f>
        <v>Pending QME | Automated Claim Alert</v>
      </c>
    </row>
    <row r="20" spans="1:29" x14ac:dyDescent="0.45">
      <c r="A20" t="str">
        <f>IF('MASTER DATA'!A113="","",'MASTER DATA'!A113)</f>
        <v>SYN-CLM-0112</v>
      </c>
      <c r="B20" t="str">
        <f>IF('MASTER DATA'!B113="","",'MASTER DATA'!B113)</f>
        <v>Synthetic Claimant 0112</v>
      </c>
      <c r="C20" t="str">
        <f>IF('MASTER DATA'!C113="","",'MASTER DATA'!C113)</f>
        <v>Claims Analyst A</v>
      </c>
      <c r="D20" t="str">
        <f>IF('MASTER DATA'!D113="","",'MASTER DATA'!D113)</f>
        <v>Synthetic Policyholder 067, LLC</v>
      </c>
      <c r="E20" s="15">
        <f>IF('MASTER DATA'!E113="","",'MASTER DATA'!E113)</f>
        <v>44716</v>
      </c>
      <c r="F20" s="16" t="str">
        <f>IF('MASTER DATA'!F113="","",'MASTER DATA'!F113)</f>
        <v>Y</v>
      </c>
      <c r="G20" s="17">
        <f>IF('MASTER DATA'!G113="","",'MASTER DATA'!G113)</f>
        <v>69750</v>
      </c>
      <c r="H20" s="16" t="str">
        <f>IF('MASTER DATA'!H113="","",'MASTER DATA'!H113)</f>
        <v>Synthetic Approver 04</v>
      </c>
      <c r="I20" s="15">
        <f>IF('MASTER DATA'!I113="","",'MASTER DATA'!I113)</f>
        <v>45369</v>
      </c>
      <c r="J20" s="16" t="str">
        <f>IF('MASTER DATA'!J113="","",'MASTER DATA'!J113)</f>
        <v>N</v>
      </c>
      <c r="K20" s="15" t="str">
        <f>IF('MASTER DATA'!K113="","",'MASTER DATA'!K113)</f>
        <v/>
      </c>
      <c r="L20" s="16" t="str">
        <f>IF('MASTER DATA'!L113="","",'MASTER DATA'!L113)</f>
        <v>Y</v>
      </c>
      <c r="M20" s="16" t="str">
        <f>IF('MASTER DATA'!M113="","",'MASTER DATA'!M113)</f>
        <v>N</v>
      </c>
      <c r="N20" s="15" t="str">
        <f>IF('MASTER DATA'!N113="","",'MASTER DATA'!N113)</f>
        <v/>
      </c>
      <c r="O20" s="16" t="str">
        <f>IF('MASTER DATA'!O113="","",'MASTER DATA'!O113)</f>
        <v/>
      </c>
      <c r="P20" s="16" t="str">
        <f>IF('MASTER DATA'!P113="","",'MASTER DATA'!P113)</f>
        <v>N</v>
      </c>
      <c r="Q20" s="16" t="str">
        <f>IF('MASTER DATA'!Q113="","",'MASTER DATA'!Q113)</f>
        <v/>
      </c>
      <c r="R20" s="16" t="str">
        <f>IF('MASTER DATA'!R113="","",'MASTER DATA'!R113)</f>
        <v/>
      </c>
      <c r="S20" s="16" t="str">
        <f>IF('MASTER DATA'!S113="","",'MASTER DATA'!S113)</f>
        <v>N</v>
      </c>
      <c r="T20" s="15" t="str">
        <f>IF('MASTER DATA'!T113="","",'MASTER DATA'!T113)</f>
        <v/>
      </c>
      <c r="U20" s="16" t="str">
        <f>IF('MASTER DATA'!U113="","",'MASTER DATA'!U113)</f>
        <v>N</v>
      </c>
      <c r="V20" s="16" t="str">
        <f>IF('MASTER DATA'!V113="","",'MASTER DATA'!V113)</f>
        <v>N</v>
      </c>
      <c r="W20" s="16" t="str">
        <f>IF('MASTER DATA'!W113="","",'MASTER DATA'!W113)</f>
        <v>N</v>
      </c>
      <c r="X20" s="16" t="str">
        <f>IF('MASTER DATA'!X113="","",'MASTER DATA'!X113)</f>
        <v>N</v>
      </c>
      <c r="Y20" s="16" t="str">
        <f>IF('MASTER DATA'!Y113="","",'MASTER DATA'!Y113)</f>
        <v>N</v>
      </c>
      <c r="Z20" s="16" t="str">
        <f>IF('MASTER DATA'!Z113="","",'MASTER DATA'!Z113)</f>
        <v>N</v>
      </c>
      <c r="AA20" s="16">
        <f>IF('MASTER DATA'!AA113="","",'MASTER DATA'!AA113)</f>
        <v>1</v>
      </c>
      <c r="AB20" s="16" t="str">
        <f>IF('MASTER DATA'!AB113="","",'MASTER DATA'!AB113)</f>
        <v>SINGLE-SIGNAL</v>
      </c>
      <c r="AC20" s="16" t="str">
        <f>IF('MASTER DATA'!AC113="","",'MASTER DATA'!AC113)</f>
        <v>Settlement Authorization</v>
      </c>
    </row>
    <row r="21" spans="1:29" x14ac:dyDescent="0.45">
      <c r="A21" t="str">
        <f>IF('MASTER DATA'!A114="","",'MASTER DATA'!A114)</f>
        <v>SYN-CLM-0113</v>
      </c>
      <c r="B21" t="str">
        <f>IF('MASTER DATA'!B114="","",'MASTER DATA'!B114)</f>
        <v>Synthetic Claimant 0113</v>
      </c>
      <c r="C21" t="str">
        <f>IF('MASTER DATA'!C114="","",'MASTER DATA'!C114)</f>
        <v>Claims Analyst A</v>
      </c>
      <c r="D21" t="str">
        <f>IF('MASTER DATA'!D114="","",'MASTER DATA'!D114)</f>
        <v>Synthetic Policyholder 025, LLC</v>
      </c>
      <c r="E21" s="15">
        <f>IF('MASTER DATA'!E114="","",'MASTER DATA'!E114)</f>
        <v>44040</v>
      </c>
      <c r="F21" s="16" t="str">
        <f>IF('MASTER DATA'!F114="","",'MASTER DATA'!F114)</f>
        <v>N</v>
      </c>
      <c r="G21" s="17" t="str">
        <f>IF('MASTER DATA'!G114="","",'MASTER DATA'!G114)</f>
        <v/>
      </c>
      <c r="H21" s="16" t="str">
        <f>IF('MASTER DATA'!H114="","",'MASTER DATA'!H114)</f>
        <v/>
      </c>
      <c r="I21" s="15" t="str">
        <f>IF('MASTER DATA'!I114="","",'MASTER DATA'!I114)</f>
        <v/>
      </c>
      <c r="J21" s="16" t="str">
        <f>IF('MASTER DATA'!J114="","",'MASTER DATA'!J114)</f>
        <v>Y</v>
      </c>
      <c r="K21" s="15">
        <f>IF('MASTER DATA'!K114="","",'MASTER DATA'!K114)</f>
        <v>44802</v>
      </c>
      <c r="L21" s="16" t="str">
        <f>IF('MASTER DATA'!L114="","",'MASTER DATA'!L114)</f>
        <v>Y</v>
      </c>
      <c r="M21" s="16" t="str">
        <f>IF('MASTER DATA'!M114="","",'MASTER DATA'!M114)</f>
        <v>N</v>
      </c>
      <c r="N21" s="15" t="str">
        <f>IF('MASTER DATA'!N114="","",'MASTER DATA'!N114)</f>
        <v/>
      </c>
      <c r="O21" s="16" t="str">
        <f>IF('MASTER DATA'!O114="","",'MASTER DATA'!O114)</f>
        <v/>
      </c>
      <c r="P21" s="16" t="str">
        <f>IF('MASTER DATA'!P114="","",'MASTER DATA'!P114)</f>
        <v>Y</v>
      </c>
      <c r="Q21" s="16" t="str">
        <f>IF('MASTER DATA'!Q114="","",'MASTER DATA'!Q114)</f>
        <v>Surgery Requested; Denied Treatment Requests; Specialist Consultation Requested</v>
      </c>
      <c r="R21" s="16" t="str">
        <f>IF('MASTER DATA'!R114="","",'MASTER DATA'!R114)</f>
        <v>MSA Eligible in Next 3 Years; MMI Date Reported</v>
      </c>
      <c r="S21" s="16" t="str">
        <f>IF('MASTER DATA'!S114="","",'MASTER DATA'!S114)</f>
        <v>N</v>
      </c>
      <c r="T21" s="15" t="str">
        <f>IF('MASTER DATA'!T114="","",'MASTER DATA'!T114)</f>
        <v/>
      </c>
      <c r="U21" s="16" t="str">
        <f>IF('MASTER DATA'!U114="","",'MASTER DATA'!U114)</f>
        <v>Y</v>
      </c>
      <c r="V21" s="16" t="str">
        <f>IF('MASTER DATA'!V114="","",'MASTER DATA'!V114)</f>
        <v>Y</v>
      </c>
      <c r="W21" s="16" t="str">
        <f>IF('MASTER DATA'!W114="","",'MASTER DATA'!W114)</f>
        <v>Y</v>
      </c>
      <c r="X21" s="16" t="str">
        <f>IF('MASTER DATA'!X114="","",'MASTER DATA'!X114)</f>
        <v>Y</v>
      </c>
      <c r="Y21" s="16" t="str">
        <f>IF('MASTER DATA'!Y114="","",'MASTER DATA'!Y114)</f>
        <v>N</v>
      </c>
      <c r="Z21" s="16" t="str">
        <f>IF('MASTER DATA'!Z114="","",'MASTER DATA'!Z114)</f>
        <v>Y</v>
      </c>
      <c r="AA21" s="16">
        <f>IF('MASTER DATA'!AA114="","",'MASTER DATA'!AA114)</f>
        <v>2</v>
      </c>
      <c r="AB21" s="16" t="str">
        <f>IF('MASTER DATA'!AB114="","",'MASTER DATA'!AB114)</f>
        <v>MULTI-SIGNAL</v>
      </c>
      <c r="AC21" s="16" t="str">
        <f>IF('MASTER DATA'!AC114="","",'MASTER DATA'!AC114)</f>
        <v>Open Stipulation | Automated Claim Alert</v>
      </c>
    </row>
    <row r="22" spans="1:29" x14ac:dyDescent="0.45">
      <c r="A22" t="str">
        <f>IF('MASTER DATA'!A115="","",'MASTER DATA'!A115)</f>
        <v>SYN-CLM-0114</v>
      </c>
      <c r="B22" t="str">
        <f>IF('MASTER DATA'!B115="","",'MASTER DATA'!B115)</f>
        <v>Synthetic Claimant 0114</v>
      </c>
      <c r="C22" t="str">
        <f>IF('MASTER DATA'!C115="","",'MASTER DATA'!C115)</f>
        <v>Claims Analyst A</v>
      </c>
      <c r="D22" t="str">
        <f>IF('MASTER DATA'!D115="","",'MASTER DATA'!D115)</f>
        <v>Synthetic Policyholder 005, LLC</v>
      </c>
      <c r="E22" s="15">
        <f>IF('MASTER DATA'!E115="","",'MASTER DATA'!E115)</f>
        <v>43451</v>
      </c>
      <c r="F22" s="16" t="str">
        <f>IF('MASTER DATA'!F115="","",'MASTER DATA'!F115)</f>
        <v>Y</v>
      </c>
      <c r="G22" s="17">
        <f>IF('MASTER DATA'!G115="","",'MASTER DATA'!G115)</f>
        <v>15000</v>
      </c>
      <c r="H22" s="16" t="str">
        <f>IF('MASTER DATA'!H115="","",'MASTER DATA'!H115)</f>
        <v>Synthetic Approver 08</v>
      </c>
      <c r="I22" s="15">
        <f>IF('MASTER DATA'!I115="","",'MASTER DATA'!I115)</f>
        <v>44593</v>
      </c>
      <c r="J22" s="16" t="str">
        <f>IF('MASTER DATA'!J115="","",'MASTER DATA'!J115)</f>
        <v>Y</v>
      </c>
      <c r="K22" s="15">
        <f>IF('MASTER DATA'!K115="","",'MASTER DATA'!K115)</f>
        <v>43649</v>
      </c>
      <c r="L22" s="16" t="str">
        <f>IF('MASTER DATA'!L115="","",'MASTER DATA'!L115)</f>
        <v>N</v>
      </c>
      <c r="M22" s="16" t="str">
        <f>IF('MASTER DATA'!M115="","",'MASTER DATA'!M115)</f>
        <v>N</v>
      </c>
      <c r="N22" s="15" t="str">
        <f>IF('MASTER DATA'!N115="","",'MASTER DATA'!N115)</f>
        <v/>
      </c>
      <c r="O22" s="16" t="str">
        <f>IF('MASTER DATA'!O115="","",'MASTER DATA'!O115)</f>
        <v/>
      </c>
      <c r="P22" s="16" t="str">
        <f>IF('MASTER DATA'!P115="","",'MASTER DATA'!P115)</f>
        <v>Y</v>
      </c>
      <c r="Q22" s="16" t="str">
        <f>IF('MASTER DATA'!Q115="","",'MASTER DATA'!Q115)</f>
        <v>Specialist Consultation Requested; Non-Renewed Account</v>
      </c>
      <c r="R22" s="16" t="str">
        <f>IF('MASTER DATA'!R115="","",'MASTER DATA'!R115)</f>
        <v>MSA Eligible in Next 3 Years</v>
      </c>
      <c r="S22" s="16" t="str">
        <f>IF('MASTER DATA'!S115="","",'MASTER DATA'!S115)</f>
        <v>N</v>
      </c>
      <c r="T22" s="15" t="str">
        <f>IF('MASTER DATA'!T115="","",'MASTER DATA'!T115)</f>
        <v/>
      </c>
      <c r="U22" s="16" t="str">
        <f>IF('MASTER DATA'!U115="","",'MASTER DATA'!U115)</f>
        <v>N</v>
      </c>
      <c r="V22" s="16" t="str">
        <f>IF('MASTER DATA'!V115="","",'MASTER DATA'!V115)</f>
        <v>N</v>
      </c>
      <c r="W22" s="16" t="str">
        <f>IF('MASTER DATA'!W115="","",'MASTER DATA'!W115)</f>
        <v>N</v>
      </c>
      <c r="X22" s="16" t="str">
        <f>IF('MASTER DATA'!X115="","",'MASTER DATA'!X115)</f>
        <v>Y</v>
      </c>
      <c r="Y22" s="16" t="str">
        <f>IF('MASTER DATA'!Y115="","",'MASTER DATA'!Y115)</f>
        <v>Y</v>
      </c>
      <c r="Z22" s="16" t="str">
        <f>IF('MASTER DATA'!Z115="","",'MASTER DATA'!Z115)</f>
        <v>Y</v>
      </c>
      <c r="AA22" s="16">
        <f>IF('MASTER DATA'!AA115="","",'MASTER DATA'!AA115)</f>
        <v>3</v>
      </c>
      <c r="AB22" s="16" t="str">
        <f>IF('MASTER DATA'!AB115="","",'MASTER DATA'!AB115)</f>
        <v>ELEVATED MULTI-SIGNAL</v>
      </c>
      <c r="AC22" s="16" t="str">
        <f>IF('MASTER DATA'!AC115="","",'MASTER DATA'!AC115)</f>
        <v>Settlement Authorization | Open Stipulation | Automated Claim Alert</v>
      </c>
    </row>
    <row r="23" spans="1:29" x14ac:dyDescent="0.45">
      <c r="A23" t="str">
        <f>IF('MASTER DATA'!A116="","",'MASTER DATA'!A116)</f>
        <v>SYN-CLM-0115</v>
      </c>
      <c r="B23" t="str">
        <f>IF('MASTER DATA'!B116="","",'MASTER DATA'!B116)</f>
        <v>Synthetic Claimant 0115</v>
      </c>
      <c r="C23" t="str">
        <f>IF('MASTER DATA'!C116="","",'MASTER DATA'!C116)</f>
        <v>Claims Analyst A</v>
      </c>
      <c r="D23" t="str">
        <f>IF('MASTER DATA'!D116="","",'MASTER DATA'!D116)</f>
        <v>Synthetic Policyholder 061, LLC</v>
      </c>
      <c r="E23" s="15">
        <f>IF('MASTER DATA'!E116="","",'MASTER DATA'!E116)</f>
        <v>44279</v>
      </c>
      <c r="F23" s="16" t="str">
        <f>IF('MASTER DATA'!F116="","",'MASTER DATA'!F116)</f>
        <v>Y</v>
      </c>
      <c r="G23" s="17">
        <f>IF('MASTER DATA'!G116="","",'MASTER DATA'!G116)</f>
        <v>13500</v>
      </c>
      <c r="H23" s="16" t="str">
        <f>IF('MASTER DATA'!H116="","",'MASTER DATA'!H116)</f>
        <v>Synthetic Approver 11</v>
      </c>
      <c r="I23" s="15">
        <f>IF('MASTER DATA'!I116="","",'MASTER DATA'!I116)</f>
        <v>45129</v>
      </c>
      <c r="J23" s="16" t="str">
        <f>IF('MASTER DATA'!J116="","",'MASTER DATA'!J116)</f>
        <v>N</v>
      </c>
      <c r="K23" s="15" t="str">
        <f>IF('MASTER DATA'!K116="","",'MASTER DATA'!K116)</f>
        <v/>
      </c>
      <c r="L23" s="16" t="str">
        <f>IF('MASTER DATA'!L116="","",'MASTER DATA'!L116)</f>
        <v>Y</v>
      </c>
      <c r="M23" s="16" t="str">
        <f>IF('MASTER DATA'!M116="","",'MASTER DATA'!M116)</f>
        <v>N</v>
      </c>
      <c r="N23" s="15" t="str">
        <f>IF('MASTER DATA'!N116="","",'MASTER DATA'!N116)</f>
        <v/>
      </c>
      <c r="O23" s="16" t="str">
        <f>IF('MASTER DATA'!O116="","",'MASTER DATA'!O116)</f>
        <v/>
      </c>
      <c r="P23" s="16" t="str">
        <f>IF('MASTER DATA'!P116="","",'MASTER DATA'!P116)</f>
        <v>N</v>
      </c>
      <c r="Q23" s="16" t="str">
        <f>IF('MASTER DATA'!Q116="","",'MASTER DATA'!Q116)</f>
        <v/>
      </c>
      <c r="R23" s="16" t="str">
        <f>IF('MASTER DATA'!R116="","",'MASTER DATA'!R116)</f>
        <v/>
      </c>
      <c r="S23" s="16" t="str">
        <f>IF('MASTER DATA'!S116="","",'MASTER DATA'!S116)</f>
        <v>Y</v>
      </c>
      <c r="T23" s="15">
        <f>IF('MASTER DATA'!T116="","",'MASTER DATA'!T116)</f>
        <v>45447</v>
      </c>
      <c r="U23" s="16" t="str">
        <f>IF('MASTER DATA'!U116="","",'MASTER DATA'!U116)</f>
        <v>N</v>
      </c>
      <c r="V23" s="16" t="str">
        <f>IF('MASTER DATA'!V116="","",'MASTER DATA'!V116)</f>
        <v>N</v>
      </c>
      <c r="W23" s="16" t="str">
        <f>IF('MASTER DATA'!W116="","",'MASTER DATA'!W116)</f>
        <v>N</v>
      </c>
      <c r="X23" s="16" t="str">
        <f>IF('MASTER DATA'!X116="","",'MASTER DATA'!X116)</f>
        <v>N</v>
      </c>
      <c r="Y23" s="16" t="str">
        <f>IF('MASTER DATA'!Y116="","",'MASTER DATA'!Y116)</f>
        <v>N</v>
      </c>
      <c r="Z23" s="16" t="str">
        <f>IF('MASTER DATA'!Z116="","",'MASTER DATA'!Z116)</f>
        <v>N</v>
      </c>
      <c r="AA23" s="16">
        <f>IF('MASTER DATA'!AA116="","",'MASTER DATA'!AA116)</f>
        <v>2</v>
      </c>
      <c r="AB23" s="16" t="str">
        <f>IF('MASTER DATA'!AB116="","",'MASTER DATA'!AB116)</f>
        <v>MULTI-SIGNAL</v>
      </c>
      <c r="AC23" s="16" t="str">
        <f>IF('MASTER DATA'!AC116="","",'MASTER DATA'!AC116)</f>
        <v>Settlement Authorization | Inactive Customer</v>
      </c>
    </row>
    <row r="24" spans="1:29" x14ac:dyDescent="0.45">
      <c r="A24" t="str">
        <f>IF('MASTER DATA'!A117="","",'MASTER DATA'!A117)</f>
        <v>SYN-CLM-0116</v>
      </c>
      <c r="B24" t="str">
        <f>IF('MASTER DATA'!B117="","",'MASTER DATA'!B117)</f>
        <v>Synthetic Claimant 0116</v>
      </c>
      <c r="C24" t="str">
        <f>IF('MASTER DATA'!C117="","",'MASTER DATA'!C117)</f>
        <v>Claims Analyst A</v>
      </c>
      <c r="D24" t="str">
        <f>IF('MASTER DATA'!D117="","",'MASTER DATA'!D117)</f>
        <v>Synthetic Policyholder 079, LLC</v>
      </c>
      <c r="E24" s="15">
        <f>IF('MASTER DATA'!E117="","",'MASTER DATA'!E117)</f>
        <v>44333</v>
      </c>
      <c r="F24" s="16" t="str">
        <f>IF('MASTER DATA'!F117="","",'MASTER DATA'!F117)</f>
        <v>Y</v>
      </c>
      <c r="G24" s="17">
        <f>IF('MASTER DATA'!G117="","",'MASTER DATA'!G117)</f>
        <v>159500</v>
      </c>
      <c r="H24" s="16" t="str">
        <f>IF('MASTER DATA'!H117="","",'MASTER DATA'!H117)</f>
        <v>Synthetic Approver 11</v>
      </c>
      <c r="I24" s="15">
        <f>IF('MASTER DATA'!I117="","",'MASTER DATA'!I117)</f>
        <v>45336</v>
      </c>
      <c r="J24" s="16" t="str">
        <f>IF('MASTER DATA'!J117="","",'MASTER DATA'!J117)</f>
        <v>N</v>
      </c>
      <c r="K24" s="15" t="str">
        <f>IF('MASTER DATA'!K117="","",'MASTER DATA'!K117)</f>
        <v/>
      </c>
      <c r="L24" s="16" t="str">
        <f>IF('MASTER DATA'!L117="","",'MASTER DATA'!L117)</f>
        <v>N</v>
      </c>
      <c r="M24" s="16" t="str">
        <f>IF('MASTER DATA'!M117="","",'MASTER DATA'!M117)</f>
        <v>N</v>
      </c>
      <c r="N24" s="15" t="str">
        <f>IF('MASTER DATA'!N117="","",'MASTER DATA'!N117)</f>
        <v/>
      </c>
      <c r="O24" s="16" t="str">
        <f>IF('MASTER DATA'!O117="","",'MASTER DATA'!O117)</f>
        <v/>
      </c>
      <c r="P24" s="16" t="str">
        <f>IF('MASTER DATA'!P117="","",'MASTER DATA'!P117)</f>
        <v>N</v>
      </c>
      <c r="Q24" s="16" t="str">
        <f>IF('MASTER DATA'!Q117="","",'MASTER DATA'!Q117)</f>
        <v/>
      </c>
      <c r="R24" s="16" t="str">
        <f>IF('MASTER DATA'!R117="","",'MASTER DATA'!R117)</f>
        <v/>
      </c>
      <c r="S24" s="16" t="str">
        <f>IF('MASTER DATA'!S117="","",'MASTER DATA'!S117)</f>
        <v>N</v>
      </c>
      <c r="T24" s="15" t="str">
        <f>IF('MASTER DATA'!T117="","",'MASTER DATA'!T117)</f>
        <v/>
      </c>
      <c r="U24" s="16" t="str">
        <f>IF('MASTER DATA'!U117="","",'MASTER DATA'!U117)</f>
        <v>N</v>
      </c>
      <c r="V24" s="16" t="str">
        <f>IF('MASTER DATA'!V117="","",'MASTER DATA'!V117)</f>
        <v>N</v>
      </c>
      <c r="W24" s="16" t="str">
        <f>IF('MASTER DATA'!W117="","",'MASTER DATA'!W117)</f>
        <v>N</v>
      </c>
      <c r="X24" s="16" t="str">
        <f>IF('MASTER DATA'!X117="","",'MASTER DATA'!X117)</f>
        <v>N</v>
      </c>
      <c r="Y24" s="16" t="str">
        <f>IF('MASTER DATA'!Y117="","",'MASTER DATA'!Y117)</f>
        <v>N</v>
      </c>
      <c r="Z24" s="16" t="str">
        <f>IF('MASTER DATA'!Z117="","",'MASTER DATA'!Z117)</f>
        <v>N</v>
      </c>
      <c r="AA24" s="16">
        <f>IF('MASTER DATA'!AA117="","",'MASTER DATA'!AA117)</f>
        <v>1</v>
      </c>
      <c r="AB24" s="16" t="str">
        <f>IF('MASTER DATA'!AB117="","",'MASTER DATA'!AB117)</f>
        <v>SINGLE-SIGNAL</v>
      </c>
      <c r="AC24" s="16" t="str">
        <f>IF('MASTER DATA'!AC117="","",'MASTER DATA'!AC117)</f>
        <v>Settlement Authorization</v>
      </c>
    </row>
    <row r="25" spans="1:29" x14ac:dyDescent="0.45">
      <c r="A25" t="str">
        <f>IF('MASTER DATA'!A118="","",'MASTER DATA'!A118)</f>
        <v>SYN-CLM-0117</v>
      </c>
      <c r="B25" t="str">
        <f>IF('MASTER DATA'!B118="","",'MASTER DATA'!B118)</f>
        <v>Synthetic Claimant 0117</v>
      </c>
      <c r="C25" t="str">
        <f>IF('MASTER DATA'!C118="","",'MASTER DATA'!C118)</f>
        <v>Claims Analyst A</v>
      </c>
      <c r="D25" t="str">
        <f>IF('MASTER DATA'!D118="","",'MASTER DATA'!D118)</f>
        <v>Synthetic Policyholder 108, LLC</v>
      </c>
      <c r="E25" s="15">
        <f>IF('MASTER DATA'!E118="","",'MASTER DATA'!E118)</f>
        <v>43837</v>
      </c>
      <c r="F25" s="16" t="str">
        <f>IF('MASTER DATA'!F118="","",'MASTER DATA'!F118)</f>
        <v>N</v>
      </c>
      <c r="G25" s="17" t="str">
        <f>IF('MASTER DATA'!G118="","",'MASTER DATA'!G118)</f>
        <v/>
      </c>
      <c r="H25" s="16" t="str">
        <f>IF('MASTER DATA'!H118="","",'MASTER DATA'!H118)</f>
        <v/>
      </c>
      <c r="I25" s="15" t="str">
        <f>IF('MASTER DATA'!I118="","",'MASTER DATA'!I118)</f>
        <v/>
      </c>
      <c r="J25" s="16" t="str">
        <f>IF('MASTER DATA'!J118="","",'MASTER DATA'!J118)</f>
        <v>N</v>
      </c>
      <c r="K25" s="15" t="str">
        <f>IF('MASTER DATA'!K118="","",'MASTER DATA'!K118)</f>
        <v/>
      </c>
      <c r="L25" s="16" t="str">
        <f>IF('MASTER DATA'!L118="","",'MASTER DATA'!L118)</f>
        <v/>
      </c>
      <c r="M25" s="16" t="str">
        <f>IF('MASTER DATA'!M118="","",'MASTER DATA'!M118)</f>
        <v>N</v>
      </c>
      <c r="N25" s="15" t="str">
        <f>IF('MASTER DATA'!N118="","",'MASTER DATA'!N118)</f>
        <v/>
      </c>
      <c r="O25" s="16" t="str">
        <f>IF('MASTER DATA'!O118="","",'MASTER DATA'!O118)</f>
        <v/>
      </c>
      <c r="P25" s="16" t="str">
        <f>IF('MASTER DATA'!P118="","",'MASTER DATA'!P118)</f>
        <v>N</v>
      </c>
      <c r="Q25" s="16" t="str">
        <f>IF('MASTER DATA'!Q118="","",'MASTER DATA'!Q118)</f>
        <v/>
      </c>
      <c r="R25" s="16" t="str">
        <f>IF('MASTER DATA'!R118="","",'MASTER DATA'!R118)</f>
        <v/>
      </c>
      <c r="S25" s="16" t="str">
        <f>IF('MASTER DATA'!S118="","",'MASTER DATA'!S118)</f>
        <v>Y</v>
      </c>
      <c r="T25" s="15">
        <f>IF('MASTER DATA'!T118="","",'MASTER DATA'!T118)</f>
        <v>44273</v>
      </c>
      <c r="U25" s="16" t="str">
        <f>IF('MASTER DATA'!U118="","",'MASTER DATA'!U118)</f>
        <v>N</v>
      </c>
      <c r="V25" s="16" t="str">
        <f>IF('MASTER DATA'!V118="","",'MASTER DATA'!V118)</f>
        <v>N</v>
      </c>
      <c r="W25" s="16" t="str">
        <f>IF('MASTER DATA'!W118="","",'MASTER DATA'!W118)</f>
        <v>N</v>
      </c>
      <c r="X25" s="16" t="str">
        <f>IF('MASTER DATA'!X118="","",'MASTER DATA'!X118)</f>
        <v>N</v>
      </c>
      <c r="Y25" s="16" t="str">
        <f>IF('MASTER DATA'!Y118="","",'MASTER DATA'!Y118)</f>
        <v>N</v>
      </c>
      <c r="Z25" s="16" t="str">
        <f>IF('MASTER DATA'!Z118="","",'MASTER DATA'!Z118)</f>
        <v>N</v>
      </c>
      <c r="AA25" s="16">
        <f>IF('MASTER DATA'!AA118="","",'MASTER DATA'!AA118)</f>
        <v>1</v>
      </c>
      <c r="AB25" s="16" t="str">
        <f>IF('MASTER DATA'!AB118="","",'MASTER DATA'!AB118)</f>
        <v>SINGLE-SIGNAL</v>
      </c>
      <c r="AC25" s="16" t="str">
        <f>IF('MASTER DATA'!AC118="","",'MASTER DATA'!AC118)</f>
        <v>Inactive Customer</v>
      </c>
    </row>
    <row r="26" spans="1:29" x14ac:dyDescent="0.45">
      <c r="A26" t="str">
        <f>IF('MASTER DATA'!A119="","",'MASTER DATA'!A119)</f>
        <v>SYN-CLM-0118</v>
      </c>
      <c r="B26" t="str">
        <f>IF('MASTER DATA'!B119="","",'MASTER DATA'!B119)</f>
        <v>Synthetic Claimant 0118</v>
      </c>
      <c r="C26" t="str">
        <f>IF('MASTER DATA'!C119="","",'MASTER DATA'!C119)</f>
        <v>Claims Analyst A</v>
      </c>
      <c r="D26" t="str">
        <f>IF('MASTER DATA'!D119="","",'MASTER DATA'!D119)</f>
        <v>Synthetic Policyholder 090, LLC</v>
      </c>
      <c r="E26" s="15">
        <f>IF('MASTER DATA'!E119="","",'MASTER DATA'!E119)</f>
        <v>45920</v>
      </c>
      <c r="F26" s="16" t="str">
        <f>IF('MASTER DATA'!F119="","",'MASTER DATA'!F119)</f>
        <v>Y</v>
      </c>
      <c r="G26" s="17">
        <f>IF('MASTER DATA'!G119="","",'MASTER DATA'!G119)</f>
        <v>164500</v>
      </c>
      <c r="H26" s="16" t="str">
        <f>IF('MASTER DATA'!H119="","",'MASTER DATA'!H119)</f>
        <v>Synthetic Approver 10</v>
      </c>
      <c r="I26" s="15">
        <f>IF('MASTER DATA'!I119="","",'MASTER DATA'!I119)</f>
        <v>46152</v>
      </c>
      <c r="J26" s="16" t="str">
        <f>IF('MASTER DATA'!J119="","",'MASTER DATA'!J119)</f>
        <v>N</v>
      </c>
      <c r="K26" s="15" t="str">
        <f>IF('MASTER DATA'!K119="","",'MASTER DATA'!K119)</f>
        <v/>
      </c>
      <c r="L26" s="16" t="str">
        <f>IF('MASTER DATA'!L119="","",'MASTER DATA'!L119)</f>
        <v>Y</v>
      </c>
      <c r="M26" s="16" t="str">
        <f>IF('MASTER DATA'!M119="","",'MASTER DATA'!M119)</f>
        <v>Y</v>
      </c>
      <c r="N26" s="15">
        <f>IF('MASTER DATA'!N119="","",'MASTER DATA'!N119)</f>
        <v>47327</v>
      </c>
      <c r="O26" s="16" t="str">
        <f>IF('MASTER DATA'!O119="","",'MASTER DATA'!O119)</f>
        <v>Synthetic QME Evaluator 21</v>
      </c>
      <c r="P26" s="16" t="str">
        <f>IF('MASTER DATA'!P119="","",'MASTER DATA'!P119)</f>
        <v>Y</v>
      </c>
      <c r="Q26" s="16" t="str">
        <f>IF('MASTER DATA'!Q119="","",'MASTER DATA'!Q119)</f>
        <v>Non-Renewed Account; Specialist Consultation Requested</v>
      </c>
      <c r="R26" s="16" t="str">
        <f>IF('MASTER DATA'!R119="","",'MASTER DATA'!R119)</f>
        <v>Surgery Requested</v>
      </c>
      <c r="S26" s="16" t="str">
        <f>IF('MASTER DATA'!S119="","",'MASTER DATA'!S119)</f>
        <v>N</v>
      </c>
      <c r="T26" s="15" t="str">
        <f>IF('MASTER DATA'!T119="","",'MASTER DATA'!T119)</f>
        <v/>
      </c>
      <c r="U26" s="16" t="str">
        <f>IF('MASTER DATA'!U119="","",'MASTER DATA'!U119)</f>
        <v>Y</v>
      </c>
      <c r="V26" s="16" t="str">
        <f>IF('MASTER DATA'!V119="","",'MASTER DATA'!V119)</f>
        <v>N</v>
      </c>
      <c r="W26" s="16" t="str">
        <f>IF('MASTER DATA'!W119="","",'MASTER DATA'!W119)</f>
        <v>N</v>
      </c>
      <c r="X26" s="16" t="str">
        <f>IF('MASTER DATA'!X119="","",'MASTER DATA'!X119)</f>
        <v>Y</v>
      </c>
      <c r="Y26" s="16" t="str">
        <f>IF('MASTER DATA'!Y119="","",'MASTER DATA'!Y119)</f>
        <v>Y</v>
      </c>
      <c r="Z26" s="16" t="str">
        <f>IF('MASTER DATA'!Z119="","",'MASTER DATA'!Z119)</f>
        <v>N</v>
      </c>
      <c r="AA26" s="16">
        <f>IF('MASTER DATA'!AA119="","",'MASTER DATA'!AA119)</f>
        <v>3</v>
      </c>
      <c r="AB26" s="16" t="str">
        <f>IF('MASTER DATA'!AB119="","",'MASTER DATA'!AB119)</f>
        <v>ELEVATED MULTI-SIGNAL</v>
      </c>
      <c r="AC26" s="16" t="str">
        <f>IF('MASTER DATA'!AC119="","",'MASTER DATA'!AC119)</f>
        <v>Settlement Authorization | Pending QME | Automated Claim Alert</v>
      </c>
    </row>
    <row r="27" spans="1:29" x14ac:dyDescent="0.45">
      <c r="A27" t="str">
        <f>IF('MASTER DATA'!A120="","",'MASTER DATA'!A120)</f>
        <v>SYN-CLM-0119</v>
      </c>
      <c r="B27" t="str">
        <f>IF('MASTER DATA'!B120="","",'MASTER DATA'!B120)</f>
        <v>Synthetic Claimant 0119</v>
      </c>
      <c r="C27" t="str">
        <f>IF('MASTER DATA'!C120="","",'MASTER DATA'!C120)</f>
        <v>Claims Analyst A</v>
      </c>
      <c r="D27" t="str">
        <f>IF('MASTER DATA'!D120="","",'MASTER DATA'!D120)</f>
        <v>Synthetic Policyholder 061, LLC</v>
      </c>
      <c r="E27" s="15">
        <f>IF('MASTER DATA'!E120="","",'MASTER DATA'!E120)</f>
        <v>44593</v>
      </c>
      <c r="F27" s="16" t="str">
        <f>IF('MASTER DATA'!F120="","",'MASTER DATA'!F120)</f>
        <v>Y</v>
      </c>
      <c r="G27" s="17">
        <f>IF('MASTER DATA'!G120="","",'MASTER DATA'!G120)</f>
        <v>122250</v>
      </c>
      <c r="H27" s="16" t="str">
        <f>IF('MASTER DATA'!H120="","",'MASTER DATA'!H120)</f>
        <v>Synthetic Approver 03</v>
      </c>
      <c r="I27" s="15">
        <f>IF('MASTER DATA'!I120="","",'MASTER DATA'!I120)</f>
        <v>44940</v>
      </c>
      <c r="J27" s="16" t="str">
        <f>IF('MASTER DATA'!J120="","",'MASTER DATA'!J120)</f>
        <v>N</v>
      </c>
      <c r="K27" s="15" t="str">
        <f>IF('MASTER DATA'!K120="","",'MASTER DATA'!K120)</f>
        <v/>
      </c>
      <c r="L27" s="16" t="str">
        <f>IF('MASTER DATA'!L120="","",'MASTER DATA'!L120)</f>
        <v>N</v>
      </c>
      <c r="M27" s="16" t="str">
        <f>IF('MASTER DATA'!M120="","",'MASTER DATA'!M120)</f>
        <v>N</v>
      </c>
      <c r="N27" s="15" t="str">
        <f>IF('MASTER DATA'!N120="","",'MASTER DATA'!N120)</f>
        <v/>
      </c>
      <c r="O27" s="16" t="str">
        <f>IF('MASTER DATA'!O120="","",'MASTER DATA'!O120)</f>
        <v/>
      </c>
      <c r="P27" s="16" t="str">
        <f>IF('MASTER DATA'!P120="","",'MASTER DATA'!P120)</f>
        <v>Y</v>
      </c>
      <c r="Q27" s="16" t="str">
        <f>IF('MASTER DATA'!Q120="","",'MASTER DATA'!Q120)</f>
        <v>Specialist Consultation Requested; Denied Treatment Requests; Non-Renewed Account</v>
      </c>
      <c r="R27" s="16" t="str">
        <f>IF('MASTER DATA'!R120="","",'MASTER DATA'!R120)</f>
        <v>Surgery Requested; MMI Date Reported</v>
      </c>
      <c r="S27" s="16" t="str">
        <f>IF('MASTER DATA'!S120="","",'MASTER DATA'!S120)</f>
        <v>Y</v>
      </c>
      <c r="T27" s="15">
        <f>IF('MASTER DATA'!T120="","",'MASTER DATA'!T120)</f>
        <v>46271</v>
      </c>
      <c r="U27" s="16" t="str">
        <f>IF('MASTER DATA'!U120="","",'MASTER DATA'!U120)</f>
        <v>Y</v>
      </c>
      <c r="V27" s="16" t="str">
        <f>IF('MASTER DATA'!V120="","",'MASTER DATA'!V120)</f>
        <v>Y</v>
      </c>
      <c r="W27" s="16" t="str">
        <f>IF('MASTER DATA'!W120="","",'MASTER DATA'!W120)</f>
        <v>Y</v>
      </c>
      <c r="X27" s="16" t="str">
        <f>IF('MASTER DATA'!X120="","",'MASTER DATA'!X120)</f>
        <v>Y</v>
      </c>
      <c r="Y27" s="16" t="str">
        <f>IF('MASTER DATA'!Y120="","",'MASTER DATA'!Y120)</f>
        <v>Y</v>
      </c>
      <c r="Z27" s="16" t="str">
        <f>IF('MASTER DATA'!Z120="","",'MASTER DATA'!Z120)</f>
        <v>N</v>
      </c>
      <c r="AA27" s="16">
        <f>IF('MASTER DATA'!AA120="","",'MASTER DATA'!AA120)</f>
        <v>3</v>
      </c>
      <c r="AB27" s="16" t="str">
        <f>IF('MASTER DATA'!AB120="","",'MASTER DATA'!AB120)</f>
        <v>ELEVATED MULTI-SIGNAL</v>
      </c>
      <c r="AC27" s="16" t="str">
        <f>IF('MASTER DATA'!AC120="","",'MASTER DATA'!AC120)</f>
        <v>Settlement Authorization | Automated Claim Alert | Inactive Customer</v>
      </c>
    </row>
    <row r="28" spans="1:29" x14ac:dyDescent="0.45">
      <c r="A28" t="str">
        <f>IF('MASTER DATA'!A121="","",'MASTER DATA'!A121)</f>
        <v>SYN-CLM-0120</v>
      </c>
      <c r="B28" t="str">
        <f>IF('MASTER DATA'!B121="","",'MASTER DATA'!B121)</f>
        <v>Synthetic Claimant 0120</v>
      </c>
      <c r="C28" t="str">
        <f>IF('MASTER DATA'!C121="","",'MASTER DATA'!C121)</f>
        <v>Claims Analyst A</v>
      </c>
      <c r="D28" t="str">
        <f>IF('MASTER DATA'!D121="","",'MASTER DATA'!D121)</f>
        <v>Synthetic Policyholder 015, LLC</v>
      </c>
      <c r="E28" s="15">
        <f>IF('MASTER DATA'!E121="","",'MASTER DATA'!E121)</f>
        <v>44754</v>
      </c>
      <c r="F28" s="16" t="str">
        <f>IF('MASTER DATA'!F121="","",'MASTER DATA'!F121)</f>
        <v>Y</v>
      </c>
      <c r="G28" s="17">
        <f>IF('MASTER DATA'!G121="","",'MASTER DATA'!G121)</f>
        <v>7750</v>
      </c>
      <c r="H28" s="16" t="str">
        <f>IF('MASTER DATA'!H121="","",'MASTER DATA'!H121)</f>
        <v>Synthetic Approver 08</v>
      </c>
      <c r="I28" s="15">
        <f>IF('MASTER DATA'!I121="","",'MASTER DATA'!I121)</f>
        <v>46303</v>
      </c>
      <c r="J28" s="16" t="str">
        <f>IF('MASTER DATA'!J121="","",'MASTER DATA'!J121)</f>
        <v>N</v>
      </c>
      <c r="K28" s="15" t="str">
        <f>IF('MASTER DATA'!K121="","",'MASTER DATA'!K121)</f>
        <v/>
      </c>
      <c r="L28" s="16" t="str">
        <f>IF('MASTER DATA'!L121="","",'MASTER DATA'!L121)</f>
        <v>Y</v>
      </c>
      <c r="M28" s="16" t="str">
        <f>IF('MASTER DATA'!M121="","",'MASTER DATA'!M121)</f>
        <v>N</v>
      </c>
      <c r="N28" s="15" t="str">
        <f>IF('MASTER DATA'!N121="","",'MASTER DATA'!N121)</f>
        <v/>
      </c>
      <c r="O28" s="16" t="str">
        <f>IF('MASTER DATA'!O121="","",'MASTER DATA'!O121)</f>
        <v/>
      </c>
      <c r="P28" s="16" t="str">
        <f>IF('MASTER DATA'!P121="","",'MASTER DATA'!P121)</f>
        <v>N</v>
      </c>
      <c r="Q28" s="16" t="str">
        <f>IF('MASTER DATA'!Q121="","",'MASTER DATA'!Q121)</f>
        <v/>
      </c>
      <c r="R28" s="16" t="str">
        <f>IF('MASTER DATA'!R121="","",'MASTER DATA'!R121)</f>
        <v/>
      </c>
      <c r="S28" s="16" t="str">
        <f>IF('MASTER DATA'!S121="","",'MASTER DATA'!S121)</f>
        <v>N</v>
      </c>
      <c r="T28" s="15" t="str">
        <f>IF('MASTER DATA'!T121="","",'MASTER DATA'!T121)</f>
        <v/>
      </c>
      <c r="U28" s="16" t="str">
        <f>IF('MASTER DATA'!U121="","",'MASTER DATA'!U121)</f>
        <v>N</v>
      </c>
      <c r="V28" s="16" t="str">
        <f>IF('MASTER DATA'!V121="","",'MASTER DATA'!V121)</f>
        <v>N</v>
      </c>
      <c r="W28" s="16" t="str">
        <f>IF('MASTER DATA'!W121="","",'MASTER DATA'!W121)</f>
        <v>N</v>
      </c>
      <c r="X28" s="16" t="str">
        <f>IF('MASTER DATA'!X121="","",'MASTER DATA'!X121)</f>
        <v>N</v>
      </c>
      <c r="Y28" s="16" t="str">
        <f>IF('MASTER DATA'!Y121="","",'MASTER DATA'!Y121)</f>
        <v>N</v>
      </c>
      <c r="Z28" s="16" t="str">
        <f>IF('MASTER DATA'!Z121="","",'MASTER DATA'!Z121)</f>
        <v>N</v>
      </c>
      <c r="AA28" s="16">
        <f>IF('MASTER DATA'!AA121="","",'MASTER DATA'!AA121)</f>
        <v>1</v>
      </c>
      <c r="AB28" s="16" t="str">
        <f>IF('MASTER DATA'!AB121="","",'MASTER DATA'!AB121)</f>
        <v>SINGLE-SIGNAL</v>
      </c>
      <c r="AC28" s="16" t="str">
        <f>IF('MASTER DATA'!AC121="","",'MASTER DATA'!AC121)</f>
        <v>Settlement Authorization</v>
      </c>
    </row>
    <row r="29" spans="1:29" x14ac:dyDescent="0.45">
      <c r="A29" t="str">
        <f>IF('MASTER DATA'!A122="","",'MASTER DATA'!A122)</f>
        <v>SYN-CLM-0121</v>
      </c>
      <c r="B29" t="str">
        <f>IF('MASTER DATA'!B122="","",'MASTER DATA'!B122)</f>
        <v>Synthetic Claimant 0121</v>
      </c>
      <c r="C29" t="str">
        <f>IF('MASTER DATA'!C122="","",'MASTER DATA'!C122)</f>
        <v>Claims Analyst A</v>
      </c>
      <c r="D29" t="str">
        <f>IF('MASTER DATA'!D122="","",'MASTER DATA'!D122)</f>
        <v>Synthetic Policyholder 035, LLC</v>
      </c>
      <c r="E29" s="15">
        <f>IF('MASTER DATA'!E122="","",'MASTER DATA'!E122)</f>
        <v>44686</v>
      </c>
      <c r="F29" s="16" t="str">
        <f>IF('MASTER DATA'!F122="","",'MASTER DATA'!F122)</f>
        <v>Y</v>
      </c>
      <c r="G29" s="17">
        <f>IF('MASTER DATA'!G122="","",'MASTER DATA'!G122)</f>
        <v>174250</v>
      </c>
      <c r="H29" s="16" t="str">
        <f>IF('MASTER DATA'!H122="","",'MASTER DATA'!H122)</f>
        <v>Synthetic Approver 10</v>
      </c>
      <c r="I29" s="15">
        <f>IF('MASTER DATA'!I122="","",'MASTER DATA'!I122)</f>
        <v>44970</v>
      </c>
      <c r="J29" s="16" t="str">
        <f>IF('MASTER DATA'!J122="","",'MASTER DATA'!J122)</f>
        <v>N</v>
      </c>
      <c r="K29" s="15" t="str">
        <f>IF('MASTER DATA'!K122="","",'MASTER DATA'!K122)</f>
        <v/>
      </c>
      <c r="L29" s="16" t="str">
        <f>IF('MASTER DATA'!L122="","",'MASTER DATA'!L122)</f>
        <v>Y</v>
      </c>
      <c r="M29" s="16" t="str">
        <f>IF('MASTER DATA'!M122="","",'MASTER DATA'!M122)</f>
        <v>N</v>
      </c>
      <c r="N29" s="15" t="str">
        <f>IF('MASTER DATA'!N122="","",'MASTER DATA'!N122)</f>
        <v/>
      </c>
      <c r="O29" s="16" t="str">
        <f>IF('MASTER DATA'!O122="","",'MASTER DATA'!O122)</f>
        <v/>
      </c>
      <c r="P29" s="16" t="str">
        <f>IF('MASTER DATA'!P122="","",'MASTER DATA'!P122)</f>
        <v>N</v>
      </c>
      <c r="Q29" s="16" t="str">
        <f>IF('MASTER DATA'!Q122="","",'MASTER DATA'!Q122)</f>
        <v/>
      </c>
      <c r="R29" s="16" t="str">
        <f>IF('MASTER DATA'!R122="","",'MASTER DATA'!R122)</f>
        <v/>
      </c>
      <c r="S29" s="16" t="str">
        <f>IF('MASTER DATA'!S122="","",'MASTER DATA'!S122)</f>
        <v>N</v>
      </c>
      <c r="T29" s="15" t="str">
        <f>IF('MASTER DATA'!T122="","",'MASTER DATA'!T122)</f>
        <v/>
      </c>
      <c r="U29" s="16" t="str">
        <f>IF('MASTER DATA'!U122="","",'MASTER DATA'!U122)</f>
        <v>N</v>
      </c>
      <c r="V29" s="16" t="str">
        <f>IF('MASTER DATA'!V122="","",'MASTER DATA'!V122)</f>
        <v>N</v>
      </c>
      <c r="W29" s="16" t="str">
        <f>IF('MASTER DATA'!W122="","",'MASTER DATA'!W122)</f>
        <v>N</v>
      </c>
      <c r="X29" s="16" t="str">
        <f>IF('MASTER DATA'!X122="","",'MASTER DATA'!X122)</f>
        <v>N</v>
      </c>
      <c r="Y29" s="16" t="str">
        <f>IF('MASTER DATA'!Y122="","",'MASTER DATA'!Y122)</f>
        <v>N</v>
      </c>
      <c r="Z29" s="16" t="str">
        <f>IF('MASTER DATA'!Z122="","",'MASTER DATA'!Z122)</f>
        <v>N</v>
      </c>
      <c r="AA29" s="16">
        <f>IF('MASTER DATA'!AA122="","",'MASTER DATA'!AA122)</f>
        <v>1</v>
      </c>
      <c r="AB29" s="16" t="str">
        <f>IF('MASTER DATA'!AB122="","",'MASTER DATA'!AB122)</f>
        <v>SINGLE-SIGNAL</v>
      </c>
      <c r="AC29" s="16" t="str">
        <f>IF('MASTER DATA'!AC122="","",'MASTER DATA'!AC122)</f>
        <v>Settlement Authorization</v>
      </c>
    </row>
    <row r="30" spans="1:29" x14ac:dyDescent="0.45">
      <c r="A30" t="str">
        <f>IF('MASTER DATA'!A123="","",'MASTER DATA'!A123)</f>
        <v>SYN-CLM-0122</v>
      </c>
      <c r="B30" t="str">
        <f>IF('MASTER DATA'!B123="","",'MASTER DATA'!B123)</f>
        <v>Synthetic Claimant 0122</v>
      </c>
      <c r="C30" t="str">
        <f>IF('MASTER DATA'!C123="","",'MASTER DATA'!C123)</f>
        <v>Claims Analyst A</v>
      </c>
      <c r="D30" t="str">
        <f>IF('MASTER DATA'!D123="","",'MASTER DATA'!D123)</f>
        <v>Synthetic Policyholder 084, LLC</v>
      </c>
      <c r="E30" s="15">
        <f>IF('MASTER DATA'!E123="","",'MASTER DATA'!E123)</f>
        <v>45678</v>
      </c>
      <c r="F30" s="16" t="str">
        <f>IF('MASTER DATA'!F123="","",'MASTER DATA'!F123)</f>
        <v>N</v>
      </c>
      <c r="G30" s="17" t="str">
        <f>IF('MASTER DATA'!G123="","",'MASTER DATA'!G123)</f>
        <v/>
      </c>
      <c r="H30" s="16" t="str">
        <f>IF('MASTER DATA'!H123="","",'MASTER DATA'!H123)</f>
        <v/>
      </c>
      <c r="I30" s="15" t="str">
        <f>IF('MASTER DATA'!I123="","",'MASTER DATA'!I123)</f>
        <v/>
      </c>
      <c r="J30" s="16" t="str">
        <f>IF('MASTER DATA'!J123="","",'MASTER DATA'!J123)</f>
        <v>N</v>
      </c>
      <c r="K30" s="15" t="str">
        <f>IF('MASTER DATA'!K123="","",'MASTER DATA'!K123)</f>
        <v/>
      </c>
      <c r="L30" s="16" t="str">
        <f>IF('MASTER DATA'!L123="","",'MASTER DATA'!L123)</f>
        <v/>
      </c>
      <c r="M30" s="16" t="str">
        <f>IF('MASTER DATA'!M123="","",'MASTER DATA'!M123)</f>
        <v>N</v>
      </c>
      <c r="N30" s="15" t="str">
        <f>IF('MASTER DATA'!N123="","",'MASTER DATA'!N123)</f>
        <v/>
      </c>
      <c r="O30" s="16" t="str">
        <f>IF('MASTER DATA'!O123="","",'MASTER DATA'!O123)</f>
        <v/>
      </c>
      <c r="P30" s="16" t="str">
        <f>IF('MASTER DATA'!P123="","",'MASTER DATA'!P123)</f>
        <v>Y</v>
      </c>
      <c r="Q30" s="16" t="str">
        <f>IF('MASTER DATA'!Q123="","",'MASTER DATA'!Q123)</f>
        <v>Denied Treatment Requests; MMI Date Reported; Non-Renewed Account</v>
      </c>
      <c r="R30" s="16" t="str">
        <f>IF('MASTER DATA'!R123="","",'MASTER DATA'!R123)</f>
        <v>MSA Eligible in Next 3 Years</v>
      </c>
      <c r="S30" s="16" t="str">
        <f>IF('MASTER DATA'!S123="","",'MASTER DATA'!S123)</f>
        <v>N</v>
      </c>
      <c r="T30" s="15" t="str">
        <f>IF('MASTER DATA'!T123="","",'MASTER DATA'!T123)</f>
        <v/>
      </c>
      <c r="U30" s="16" t="str">
        <f>IF('MASTER DATA'!U123="","",'MASTER DATA'!U123)</f>
        <v>N</v>
      </c>
      <c r="V30" s="16" t="str">
        <f>IF('MASTER DATA'!V123="","",'MASTER DATA'!V123)</f>
        <v>Y</v>
      </c>
      <c r="W30" s="16" t="str">
        <f>IF('MASTER DATA'!W123="","",'MASTER DATA'!W123)</f>
        <v>Y</v>
      </c>
      <c r="X30" s="16" t="str">
        <f>IF('MASTER DATA'!X123="","",'MASTER DATA'!X123)</f>
        <v>N</v>
      </c>
      <c r="Y30" s="16" t="str">
        <f>IF('MASTER DATA'!Y123="","",'MASTER DATA'!Y123)</f>
        <v>Y</v>
      </c>
      <c r="Z30" s="16" t="str">
        <f>IF('MASTER DATA'!Z123="","",'MASTER DATA'!Z123)</f>
        <v>Y</v>
      </c>
      <c r="AA30" s="16">
        <f>IF('MASTER DATA'!AA123="","",'MASTER DATA'!AA123)</f>
        <v>1</v>
      </c>
      <c r="AB30" s="16" t="str">
        <f>IF('MASTER DATA'!AB123="","",'MASTER DATA'!AB123)</f>
        <v>SINGLE-SIGNAL</v>
      </c>
      <c r="AC30" s="16" t="str">
        <f>IF('MASTER DATA'!AC123="","",'MASTER DATA'!AC123)</f>
        <v>Automated Claim Alert</v>
      </c>
    </row>
    <row r="31" spans="1:29" x14ac:dyDescent="0.45">
      <c r="A31" t="str">
        <f>IF('MASTER DATA'!A124="","",'MASTER DATA'!A124)</f>
        <v>SYN-CLM-0123</v>
      </c>
      <c r="B31" t="str">
        <f>IF('MASTER DATA'!B124="","",'MASTER DATA'!B124)</f>
        <v>Synthetic Claimant 0123</v>
      </c>
      <c r="C31" t="str">
        <f>IF('MASTER DATA'!C124="","",'MASTER DATA'!C124)</f>
        <v>Claims Analyst A</v>
      </c>
      <c r="D31" t="str">
        <f>IF('MASTER DATA'!D124="","",'MASTER DATA'!D124)</f>
        <v>Synthetic Policyholder 142, LLC</v>
      </c>
      <c r="E31" s="15">
        <f>IF('MASTER DATA'!E124="","",'MASTER DATA'!E124)</f>
        <v>44665</v>
      </c>
      <c r="F31" s="16" t="str">
        <f>IF('MASTER DATA'!F124="","",'MASTER DATA'!F124)</f>
        <v>N</v>
      </c>
      <c r="G31" s="17" t="str">
        <f>IF('MASTER DATA'!G124="","",'MASTER DATA'!G124)</f>
        <v/>
      </c>
      <c r="H31" s="16" t="str">
        <f>IF('MASTER DATA'!H124="","",'MASTER DATA'!H124)</f>
        <v/>
      </c>
      <c r="I31" s="15" t="str">
        <f>IF('MASTER DATA'!I124="","",'MASTER DATA'!I124)</f>
        <v/>
      </c>
      <c r="J31" s="16" t="str">
        <f>IF('MASTER DATA'!J124="","",'MASTER DATA'!J124)</f>
        <v>N</v>
      </c>
      <c r="K31" s="15" t="str">
        <f>IF('MASTER DATA'!K124="","",'MASTER DATA'!K124)</f>
        <v/>
      </c>
      <c r="L31" s="16" t="str">
        <f>IF('MASTER DATA'!L124="","",'MASTER DATA'!L124)</f>
        <v/>
      </c>
      <c r="M31" s="16" t="str">
        <f>IF('MASTER DATA'!M124="","",'MASTER DATA'!M124)</f>
        <v>Y</v>
      </c>
      <c r="N31" s="15">
        <f>IF('MASTER DATA'!N124="","",'MASTER DATA'!N124)</f>
        <v>46462</v>
      </c>
      <c r="O31" s="16" t="str">
        <f>IF('MASTER DATA'!O124="","",'MASTER DATA'!O124)</f>
        <v>Synthetic QME Evaluator 32</v>
      </c>
      <c r="P31" s="16" t="str">
        <f>IF('MASTER DATA'!P124="","",'MASTER DATA'!P124)</f>
        <v>N</v>
      </c>
      <c r="Q31" s="16" t="str">
        <f>IF('MASTER DATA'!Q124="","",'MASTER DATA'!Q124)</f>
        <v/>
      </c>
      <c r="R31" s="16" t="str">
        <f>IF('MASTER DATA'!R124="","",'MASTER DATA'!R124)</f>
        <v/>
      </c>
      <c r="S31" s="16" t="str">
        <f>IF('MASTER DATA'!S124="","",'MASTER DATA'!S124)</f>
        <v>N</v>
      </c>
      <c r="T31" s="15" t="str">
        <f>IF('MASTER DATA'!T124="","",'MASTER DATA'!T124)</f>
        <v/>
      </c>
      <c r="U31" s="16" t="str">
        <f>IF('MASTER DATA'!U124="","",'MASTER DATA'!U124)</f>
        <v>N</v>
      </c>
      <c r="V31" s="16" t="str">
        <f>IF('MASTER DATA'!V124="","",'MASTER DATA'!V124)</f>
        <v>N</v>
      </c>
      <c r="W31" s="16" t="str">
        <f>IF('MASTER DATA'!W124="","",'MASTER DATA'!W124)</f>
        <v>N</v>
      </c>
      <c r="X31" s="16" t="str">
        <f>IF('MASTER DATA'!X124="","",'MASTER DATA'!X124)</f>
        <v>N</v>
      </c>
      <c r="Y31" s="16" t="str">
        <f>IF('MASTER DATA'!Y124="","",'MASTER DATA'!Y124)</f>
        <v>N</v>
      </c>
      <c r="Z31" s="16" t="str">
        <f>IF('MASTER DATA'!Z124="","",'MASTER DATA'!Z124)</f>
        <v>N</v>
      </c>
      <c r="AA31" s="16">
        <f>IF('MASTER DATA'!AA124="","",'MASTER DATA'!AA124)</f>
        <v>1</v>
      </c>
      <c r="AB31" s="16" t="str">
        <f>IF('MASTER DATA'!AB124="","",'MASTER DATA'!AB124)</f>
        <v>SINGLE-SIGNAL</v>
      </c>
      <c r="AC31" s="16" t="str">
        <f>IF('MASTER DATA'!AC124="","",'MASTER DATA'!AC124)</f>
        <v>Pending QME</v>
      </c>
    </row>
    <row r="32" spans="1:29" x14ac:dyDescent="0.45">
      <c r="A32" t="str">
        <f>IF('MASTER DATA'!A125="","",'MASTER DATA'!A125)</f>
        <v>SYN-CLM-0124</v>
      </c>
      <c r="B32" t="str">
        <f>IF('MASTER DATA'!B125="","",'MASTER DATA'!B125)</f>
        <v>Synthetic Claimant 0124</v>
      </c>
      <c r="C32" t="str">
        <f>IF('MASTER DATA'!C125="","",'MASTER DATA'!C125)</f>
        <v>Claims Analyst A</v>
      </c>
      <c r="D32" t="str">
        <f>IF('MASTER DATA'!D125="","",'MASTER DATA'!D125)</f>
        <v>Synthetic Policyholder 035, LLC</v>
      </c>
      <c r="E32" s="15">
        <f>IF('MASTER DATA'!E125="","",'MASTER DATA'!E125)</f>
        <v>44730</v>
      </c>
      <c r="F32" s="16" t="str">
        <f>IF('MASTER DATA'!F125="","",'MASTER DATA'!F125)</f>
        <v>N</v>
      </c>
      <c r="G32" s="17" t="str">
        <f>IF('MASTER DATA'!G125="","",'MASTER DATA'!G125)</f>
        <v/>
      </c>
      <c r="H32" s="16" t="str">
        <f>IF('MASTER DATA'!H125="","",'MASTER DATA'!H125)</f>
        <v/>
      </c>
      <c r="I32" s="15" t="str">
        <f>IF('MASTER DATA'!I125="","",'MASTER DATA'!I125)</f>
        <v/>
      </c>
      <c r="J32" s="16" t="str">
        <f>IF('MASTER DATA'!J125="","",'MASTER DATA'!J125)</f>
        <v>N</v>
      </c>
      <c r="K32" s="15" t="str">
        <f>IF('MASTER DATA'!K125="","",'MASTER DATA'!K125)</f>
        <v/>
      </c>
      <c r="L32" s="16" t="str">
        <f>IF('MASTER DATA'!L125="","",'MASTER DATA'!L125)</f>
        <v/>
      </c>
      <c r="M32" s="16" t="str">
        <f>IF('MASTER DATA'!M125="","",'MASTER DATA'!M125)</f>
        <v>N</v>
      </c>
      <c r="N32" s="15" t="str">
        <f>IF('MASTER DATA'!N125="","",'MASTER DATA'!N125)</f>
        <v/>
      </c>
      <c r="O32" s="16" t="str">
        <f>IF('MASTER DATA'!O125="","",'MASTER DATA'!O125)</f>
        <v/>
      </c>
      <c r="P32" s="16" t="str">
        <f>IF('MASTER DATA'!P125="","",'MASTER DATA'!P125)</f>
        <v>Y</v>
      </c>
      <c r="Q32" s="16" t="str">
        <f>IF('MASTER DATA'!Q125="","",'MASTER DATA'!Q125)</f>
        <v>Non-Renewed Account; Surgery Requested</v>
      </c>
      <c r="R32" s="16" t="str">
        <f>IF('MASTER DATA'!R125="","",'MASTER DATA'!R125)</f>
        <v>MMI Date Reported; MSA Eligible in Next 3 Years</v>
      </c>
      <c r="S32" s="16" t="str">
        <f>IF('MASTER DATA'!S125="","",'MASTER DATA'!S125)</f>
        <v>N</v>
      </c>
      <c r="T32" s="15" t="str">
        <f>IF('MASTER DATA'!T125="","",'MASTER DATA'!T125)</f>
        <v/>
      </c>
      <c r="U32" s="16" t="str">
        <f>IF('MASTER DATA'!U125="","",'MASTER DATA'!U125)</f>
        <v>Y</v>
      </c>
      <c r="V32" s="16" t="str">
        <f>IF('MASTER DATA'!V125="","",'MASTER DATA'!V125)</f>
        <v>Y</v>
      </c>
      <c r="W32" s="16" t="str">
        <f>IF('MASTER DATA'!W125="","",'MASTER DATA'!W125)</f>
        <v>N</v>
      </c>
      <c r="X32" s="16" t="str">
        <f>IF('MASTER DATA'!X125="","",'MASTER DATA'!X125)</f>
        <v>N</v>
      </c>
      <c r="Y32" s="16" t="str">
        <f>IF('MASTER DATA'!Y125="","",'MASTER DATA'!Y125)</f>
        <v>Y</v>
      </c>
      <c r="Z32" s="16" t="str">
        <f>IF('MASTER DATA'!Z125="","",'MASTER DATA'!Z125)</f>
        <v>Y</v>
      </c>
      <c r="AA32" s="16">
        <f>IF('MASTER DATA'!AA125="","",'MASTER DATA'!AA125)</f>
        <v>1</v>
      </c>
      <c r="AB32" s="16" t="str">
        <f>IF('MASTER DATA'!AB125="","",'MASTER DATA'!AB125)</f>
        <v>SINGLE-SIGNAL</v>
      </c>
      <c r="AC32" s="16" t="str">
        <f>IF('MASTER DATA'!AC125="","",'MASTER DATA'!AC125)</f>
        <v>Automated Claim Alert</v>
      </c>
    </row>
    <row r="33" spans="1:29" x14ac:dyDescent="0.45">
      <c r="A33" t="str">
        <f>IF('MASTER DATA'!A126="","",'MASTER DATA'!A126)</f>
        <v>SYN-CLM-0125</v>
      </c>
      <c r="B33" t="str">
        <f>IF('MASTER DATA'!B126="","",'MASTER DATA'!B126)</f>
        <v>Synthetic Claimant 0125</v>
      </c>
      <c r="C33" t="str">
        <f>IF('MASTER DATA'!C126="","",'MASTER DATA'!C126)</f>
        <v>Claims Analyst A</v>
      </c>
      <c r="D33" t="str">
        <f>IF('MASTER DATA'!D126="","",'MASTER DATA'!D126)</f>
        <v>Synthetic Policyholder 062, LLC</v>
      </c>
      <c r="E33" s="15">
        <f>IF('MASTER DATA'!E126="","",'MASTER DATA'!E126)</f>
        <v>45090</v>
      </c>
      <c r="F33" s="16" t="str">
        <f>IF('MASTER DATA'!F126="","",'MASTER DATA'!F126)</f>
        <v>N</v>
      </c>
      <c r="G33" s="17" t="str">
        <f>IF('MASTER DATA'!G126="","",'MASTER DATA'!G126)</f>
        <v/>
      </c>
      <c r="H33" s="16" t="str">
        <f>IF('MASTER DATA'!H126="","",'MASTER DATA'!H126)</f>
        <v/>
      </c>
      <c r="I33" s="15" t="str">
        <f>IF('MASTER DATA'!I126="","",'MASTER DATA'!I126)</f>
        <v/>
      </c>
      <c r="J33" s="16" t="str">
        <f>IF('MASTER DATA'!J126="","",'MASTER DATA'!J126)</f>
        <v>N</v>
      </c>
      <c r="K33" s="15" t="str">
        <f>IF('MASTER DATA'!K126="","",'MASTER DATA'!K126)</f>
        <v/>
      </c>
      <c r="L33" s="16" t="str">
        <f>IF('MASTER DATA'!L126="","",'MASTER DATA'!L126)</f>
        <v/>
      </c>
      <c r="M33" s="16" t="str">
        <f>IF('MASTER DATA'!M126="","",'MASTER DATA'!M126)</f>
        <v>Y</v>
      </c>
      <c r="N33" s="15">
        <f>IF('MASTER DATA'!N126="","",'MASTER DATA'!N126)</f>
        <v>45863</v>
      </c>
      <c r="O33" s="16" t="str">
        <f>IF('MASTER DATA'!O126="","",'MASTER DATA'!O126)</f>
        <v>Synthetic QME Evaluator 10</v>
      </c>
      <c r="P33" s="16" t="str">
        <f>IF('MASTER DATA'!P126="","",'MASTER DATA'!P126)</f>
        <v>N</v>
      </c>
      <c r="Q33" s="16" t="str">
        <f>IF('MASTER DATA'!Q126="","",'MASTER DATA'!Q126)</f>
        <v/>
      </c>
      <c r="R33" s="16" t="str">
        <f>IF('MASTER DATA'!R126="","",'MASTER DATA'!R126)</f>
        <v/>
      </c>
      <c r="S33" s="16" t="str">
        <f>IF('MASTER DATA'!S126="","",'MASTER DATA'!S126)</f>
        <v>N</v>
      </c>
      <c r="T33" s="15" t="str">
        <f>IF('MASTER DATA'!T126="","",'MASTER DATA'!T126)</f>
        <v/>
      </c>
      <c r="U33" s="16" t="str">
        <f>IF('MASTER DATA'!U126="","",'MASTER DATA'!U126)</f>
        <v>N</v>
      </c>
      <c r="V33" s="16" t="str">
        <f>IF('MASTER DATA'!V126="","",'MASTER DATA'!V126)</f>
        <v>N</v>
      </c>
      <c r="W33" s="16" t="str">
        <f>IF('MASTER DATA'!W126="","",'MASTER DATA'!W126)</f>
        <v>N</v>
      </c>
      <c r="X33" s="16" t="str">
        <f>IF('MASTER DATA'!X126="","",'MASTER DATA'!X126)</f>
        <v>N</v>
      </c>
      <c r="Y33" s="16" t="str">
        <f>IF('MASTER DATA'!Y126="","",'MASTER DATA'!Y126)</f>
        <v>N</v>
      </c>
      <c r="Z33" s="16" t="str">
        <f>IF('MASTER DATA'!Z126="","",'MASTER DATA'!Z126)</f>
        <v>N</v>
      </c>
      <c r="AA33" s="16">
        <f>IF('MASTER DATA'!AA126="","",'MASTER DATA'!AA126)</f>
        <v>1</v>
      </c>
      <c r="AB33" s="16" t="str">
        <f>IF('MASTER DATA'!AB126="","",'MASTER DATA'!AB126)</f>
        <v>SINGLE-SIGNAL</v>
      </c>
      <c r="AC33" s="16" t="str">
        <f>IF('MASTER DATA'!AC126="","",'MASTER DATA'!AC126)</f>
        <v>Pending QME</v>
      </c>
    </row>
    <row r="34" spans="1:29" x14ac:dyDescent="0.45">
      <c r="A34" t="str">
        <f>IF('MASTER DATA'!A127="","",'MASTER DATA'!A127)</f>
        <v>SYN-CLM-0126</v>
      </c>
      <c r="B34" t="str">
        <f>IF('MASTER DATA'!B127="","",'MASTER DATA'!B127)</f>
        <v>Synthetic Claimant 0126</v>
      </c>
      <c r="C34" t="str">
        <f>IF('MASTER DATA'!C127="","",'MASTER DATA'!C127)</f>
        <v>Claims Analyst A</v>
      </c>
      <c r="D34" t="str">
        <f>IF('MASTER DATA'!D127="","",'MASTER DATA'!D127)</f>
        <v>Synthetic Policyholder 042, LLC</v>
      </c>
      <c r="E34" s="15">
        <f>IF('MASTER DATA'!E127="","",'MASTER DATA'!E127)</f>
        <v>44638</v>
      </c>
      <c r="F34" s="16" t="str">
        <f>IF('MASTER DATA'!F127="","",'MASTER DATA'!F127)</f>
        <v>N</v>
      </c>
      <c r="G34" s="17" t="str">
        <f>IF('MASTER DATA'!G127="","",'MASTER DATA'!G127)</f>
        <v/>
      </c>
      <c r="H34" s="16" t="str">
        <f>IF('MASTER DATA'!H127="","",'MASTER DATA'!H127)</f>
        <v/>
      </c>
      <c r="I34" s="15" t="str">
        <f>IF('MASTER DATA'!I127="","",'MASTER DATA'!I127)</f>
        <v/>
      </c>
      <c r="J34" s="16" t="str">
        <f>IF('MASTER DATA'!J127="","",'MASTER DATA'!J127)</f>
        <v>Y</v>
      </c>
      <c r="K34" s="15">
        <f>IF('MASTER DATA'!K127="","",'MASTER DATA'!K127)</f>
        <v>45152</v>
      </c>
      <c r="L34" s="16" t="str">
        <f>IF('MASTER DATA'!L127="","",'MASTER DATA'!L127)</f>
        <v>N</v>
      </c>
      <c r="M34" s="16" t="str">
        <f>IF('MASTER DATA'!M127="","",'MASTER DATA'!M127)</f>
        <v>N</v>
      </c>
      <c r="N34" s="15" t="str">
        <f>IF('MASTER DATA'!N127="","",'MASTER DATA'!N127)</f>
        <v/>
      </c>
      <c r="O34" s="16" t="str">
        <f>IF('MASTER DATA'!O127="","",'MASTER DATA'!O127)</f>
        <v/>
      </c>
      <c r="P34" s="16" t="str">
        <f>IF('MASTER DATA'!P127="","",'MASTER DATA'!P127)</f>
        <v>N</v>
      </c>
      <c r="Q34" s="16" t="str">
        <f>IF('MASTER DATA'!Q127="","",'MASTER DATA'!Q127)</f>
        <v/>
      </c>
      <c r="R34" s="16" t="str">
        <f>IF('MASTER DATA'!R127="","",'MASTER DATA'!R127)</f>
        <v/>
      </c>
      <c r="S34" s="16" t="str">
        <f>IF('MASTER DATA'!S127="","",'MASTER DATA'!S127)</f>
        <v>N</v>
      </c>
      <c r="T34" s="15" t="str">
        <f>IF('MASTER DATA'!T127="","",'MASTER DATA'!T127)</f>
        <v/>
      </c>
      <c r="U34" s="16" t="str">
        <f>IF('MASTER DATA'!U127="","",'MASTER DATA'!U127)</f>
        <v>N</v>
      </c>
      <c r="V34" s="16" t="str">
        <f>IF('MASTER DATA'!V127="","",'MASTER DATA'!V127)</f>
        <v>N</v>
      </c>
      <c r="W34" s="16" t="str">
        <f>IF('MASTER DATA'!W127="","",'MASTER DATA'!W127)</f>
        <v>N</v>
      </c>
      <c r="X34" s="16" t="str">
        <f>IF('MASTER DATA'!X127="","",'MASTER DATA'!X127)</f>
        <v>N</v>
      </c>
      <c r="Y34" s="16" t="str">
        <f>IF('MASTER DATA'!Y127="","",'MASTER DATA'!Y127)</f>
        <v>N</v>
      </c>
      <c r="Z34" s="16" t="str">
        <f>IF('MASTER DATA'!Z127="","",'MASTER DATA'!Z127)</f>
        <v>N</v>
      </c>
      <c r="AA34" s="16">
        <f>IF('MASTER DATA'!AA127="","",'MASTER DATA'!AA127)</f>
        <v>1</v>
      </c>
      <c r="AB34" s="16" t="str">
        <f>IF('MASTER DATA'!AB127="","",'MASTER DATA'!AB127)</f>
        <v>SINGLE-SIGNAL</v>
      </c>
      <c r="AC34" s="16" t="str">
        <f>IF('MASTER DATA'!AC127="","",'MASTER DATA'!AC127)</f>
        <v>Open Stipulation</v>
      </c>
    </row>
    <row r="35" spans="1:29" x14ac:dyDescent="0.45">
      <c r="A35" t="str">
        <f>IF('MASTER DATA'!A128="","",'MASTER DATA'!A128)</f>
        <v>SYN-CLM-0127</v>
      </c>
      <c r="B35" t="str">
        <f>IF('MASTER DATA'!B128="","",'MASTER DATA'!B128)</f>
        <v>Synthetic Claimant 0127</v>
      </c>
      <c r="C35" t="str">
        <f>IF('MASTER DATA'!C128="","",'MASTER DATA'!C128)</f>
        <v>Claims Analyst A</v>
      </c>
      <c r="D35" t="str">
        <f>IF('MASTER DATA'!D128="","",'MASTER DATA'!D128)</f>
        <v>Synthetic Policyholder 178, LLC</v>
      </c>
      <c r="E35" s="15">
        <f>IF('MASTER DATA'!E128="","",'MASTER DATA'!E128)</f>
        <v>45306</v>
      </c>
      <c r="F35" s="16" t="str">
        <f>IF('MASTER DATA'!F128="","",'MASTER DATA'!F128)</f>
        <v>Y</v>
      </c>
      <c r="G35" s="17">
        <f>IF('MASTER DATA'!G128="","",'MASTER DATA'!G128)</f>
        <v>10750</v>
      </c>
      <c r="H35" s="16" t="str">
        <f>IF('MASTER DATA'!H128="","",'MASTER DATA'!H128)</f>
        <v>Synthetic Approver 03</v>
      </c>
      <c r="I35" s="15">
        <f>IF('MASTER DATA'!I128="","",'MASTER DATA'!I128)</f>
        <v>46790</v>
      </c>
      <c r="J35" s="16" t="str">
        <f>IF('MASTER DATA'!J128="","",'MASTER DATA'!J128)</f>
        <v>N</v>
      </c>
      <c r="K35" s="15" t="str">
        <f>IF('MASTER DATA'!K128="","",'MASTER DATA'!K128)</f>
        <v/>
      </c>
      <c r="L35" s="16" t="str">
        <f>IF('MASTER DATA'!L128="","",'MASTER DATA'!L128)</f>
        <v>N</v>
      </c>
      <c r="M35" s="16" t="str">
        <f>IF('MASTER DATA'!M128="","",'MASTER DATA'!M128)</f>
        <v>N</v>
      </c>
      <c r="N35" s="15" t="str">
        <f>IF('MASTER DATA'!N128="","",'MASTER DATA'!N128)</f>
        <v/>
      </c>
      <c r="O35" s="16" t="str">
        <f>IF('MASTER DATA'!O128="","",'MASTER DATA'!O128)</f>
        <v/>
      </c>
      <c r="P35" s="16" t="str">
        <f>IF('MASTER DATA'!P128="","",'MASTER DATA'!P128)</f>
        <v>Y</v>
      </c>
      <c r="Q35" s="16" t="str">
        <f>IF('MASTER DATA'!Q128="","",'MASTER DATA'!Q128)</f>
        <v>MSA Eligible in Next 3 Years; Surgery Requested</v>
      </c>
      <c r="R35" s="16" t="str">
        <f>IF('MASTER DATA'!R128="","",'MASTER DATA'!R128)</f>
        <v>Non-Renewed Account; Denied Treatment Requests</v>
      </c>
      <c r="S35" s="16" t="str">
        <f>IF('MASTER DATA'!S128="","",'MASTER DATA'!S128)</f>
        <v>Y</v>
      </c>
      <c r="T35" s="15">
        <f>IF('MASTER DATA'!T128="","",'MASTER DATA'!T128)</f>
        <v>46667</v>
      </c>
      <c r="U35" s="16" t="str">
        <f>IF('MASTER DATA'!U128="","",'MASTER DATA'!U128)</f>
        <v>Y</v>
      </c>
      <c r="V35" s="16" t="str">
        <f>IF('MASTER DATA'!V128="","",'MASTER DATA'!V128)</f>
        <v>N</v>
      </c>
      <c r="W35" s="16" t="str">
        <f>IF('MASTER DATA'!W128="","",'MASTER DATA'!W128)</f>
        <v>Y</v>
      </c>
      <c r="X35" s="16" t="str">
        <f>IF('MASTER DATA'!X128="","",'MASTER DATA'!X128)</f>
        <v>N</v>
      </c>
      <c r="Y35" s="16" t="str">
        <f>IF('MASTER DATA'!Y128="","",'MASTER DATA'!Y128)</f>
        <v>Y</v>
      </c>
      <c r="Z35" s="16" t="str">
        <f>IF('MASTER DATA'!Z128="","",'MASTER DATA'!Z128)</f>
        <v>Y</v>
      </c>
      <c r="AA35" s="16">
        <f>IF('MASTER DATA'!AA128="","",'MASTER DATA'!AA128)</f>
        <v>3</v>
      </c>
      <c r="AB35" s="16" t="str">
        <f>IF('MASTER DATA'!AB128="","",'MASTER DATA'!AB128)</f>
        <v>ELEVATED MULTI-SIGNAL</v>
      </c>
      <c r="AC35" s="16" t="str">
        <f>IF('MASTER DATA'!AC128="","",'MASTER DATA'!AC128)</f>
        <v>Settlement Authorization | Automated Claim Alert | Inactive Customer</v>
      </c>
    </row>
    <row r="36" spans="1:29" x14ac:dyDescent="0.45">
      <c r="A36" t="str">
        <f>IF('MASTER DATA'!A129="","",'MASTER DATA'!A129)</f>
        <v>SYN-CLM-0128</v>
      </c>
      <c r="B36" t="str">
        <f>IF('MASTER DATA'!B129="","",'MASTER DATA'!B129)</f>
        <v>Synthetic Claimant 0128</v>
      </c>
      <c r="C36" t="str">
        <f>IF('MASTER DATA'!C129="","",'MASTER DATA'!C129)</f>
        <v>Claims Analyst A</v>
      </c>
      <c r="D36" t="str">
        <f>IF('MASTER DATA'!D129="","",'MASTER DATA'!D129)</f>
        <v>Synthetic Policyholder 021, LLC</v>
      </c>
      <c r="E36" s="15">
        <f>IF('MASTER DATA'!E129="","",'MASTER DATA'!E129)</f>
        <v>44410</v>
      </c>
      <c r="F36" s="16" t="str">
        <f>IF('MASTER DATA'!F129="","",'MASTER DATA'!F129)</f>
        <v>Y</v>
      </c>
      <c r="G36" s="17">
        <f>IF('MASTER DATA'!G129="","",'MASTER DATA'!G129)</f>
        <v>144250</v>
      </c>
      <c r="H36" s="16" t="str">
        <f>IF('MASTER DATA'!H129="","",'MASTER DATA'!H129)</f>
        <v>Synthetic Approver 11</v>
      </c>
      <c r="I36" s="15">
        <f>IF('MASTER DATA'!I129="","",'MASTER DATA'!I129)</f>
        <v>46058</v>
      </c>
      <c r="J36" s="16" t="str">
        <f>IF('MASTER DATA'!J129="","",'MASTER DATA'!J129)</f>
        <v>Y</v>
      </c>
      <c r="K36" s="15">
        <f>IF('MASTER DATA'!K129="","",'MASTER DATA'!K129)</f>
        <v>45735</v>
      </c>
      <c r="L36" s="16" t="str">
        <f>IF('MASTER DATA'!L129="","",'MASTER DATA'!L129)</f>
        <v>N</v>
      </c>
      <c r="M36" s="16" t="str">
        <f>IF('MASTER DATA'!M129="","",'MASTER DATA'!M129)</f>
        <v>N</v>
      </c>
      <c r="N36" s="15" t="str">
        <f>IF('MASTER DATA'!N129="","",'MASTER DATA'!N129)</f>
        <v/>
      </c>
      <c r="O36" s="16" t="str">
        <f>IF('MASTER DATA'!O129="","",'MASTER DATA'!O129)</f>
        <v/>
      </c>
      <c r="P36" s="16" t="str">
        <f>IF('MASTER DATA'!P129="","",'MASTER DATA'!P129)</f>
        <v>N</v>
      </c>
      <c r="Q36" s="16" t="str">
        <f>IF('MASTER DATA'!Q129="","",'MASTER DATA'!Q129)</f>
        <v/>
      </c>
      <c r="R36" s="16" t="str">
        <f>IF('MASTER DATA'!R129="","",'MASTER DATA'!R129)</f>
        <v/>
      </c>
      <c r="S36" s="16" t="str">
        <f>IF('MASTER DATA'!S129="","",'MASTER DATA'!S129)</f>
        <v>N</v>
      </c>
      <c r="T36" s="15" t="str">
        <f>IF('MASTER DATA'!T129="","",'MASTER DATA'!T129)</f>
        <v/>
      </c>
      <c r="U36" s="16" t="str">
        <f>IF('MASTER DATA'!U129="","",'MASTER DATA'!U129)</f>
        <v>N</v>
      </c>
      <c r="V36" s="16" t="str">
        <f>IF('MASTER DATA'!V129="","",'MASTER DATA'!V129)</f>
        <v>N</v>
      </c>
      <c r="W36" s="16" t="str">
        <f>IF('MASTER DATA'!W129="","",'MASTER DATA'!W129)</f>
        <v>N</v>
      </c>
      <c r="X36" s="16" t="str">
        <f>IF('MASTER DATA'!X129="","",'MASTER DATA'!X129)</f>
        <v>N</v>
      </c>
      <c r="Y36" s="16" t="str">
        <f>IF('MASTER DATA'!Y129="","",'MASTER DATA'!Y129)</f>
        <v>N</v>
      </c>
      <c r="Z36" s="16" t="str">
        <f>IF('MASTER DATA'!Z129="","",'MASTER DATA'!Z129)</f>
        <v>N</v>
      </c>
      <c r="AA36" s="16">
        <f>IF('MASTER DATA'!AA129="","",'MASTER DATA'!AA129)</f>
        <v>2</v>
      </c>
      <c r="AB36" s="16" t="str">
        <f>IF('MASTER DATA'!AB129="","",'MASTER DATA'!AB129)</f>
        <v>MULTI-SIGNAL</v>
      </c>
      <c r="AC36" s="16" t="str">
        <f>IF('MASTER DATA'!AC129="","",'MASTER DATA'!AC129)</f>
        <v>Settlement Authorization | Open Stipulation</v>
      </c>
    </row>
    <row r="37" spans="1:29" x14ac:dyDescent="0.45">
      <c r="A37" t="str">
        <f>IF('MASTER DATA'!A130="","",'MASTER DATA'!A130)</f>
        <v>SYN-CLM-0129</v>
      </c>
      <c r="B37" t="str">
        <f>IF('MASTER DATA'!B130="","",'MASTER DATA'!B130)</f>
        <v>Synthetic Claimant 0129</v>
      </c>
      <c r="C37" t="str">
        <f>IF('MASTER DATA'!C130="","",'MASTER DATA'!C130)</f>
        <v>Claims Analyst A</v>
      </c>
      <c r="D37" t="str">
        <f>IF('MASTER DATA'!D130="","",'MASTER DATA'!D130)</f>
        <v>Synthetic Policyholder 146, LLC</v>
      </c>
      <c r="E37" s="15">
        <f>IF('MASTER DATA'!E130="","",'MASTER DATA'!E130)</f>
        <v>45750</v>
      </c>
      <c r="F37" s="16" t="str">
        <f>IF('MASTER DATA'!F130="","",'MASTER DATA'!F130)</f>
        <v>Y</v>
      </c>
      <c r="G37" s="17">
        <f>IF('MASTER DATA'!G130="","",'MASTER DATA'!G130)</f>
        <v>80000</v>
      </c>
      <c r="H37" s="16" t="str">
        <f>IF('MASTER DATA'!H130="","",'MASTER DATA'!H130)</f>
        <v>Synthetic Approver 11</v>
      </c>
      <c r="I37" s="15">
        <f>IF('MASTER DATA'!I130="","",'MASTER DATA'!I130)</f>
        <v>46271</v>
      </c>
      <c r="J37" s="16" t="str">
        <f>IF('MASTER DATA'!J130="","",'MASTER DATA'!J130)</f>
        <v>N</v>
      </c>
      <c r="K37" s="15" t="str">
        <f>IF('MASTER DATA'!K130="","",'MASTER DATA'!K130)</f>
        <v/>
      </c>
      <c r="L37" s="16" t="str">
        <f>IF('MASTER DATA'!L130="","",'MASTER DATA'!L130)</f>
        <v>Y</v>
      </c>
      <c r="M37" s="16" t="str">
        <f>IF('MASTER DATA'!M130="","",'MASTER DATA'!M130)</f>
        <v>N</v>
      </c>
      <c r="N37" s="15" t="str">
        <f>IF('MASTER DATA'!N130="","",'MASTER DATA'!N130)</f>
        <v/>
      </c>
      <c r="O37" s="16" t="str">
        <f>IF('MASTER DATA'!O130="","",'MASTER DATA'!O130)</f>
        <v/>
      </c>
      <c r="P37" s="16" t="str">
        <f>IF('MASTER DATA'!P130="","",'MASTER DATA'!P130)</f>
        <v>Y</v>
      </c>
      <c r="Q37" s="16" t="str">
        <f>IF('MASTER DATA'!Q130="","",'MASTER DATA'!Q130)</f>
        <v>Specialist Consultation Requested; MMI Date Reported; Non-Renewed Account</v>
      </c>
      <c r="R37" s="16" t="str">
        <f>IF('MASTER DATA'!R130="","",'MASTER DATA'!R130)</f>
        <v>Surgery Requested; Denied Treatment Requests</v>
      </c>
      <c r="S37" s="16" t="str">
        <f>IF('MASTER DATA'!S130="","",'MASTER DATA'!S130)</f>
        <v>N</v>
      </c>
      <c r="T37" s="15" t="str">
        <f>IF('MASTER DATA'!T130="","",'MASTER DATA'!T130)</f>
        <v/>
      </c>
      <c r="U37" s="16" t="str">
        <f>IF('MASTER DATA'!U130="","",'MASTER DATA'!U130)</f>
        <v>Y</v>
      </c>
      <c r="V37" s="16" t="str">
        <f>IF('MASTER DATA'!V130="","",'MASTER DATA'!V130)</f>
        <v>Y</v>
      </c>
      <c r="W37" s="16" t="str">
        <f>IF('MASTER DATA'!W130="","",'MASTER DATA'!W130)</f>
        <v>Y</v>
      </c>
      <c r="X37" s="16" t="str">
        <f>IF('MASTER DATA'!X130="","",'MASTER DATA'!X130)</f>
        <v>Y</v>
      </c>
      <c r="Y37" s="16" t="str">
        <f>IF('MASTER DATA'!Y130="","",'MASTER DATA'!Y130)</f>
        <v>Y</v>
      </c>
      <c r="Z37" s="16" t="str">
        <f>IF('MASTER DATA'!Z130="","",'MASTER DATA'!Z130)</f>
        <v>N</v>
      </c>
      <c r="AA37" s="16">
        <f>IF('MASTER DATA'!AA130="","",'MASTER DATA'!AA130)</f>
        <v>2</v>
      </c>
      <c r="AB37" s="16" t="str">
        <f>IF('MASTER DATA'!AB130="","",'MASTER DATA'!AB130)</f>
        <v>MULTI-SIGNAL</v>
      </c>
      <c r="AC37" s="16" t="str">
        <f>IF('MASTER DATA'!AC130="","",'MASTER DATA'!AC130)</f>
        <v>Settlement Authorization | Automated Claim Alert</v>
      </c>
    </row>
    <row r="38" spans="1:29" x14ac:dyDescent="0.45">
      <c r="A38" t="str">
        <f>IF('MASTER DATA'!A131="","",'MASTER DATA'!A131)</f>
        <v>SYN-CLM-0130</v>
      </c>
      <c r="B38" t="str">
        <f>IF('MASTER DATA'!B131="","",'MASTER DATA'!B131)</f>
        <v>Synthetic Claimant 0130</v>
      </c>
      <c r="C38" t="str">
        <f>IF('MASTER DATA'!C131="","",'MASTER DATA'!C131)</f>
        <v>Claims Analyst A</v>
      </c>
      <c r="D38" t="str">
        <f>IF('MASTER DATA'!D131="","",'MASTER DATA'!D131)</f>
        <v>Synthetic Policyholder 120, LLC</v>
      </c>
      <c r="E38" s="15">
        <f>IF('MASTER DATA'!E131="","",'MASTER DATA'!E131)</f>
        <v>44642</v>
      </c>
      <c r="F38" s="16" t="str">
        <f>IF('MASTER DATA'!F131="","",'MASTER DATA'!F131)</f>
        <v>N</v>
      </c>
      <c r="G38" s="17" t="str">
        <f>IF('MASTER DATA'!G131="","",'MASTER DATA'!G131)</f>
        <v/>
      </c>
      <c r="H38" s="16" t="str">
        <f>IF('MASTER DATA'!H131="","",'MASTER DATA'!H131)</f>
        <v/>
      </c>
      <c r="I38" s="15" t="str">
        <f>IF('MASTER DATA'!I131="","",'MASTER DATA'!I131)</f>
        <v/>
      </c>
      <c r="J38" s="16" t="str">
        <f>IF('MASTER DATA'!J131="","",'MASTER DATA'!J131)</f>
        <v>N</v>
      </c>
      <c r="K38" s="15" t="str">
        <f>IF('MASTER DATA'!K131="","",'MASTER DATA'!K131)</f>
        <v/>
      </c>
      <c r="L38" s="16" t="str">
        <f>IF('MASTER DATA'!L131="","",'MASTER DATA'!L131)</f>
        <v/>
      </c>
      <c r="M38" s="16" t="str">
        <f>IF('MASTER DATA'!M131="","",'MASTER DATA'!M131)</f>
        <v>Y</v>
      </c>
      <c r="N38" s="15">
        <f>IF('MASTER DATA'!N131="","",'MASTER DATA'!N131)</f>
        <v>46264</v>
      </c>
      <c r="O38" s="16" t="str">
        <f>IF('MASTER DATA'!O131="","",'MASTER DATA'!O131)</f>
        <v>Synthetic QME Evaluator 23</v>
      </c>
      <c r="P38" s="16" t="str">
        <f>IF('MASTER DATA'!P131="","",'MASTER DATA'!P131)</f>
        <v>Y</v>
      </c>
      <c r="Q38" s="16" t="str">
        <f>IF('MASTER DATA'!Q131="","",'MASTER DATA'!Q131)</f>
        <v>Non-Renewed Account; Denied Treatment Requests; Specialist Consultation Requested</v>
      </c>
      <c r="R38" s="16" t="str">
        <f>IF('MASTER DATA'!R131="","",'MASTER DATA'!R131)</f>
        <v/>
      </c>
      <c r="S38" s="16" t="str">
        <f>IF('MASTER DATA'!S131="","",'MASTER DATA'!S131)</f>
        <v>N</v>
      </c>
      <c r="T38" s="15" t="str">
        <f>IF('MASTER DATA'!T131="","",'MASTER DATA'!T131)</f>
        <v/>
      </c>
      <c r="U38" s="16" t="str">
        <f>IF('MASTER DATA'!U131="","",'MASTER DATA'!U131)</f>
        <v>N</v>
      </c>
      <c r="V38" s="16" t="str">
        <f>IF('MASTER DATA'!V131="","",'MASTER DATA'!V131)</f>
        <v>N</v>
      </c>
      <c r="W38" s="16" t="str">
        <f>IF('MASTER DATA'!W131="","",'MASTER DATA'!W131)</f>
        <v>Y</v>
      </c>
      <c r="X38" s="16" t="str">
        <f>IF('MASTER DATA'!X131="","",'MASTER DATA'!X131)</f>
        <v>Y</v>
      </c>
      <c r="Y38" s="16" t="str">
        <f>IF('MASTER DATA'!Y131="","",'MASTER DATA'!Y131)</f>
        <v>Y</v>
      </c>
      <c r="Z38" s="16" t="str">
        <f>IF('MASTER DATA'!Z131="","",'MASTER DATA'!Z131)</f>
        <v>N</v>
      </c>
      <c r="AA38" s="16">
        <f>IF('MASTER DATA'!AA131="","",'MASTER DATA'!AA131)</f>
        <v>2</v>
      </c>
      <c r="AB38" s="16" t="str">
        <f>IF('MASTER DATA'!AB131="","",'MASTER DATA'!AB131)</f>
        <v>MULTI-SIGNAL</v>
      </c>
      <c r="AC38" s="16" t="str">
        <f>IF('MASTER DATA'!AC131="","",'MASTER DATA'!AC131)</f>
        <v>Pending QME | Automated Claim Alert</v>
      </c>
    </row>
    <row r="39" spans="1:29" x14ac:dyDescent="0.45">
      <c r="A39" t="str">
        <f>IF('MASTER DATA'!A132="","",'MASTER DATA'!A132)</f>
        <v>SYN-CLM-0131</v>
      </c>
      <c r="B39" t="str">
        <f>IF('MASTER DATA'!B132="","",'MASTER DATA'!B132)</f>
        <v>Synthetic Claimant 0131</v>
      </c>
      <c r="C39" t="str">
        <f>IF('MASTER DATA'!C132="","",'MASTER DATA'!C132)</f>
        <v>Claims Analyst A</v>
      </c>
      <c r="D39" t="str">
        <f>IF('MASTER DATA'!D132="","",'MASTER DATA'!D132)</f>
        <v>Synthetic Policyholder 036, LLC</v>
      </c>
      <c r="E39" s="15">
        <f>IF('MASTER DATA'!E132="","",'MASTER DATA'!E132)</f>
        <v>44797</v>
      </c>
      <c r="F39" s="16" t="str">
        <f>IF('MASTER DATA'!F132="","",'MASTER DATA'!F132)</f>
        <v>Y</v>
      </c>
      <c r="G39" s="17">
        <f>IF('MASTER DATA'!G132="","",'MASTER DATA'!G132)</f>
        <v>97750</v>
      </c>
      <c r="H39" s="16" t="str">
        <f>IF('MASTER DATA'!H132="","",'MASTER DATA'!H132)</f>
        <v>Synthetic Approver 10</v>
      </c>
      <c r="I39" s="15">
        <f>IF('MASTER DATA'!I132="","",'MASTER DATA'!I132)</f>
        <v>45301</v>
      </c>
      <c r="J39" s="16" t="str">
        <f>IF('MASTER DATA'!J132="","",'MASTER DATA'!J132)</f>
        <v>N</v>
      </c>
      <c r="K39" s="15" t="str">
        <f>IF('MASTER DATA'!K132="","",'MASTER DATA'!K132)</f>
        <v/>
      </c>
      <c r="L39" s="16" t="str">
        <f>IF('MASTER DATA'!L132="","",'MASTER DATA'!L132)</f>
        <v>Y</v>
      </c>
      <c r="M39" s="16" t="str">
        <f>IF('MASTER DATA'!M132="","",'MASTER DATA'!M132)</f>
        <v>Y</v>
      </c>
      <c r="N39" s="15">
        <f>IF('MASTER DATA'!N132="","",'MASTER DATA'!N132)</f>
        <v>46222</v>
      </c>
      <c r="O39" s="16" t="str">
        <f>IF('MASTER DATA'!O132="","",'MASTER DATA'!O132)</f>
        <v>Synthetic QME Evaluator 15</v>
      </c>
      <c r="P39" s="16" t="str">
        <f>IF('MASTER DATA'!P132="","",'MASTER DATA'!P132)</f>
        <v>N</v>
      </c>
      <c r="Q39" s="16" t="str">
        <f>IF('MASTER DATA'!Q132="","",'MASTER DATA'!Q132)</f>
        <v/>
      </c>
      <c r="R39" s="16" t="str">
        <f>IF('MASTER DATA'!R132="","",'MASTER DATA'!R132)</f>
        <v/>
      </c>
      <c r="S39" s="16" t="str">
        <f>IF('MASTER DATA'!S132="","",'MASTER DATA'!S132)</f>
        <v>N</v>
      </c>
      <c r="T39" s="15" t="str">
        <f>IF('MASTER DATA'!T132="","",'MASTER DATA'!T132)</f>
        <v/>
      </c>
      <c r="U39" s="16" t="str">
        <f>IF('MASTER DATA'!U132="","",'MASTER DATA'!U132)</f>
        <v>N</v>
      </c>
      <c r="V39" s="16" t="str">
        <f>IF('MASTER DATA'!V132="","",'MASTER DATA'!V132)</f>
        <v>N</v>
      </c>
      <c r="W39" s="16" t="str">
        <f>IF('MASTER DATA'!W132="","",'MASTER DATA'!W132)</f>
        <v>N</v>
      </c>
      <c r="X39" s="16" t="str">
        <f>IF('MASTER DATA'!X132="","",'MASTER DATA'!X132)</f>
        <v>N</v>
      </c>
      <c r="Y39" s="16" t="str">
        <f>IF('MASTER DATA'!Y132="","",'MASTER DATA'!Y132)</f>
        <v>N</v>
      </c>
      <c r="Z39" s="16" t="str">
        <f>IF('MASTER DATA'!Z132="","",'MASTER DATA'!Z132)</f>
        <v>N</v>
      </c>
      <c r="AA39" s="16">
        <f>IF('MASTER DATA'!AA132="","",'MASTER DATA'!AA132)</f>
        <v>2</v>
      </c>
      <c r="AB39" s="16" t="str">
        <f>IF('MASTER DATA'!AB132="","",'MASTER DATA'!AB132)</f>
        <v>MULTI-SIGNAL</v>
      </c>
      <c r="AC39" s="16" t="str">
        <f>IF('MASTER DATA'!AC132="","",'MASTER DATA'!AC132)</f>
        <v>Settlement Authorization | Pending QME</v>
      </c>
    </row>
    <row r="40" spans="1:29" x14ac:dyDescent="0.45">
      <c r="A40" t="str">
        <f>IF('MASTER DATA'!A133="","",'MASTER DATA'!A133)</f>
        <v>SYN-CLM-0132</v>
      </c>
      <c r="B40" t="str">
        <f>IF('MASTER DATA'!B133="","",'MASTER DATA'!B133)</f>
        <v>Synthetic Claimant 0132</v>
      </c>
      <c r="C40" t="str">
        <f>IF('MASTER DATA'!C133="","",'MASTER DATA'!C133)</f>
        <v>Claims Analyst A</v>
      </c>
      <c r="D40" t="str">
        <f>IF('MASTER DATA'!D133="","",'MASTER DATA'!D133)</f>
        <v>Synthetic Policyholder 157, LLC</v>
      </c>
      <c r="E40" s="15">
        <f>IF('MASTER DATA'!E133="","",'MASTER DATA'!E133)</f>
        <v>45006</v>
      </c>
      <c r="F40" s="16" t="str">
        <f>IF('MASTER DATA'!F133="","",'MASTER DATA'!F133)</f>
        <v>N</v>
      </c>
      <c r="G40" s="17" t="str">
        <f>IF('MASTER DATA'!G133="","",'MASTER DATA'!G133)</f>
        <v/>
      </c>
      <c r="H40" s="16" t="str">
        <f>IF('MASTER DATA'!H133="","",'MASTER DATA'!H133)</f>
        <v/>
      </c>
      <c r="I40" s="15" t="str">
        <f>IF('MASTER DATA'!I133="","",'MASTER DATA'!I133)</f>
        <v/>
      </c>
      <c r="J40" s="16" t="str">
        <f>IF('MASTER DATA'!J133="","",'MASTER DATA'!J133)</f>
        <v>Y</v>
      </c>
      <c r="K40" s="15">
        <f>IF('MASTER DATA'!K133="","",'MASTER DATA'!K133)</f>
        <v>45248</v>
      </c>
      <c r="L40" s="16" t="str">
        <f>IF('MASTER DATA'!L133="","",'MASTER DATA'!L133)</f>
        <v>Y</v>
      </c>
      <c r="M40" s="16" t="str">
        <f>IF('MASTER DATA'!M133="","",'MASTER DATA'!M133)</f>
        <v>N</v>
      </c>
      <c r="N40" s="15" t="str">
        <f>IF('MASTER DATA'!N133="","",'MASTER DATA'!N133)</f>
        <v/>
      </c>
      <c r="O40" s="16" t="str">
        <f>IF('MASTER DATA'!O133="","",'MASTER DATA'!O133)</f>
        <v/>
      </c>
      <c r="P40" s="16" t="str">
        <f>IF('MASTER DATA'!P133="","",'MASTER DATA'!P133)</f>
        <v>N</v>
      </c>
      <c r="Q40" s="16" t="str">
        <f>IF('MASTER DATA'!Q133="","",'MASTER DATA'!Q133)</f>
        <v/>
      </c>
      <c r="R40" s="16" t="str">
        <f>IF('MASTER DATA'!R133="","",'MASTER DATA'!R133)</f>
        <v/>
      </c>
      <c r="S40" s="16" t="str">
        <f>IF('MASTER DATA'!S133="","",'MASTER DATA'!S133)</f>
        <v>N</v>
      </c>
      <c r="T40" s="15" t="str">
        <f>IF('MASTER DATA'!T133="","",'MASTER DATA'!T133)</f>
        <v/>
      </c>
      <c r="U40" s="16" t="str">
        <f>IF('MASTER DATA'!U133="","",'MASTER DATA'!U133)</f>
        <v>N</v>
      </c>
      <c r="V40" s="16" t="str">
        <f>IF('MASTER DATA'!V133="","",'MASTER DATA'!V133)</f>
        <v>N</v>
      </c>
      <c r="W40" s="16" t="str">
        <f>IF('MASTER DATA'!W133="","",'MASTER DATA'!W133)</f>
        <v>N</v>
      </c>
      <c r="X40" s="16" t="str">
        <f>IF('MASTER DATA'!X133="","",'MASTER DATA'!X133)</f>
        <v>N</v>
      </c>
      <c r="Y40" s="16" t="str">
        <f>IF('MASTER DATA'!Y133="","",'MASTER DATA'!Y133)</f>
        <v>N</v>
      </c>
      <c r="Z40" s="16" t="str">
        <f>IF('MASTER DATA'!Z133="","",'MASTER DATA'!Z133)</f>
        <v>N</v>
      </c>
      <c r="AA40" s="16">
        <f>IF('MASTER DATA'!AA133="","",'MASTER DATA'!AA133)</f>
        <v>1</v>
      </c>
      <c r="AB40" s="16" t="str">
        <f>IF('MASTER DATA'!AB133="","",'MASTER DATA'!AB133)</f>
        <v>SINGLE-SIGNAL</v>
      </c>
      <c r="AC40" s="16" t="str">
        <f>IF('MASTER DATA'!AC133="","",'MASTER DATA'!AC133)</f>
        <v>Open Stipulation</v>
      </c>
    </row>
    <row r="41" spans="1:29" x14ac:dyDescent="0.45">
      <c r="A41" t="str">
        <f>IF('MASTER DATA'!A134="","",'MASTER DATA'!A134)</f>
        <v>SYN-CLM-0133</v>
      </c>
      <c r="B41" t="str">
        <f>IF('MASTER DATA'!B134="","",'MASTER DATA'!B134)</f>
        <v>Synthetic Claimant 0133</v>
      </c>
      <c r="C41" t="str">
        <f>IF('MASTER DATA'!C134="","",'MASTER DATA'!C134)</f>
        <v>Claims Analyst A</v>
      </c>
      <c r="D41" t="str">
        <f>IF('MASTER DATA'!D134="","",'MASTER DATA'!D134)</f>
        <v>Synthetic Policyholder 035, LLC</v>
      </c>
      <c r="E41" s="15">
        <f>IF('MASTER DATA'!E134="","",'MASTER DATA'!E134)</f>
        <v>44431</v>
      </c>
      <c r="F41" s="16" t="str">
        <f>IF('MASTER DATA'!F134="","",'MASTER DATA'!F134)</f>
        <v>N</v>
      </c>
      <c r="G41" s="17" t="str">
        <f>IF('MASTER DATA'!G134="","",'MASTER DATA'!G134)</f>
        <v/>
      </c>
      <c r="H41" s="16" t="str">
        <f>IF('MASTER DATA'!H134="","",'MASTER DATA'!H134)</f>
        <v/>
      </c>
      <c r="I41" s="15" t="str">
        <f>IF('MASTER DATA'!I134="","",'MASTER DATA'!I134)</f>
        <v/>
      </c>
      <c r="J41" s="16" t="str">
        <f>IF('MASTER DATA'!J134="","",'MASTER DATA'!J134)</f>
        <v>Y</v>
      </c>
      <c r="K41" s="15">
        <f>IF('MASTER DATA'!K134="","",'MASTER DATA'!K134)</f>
        <v>45061</v>
      </c>
      <c r="L41" s="16" t="str">
        <f>IF('MASTER DATA'!L134="","",'MASTER DATA'!L134)</f>
        <v>N</v>
      </c>
      <c r="M41" s="16" t="str">
        <f>IF('MASTER DATA'!M134="","",'MASTER DATA'!M134)</f>
        <v>N</v>
      </c>
      <c r="N41" s="15" t="str">
        <f>IF('MASTER DATA'!N134="","",'MASTER DATA'!N134)</f>
        <v/>
      </c>
      <c r="O41" s="16" t="str">
        <f>IF('MASTER DATA'!O134="","",'MASTER DATA'!O134)</f>
        <v/>
      </c>
      <c r="P41" s="16" t="str">
        <f>IF('MASTER DATA'!P134="","",'MASTER DATA'!P134)</f>
        <v>N</v>
      </c>
      <c r="Q41" s="16" t="str">
        <f>IF('MASTER DATA'!Q134="","",'MASTER DATA'!Q134)</f>
        <v/>
      </c>
      <c r="R41" s="16" t="str">
        <f>IF('MASTER DATA'!R134="","",'MASTER DATA'!R134)</f>
        <v/>
      </c>
      <c r="S41" s="16" t="str">
        <f>IF('MASTER DATA'!S134="","",'MASTER DATA'!S134)</f>
        <v>Y</v>
      </c>
      <c r="T41" s="15">
        <f>IF('MASTER DATA'!T134="","",'MASTER DATA'!T134)</f>
        <v>46618</v>
      </c>
      <c r="U41" s="16" t="str">
        <f>IF('MASTER DATA'!U134="","",'MASTER DATA'!U134)</f>
        <v>N</v>
      </c>
      <c r="V41" s="16" t="str">
        <f>IF('MASTER DATA'!V134="","",'MASTER DATA'!V134)</f>
        <v>N</v>
      </c>
      <c r="W41" s="16" t="str">
        <f>IF('MASTER DATA'!W134="","",'MASTER DATA'!W134)</f>
        <v>N</v>
      </c>
      <c r="X41" s="16" t="str">
        <f>IF('MASTER DATA'!X134="","",'MASTER DATA'!X134)</f>
        <v>N</v>
      </c>
      <c r="Y41" s="16" t="str">
        <f>IF('MASTER DATA'!Y134="","",'MASTER DATA'!Y134)</f>
        <v>N</v>
      </c>
      <c r="Z41" s="16" t="str">
        <f>IF('MASTER DATA'!Z134="","",'MASTER DATA'!Z134)</f>
        <v>N</v>
      </c>
      <c r="AA41" s="16">
        <f>IF('MASTER DATA'!AA134="","",'MASTER DATA'!AA134)</f>
        <v>2</v>
      </c>
      <c r="AB41" s="16" t="str">
        <f>IF('MASTER DATA'!AB134="","",'MASTER DATA'!AB134)</f>
        <v>MULTI-SIGNAL</v>
      </c>
      <c r="AC41" s="16" t="str">
        <f>IF('MASTER DATA'!AC134="","",'MASTER DATA'!AC134)</f>
        <v>Open Stipulation | Inactive Customer</v>
      </c>
    </row>
    <row r="42" spans="1:29" x14ac:dyDescent="0.45">
      <c r="A42" t="str">
        <f>IF('MASTER DATA'!A135="","",'MASTER DATA'!A135)</f>
        <v>SYN-CLM-0134</v>
      </c>
      <c r="B42" t="str">
        <f>IF('MASTER DATA'!B135="","",'MASTER DATA'!B135)</f>
        <v>Synthetic Claimant 0134</v>
      </c>
      <c r="C42" t="str">
        <f>IF('MASTER DATA'!C135="","",'MASTER DATA'!C135)</f>
        <v>Claims Analyst A</v>
      </c>
      <c r="D42" t="str">
        <f>IF('MASTER DATA'!D135="","",'MASTER DATA'!D135)</f>
        <v>Synthetic Policyholder 099, LLC</v>
      </c>
      <c r="E42" s="15">
        <f>IF('MASTER DATA'!E135="","",'MASTER DATA'!E135)</f>
        <v>45631</v>
      </c>
      <c r="F42" s="16" t="str">
        <f>IF('MASTER DATA'!F135="","",'MASTER DATA'!F135)</f>
        <v>Y</v>
      </c>
      <c r="G42" s="17">
        <f>IF('MASTER DATA'!G135="","",'MASTER DATA'!G135)</f>
        <v>164250</v>
      </c>
      <c r="H42" s="16" t="str">
        <f>IF('MASTER DATA'!H135="","",'MASTER DATA'!H135)</f>
        <v>Synthetic Approver 06</v>
      </c>
      <c r="I42" s="15">
        <f>IF('MASTER DATA'!I135="","",'MASTER DATA'!I135)</f>
        <v>46309</v>
      </c>
      <c r="J42" s="16" t="str">
        <f>IF('MASTER DATA'!J135="","",'MASTER DATA'!J135)</f>
        <v>N</v>
      </c>
      <c r="K42" s="15" t="str">
        <f>IF('MASTER DATA'!K135="","",'MASTER DATA'!K135)</f>
        <v/>
      </c>
      <c r="L42" s="16" t="str">
        <f>IF('MASTER DATA'!L135="","",'MASTER DATA'!L135)</f>
        <v>Y</v>
      </c>
      <c r="M42" s="16" t="str">
        <f>IF('MASTER DATA'!M135="","",'MASTER DATA'!M135)</f>
        <v>N</v>
      </c>
      <c r="N42" s="15" t="str">
        <f>IF('MASTER DATA'!N135="","",'MASTER DATA'!N135)</f>
        <v/>
      </c>
      <c r="O42" s="16" t="str">
        <f>IF('MASTER DATA'!O135="","",'MASTER DATA'!O135)</f>
        <v/>
      </c>
      <c r="P42" s="16" t="str">
        <f>IF('MASTER DATA'!P135="","",'MASTER DATA'!P135)</f>
        <v>N</v>
      </c>
      <c r="Q42" s="16" t="str">
        <f>IF('MASTER DATA'!Q135="","",'MASTER DATA'!Q135)</f>
        <v/>
      </c>
      <c r="R42" s="16" t="str">
        <f>IF('MASTER DATA'!R135="","",'MASTER DATA'!R135)</f>
        <v/>
      </c>
      <c r="S42" s="16" t="str">
        <f>IF('MASTER DATA'!S135="","",'MASTER DATA'!S135)</f>
        <v>N</v>
      </c>
      <c r="T42" s="15" t="str">
        <f>IF('MASTER DATA'!T135="","",'MASTER DATA'!T135)</f>
        <v/>
      </c>
      <c r="U42" s="16" t="str">
        <f>IF('MASTER DATA'!U135="","",'MASTER DATA'!U135)</f>
        <v>N</v>
      </c>
      <c r="V42" s="16" t="str">
        <f>IF('MASTER DATA'!V135="","",'MASTER DATA'!V135)</f>
        <v>N</v>
      </c>
      <c r="W42" s="16" t="str">
        <f>IF('MASTER DATA'!W135="","",'MASTER DATA'!W135)</f>
        <v>N</v>
      </c>
      <c r="X42" s="16" t="str">
        <f>IF('MASTER DATA'!X135="","",'MASTER DATA'!X135)</f>
        <v>N</v>
      </c>
      <c r="Y42" s="16" t="str">
        <f>IF('MASTER DATA'!Y135="","",'MASTER DATA'!Y135)</f>
        <v>N</v>
      </c>
      <c r="Z42" s="16" t="str">
        <f>IF('MASTER DATA'!Z135="","",'MASTER DATA'!Z135)</f>
        <v>N</v>
      </c>
      <c r="AA42" s="16">
        <f>IF('MASTER DATA'!AA135="","",'MASTER DATA'!AA135)</f>
        <v>1</v>
      </c>
      <c r="AB42" s="16" t="str">
        <f>IF('MASTER DATA'!AB135="","",'MASTER DATA'!AB135)</f>
        <v>SINGLE-SIGNAL</v>
      </c>
      <c r="AC42" s="16" t="str">
        <f>IF('MASTER DATA'!AC135="","",'MASTER DATA'!AC135)</f>
        <v>Settlement Authorization</v>
      </c>
    </row>
    <row r="43" spans="1:29" x14ac:dyDescent="0.45">
      <c r="A43" t="str">
        <f>IF('MASTER DATA'!A136="","",'MASTER DATA'!A136)</f>
        <v>SYN-CLM-0135</v>
      </c>
      <c r="B43" t="str">
        <f>IF('MASTER DATA'!B136="","",'MASTER DATA'!B136)</f>
        <v>Synthetic Claimant 0135</v>
      </c>
      <c r="C43" t="str">
        <f>IF('MASTER DATA'!C136="","",'MASTER DATA'!C136)</f>
        <v>Claims Analyst A</v>
      </c>
      <c r="D43" t="str">
        <f>IF('MASTER DATA'!D136="","",'MASTER DATA'!D136)</f>
        <v>Synthetic Policyholder 014, LLC</v>
      </c>
      <c r="E43" s="15">
        <f>IF('MASTER DATA'!E136="","",'MASTER DATA'!E136)</f>
        <v>43780</v>
      </c>
      <c r="F43" s="16" t="str">
        <f>IF('MASTER DATA'!F136="","",'MASTER DATA'!F136)</f>
        <v>Y</v>
      </c>
      <c r="G43" s="17">
        <f>IF('MASTER DATA'!G136="","",'MASTER DATA'!G136)</f>
        <v>72500</v>
      </c>
      <c r="H43" s="16" t="str">
        <f>IF('MASTER DATA'!H136="","",'MASTER DATA'!H136)</f>
        <v>Synthetic Approver 04</v>
      </c>
      <c r="I43" s="15">
        <f>IF('MASTER DATA'!I136="","",'MASTER DATA'!I136)</f>
        <v>44780</v>
      </c>
      <c r="J43" s="16" t="str">
        <f>IF('MASTER DATA'!J136="","",'MASTER DATA'!J136)</f>
        <v>N</v>
      </c>
      <c r="K43" s="15" t="str">
        <f>IF('MASTER DATA'!K136="","",'MASTER DATA'!K136)</f>
        <v/>
      </c>
      <c r="L43" s="16" t="str">
        <f>IF('MASTER DATA'!L136="","",'MASTER DATA'!L136)</f>
        <v>N</v>
      </c>
      <c r="M43" s="16" t="str">
        <f>IF('MASTER DATA'!M136="","",'MASTER DATA'!M136)</f>
        <v>N</v>
      </c>
      <c r="N43" s="15" t="str">
        <f>IF('MASTER DATA'!N136="","",'MASTER DATA'!N136)</f>
        <v/>
      </c>
      <c r="O43" s="16" t="str">
        <f>IF('MASTER DATA'!O136="","",'MASTER DATA'!O136)</f>
        <v/>
      </c>
      <c r="P43" s="16" t="str">
        <f>IF('MASTER DATA'!P136="","",'MASTER DATA'!P136)</f>
        <v>N</v>
      </c>
      <c r="Q43" s="16" t="str">
        <f>IF('MASTER DATA'!Q136="","",'MASTER DATA'!Q136)</f>
        <v/>
      </c>
      <c r="R43" s="16" t="str">
        <f>IF('MASTER DATA'!R136="","",'MASTER DATA'!R136)</f>
        <v/>
      </c>
      <c r="S43" s="16" t="str">
        <f>IF('MASTER DATA'!S136="","",'MASTER DATA'!S136)</f>
        <v>N</v>
      </c>
      <c r="T43" s="15" t="str">
        <f>IF('MASTER DATA'!T136="","",'MASTER DATA'!T136)</f>
        <v/>
      </c>
      <c r="U43" s="16" t="str">
        <f>IF('MASTER DATA'!U136="","",'MASTER DATA'!U136)</f>
        <v>N</v>
      </c>
      <c r="V43" s="16" t="str">
        <f>IF('MASTER DATA'!V136="","",'MASTER DATA'!V136)</f>
        <v>N</v>
      </c>
      <c r="W43" s="16" t="str">
        <f>IF('MASTER DATA'!W136="","",'MASTER DATA'!W136)</f>
        <v>N</v>
      </c>
      <c r="X43" s="16" t="str">
        <f>IF('MASTER DATA'!X136="","",'MASTER DATA'!X136)</f>
        <v>N</v>
      </c>
      <c r="Y43" s="16" t="str">
        <f>IF('MASTER DATA'!Y136="","",'MASTER DATA'!Y136)</f>
        <v>N</v>
      </c>
      <c r="Z43" s="16" t="str">
        <f>IF('MASTER DATA'!Z136="","",'MASTER DATA'!Z136)</f>
        <v>N</v>
      </c>
      <c r="AA43" s="16">
        <f>IF('MASTER DATA'!AA136="","",'MASTER DATA'!AA136)</f>
        <v>1</v>
      </c>
      <c r="AB43" s="16" t="str">
        <f>IF('MASTER DATA'!AB136="","",'MASTER DATA'!AB136)</f>
        <v>SINGLE-SIGNAL</v>
      </c>
      <c r="AC43" s="16" t="str">
        <f>IF('MASTER DATA'!AC136="","",'MASTER DATA'!AC136)</f>
        <v>Settlement Authorization</v>
      </c>
    </row>
  </sheetData>
  <conditionalFormatting sqref="A2:AC43">
    <cfRule type="expression" dxfId="11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4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67.6640625" bestFit="1" customWidth="1"/>
    <col min="18" max="18" width="50.9296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57.132812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DATA'!A137="","",'MASTER DATA'!A137)</f>
        <v>SYN-CLM-0136</v>
      </c>
      <c r="B2" t="str">
        <f>IF('MASTER DATA'!B137="","",'MASTER DATA'!B137)</f>
        <v>Synthetic Claimant 0136</v>
      </c>
      <c r="C2" t="str">
        <f>IF('MASTER DATA'!C137="","",'MASTER DATA'!C137)</f>
        <v>Claims Analyst B</v>
      </c>
      <c r="D2" t="str">
        <f>IF('MASTER DATA'!D137="","",'MASTER DATA'!D137)</f>
        <v>Synthetic Policyholder 092, LLC</v>
      </c>
      <c r="E2" s="15">
        <f>IF('MASTER DATA'!E137="","",'MASTER DATA'!E137)</f>
        <v>44536</v>
      </c>
      <c r="F2" s="16" t="str">
        <f>IF('MASTER DATA'!F137="","",'MASTER DATA'!F137)</f>
        <v>Y</v>
      </c>
      <c r="G2" s="17">
        <f>IF('MASTER DATA'!G137="","",'MASTER DATA'!G137)</f>
        <v>152500</v>
      </c>
      <c r="H2" s="16" t="str">
        <f>IF('MASTER DATA'!H137="","",'MASTER DATA'!H137)</f>
        <v>Synthetic Approver 11</v>
      </c>
      <c r="I2" s="15">
        <f>IF('MASTER DATA'!I137="","",'MASTER DATA'!I137)</f>
        <v>44948</v>
      </c>
      <c r="J2" s="16" t="str">
        <f>IF('MASTER DATA'!J137="","",'MASTER DATA'!J137)</f>
        <v>N</v>
      </c>
      <c r="K2" s="15" t="str">
        <f>IF('MASTER DATA'!K137="","",'MASTER DATA'!K137)</f>
        <v/>
      </c>
      <c r="L2" s="16" t="str">
        <f>IF('MASTER DATA'!L137="","",'MASTER DATA'!L137)</f>
        <v>Y</v>
      </c>
      <c r="M2" s="16" t="str">
        <f>IF('MASTER DATA'!M137="","",'MASTER DATA'!M137)</f>
        <v>N</v>
      </c>
      <c r="N2" s="15" t="str">
        <f>IF('MASTER DATA'!N137="","",'MASTER DATA'!N137)</f>
        <v/>
      </c>
      <c r="O2" s="16" t="str">
        <f>IF('MASTER DATA'!O137="","",'MASTER DATA'!O137)</f>
        <v/>
      </c>
      <c r="P2" s="16" t="str">
        <f>IF('MASTER DATA'!P137="","",'MASTER DATA'!P137)</f>
        <v>N</v>
      </c>
      <c r="Q2" s="16" t="str">
        <f>IF('MASTER DATA'!Q137="","",'MASTER DATA'!Q137)</f>
        <v/>
      </c>
      <c r="R2" s="16" t="str">
        <f>IF('MASTER DATA'!R137="","",'MASTER DATA'!R137)</f>
        <v/>
      </c>
      <c r="S2" s="16" t="str">
        <f>IF('MASTER DATA'!S137="","",'MASTER DATA'!S137)</f>
        <v>N</v>
      </c>
      <c r="T2" s="15" t="str">
        <f>IF('MASTER DATA'!T137="","",'MASTER DATA'!T137)</f>
        <v/>
      </c>
      <c r="U2" s="16" t="str">
        <f>IF('MASTER DATA'!U137="","",'MASTER DATA'!U137)</f>
        <v>N</v>
      </c>
      <c r="V2" s="16" t="str">
        <f>IF('MASTER DATA'!V137="","",'MASTER DATA'!V137)</f>
        <v>N</v>
      </c>
      <c r="W2" s="16" t="str">
        <f>IF('MASTER DATA'!W137="","",'MASTER DATA'!W137)</f>
        <v>N</v>
      </c>
      <c r="X2" s="16" t="str">
        <f>IF('MASTER DATA'!X137="","",'MASTER DATA'!X137)</f>
        <v>N</v>
      </c>
      <c r="Y2" s="16" t="str">
        <f>IF('MASTER DATA'!Y137="","",'MASTER DATA'!Y137)</f>
        <v>N</v>
      </c>
      <c r="Z2" s="16" t="str">
        <f>IF('MASTER DATA'!Z137="","",'MASTER DATA'!Z137)</f>
        <v>N</v>
      </c>
      <c r="AA2" s="16">
        <f>IF('MASTER DATA'!AA137="","",'MASTER DATA'!AA137)</f>
        <v>1</v>
      </c>
      <c r="AB2" s="16" t="str">
        <f>IF('MASTER DATA'!AB137="","",'MASTER DATA'!AB137)</f>
        <v>SINGLE-SIGNAL</v>
      </c>
      <c r="AC2" s="16" t="str">
        <f>IF('MASTER DATA'!AC137="","",'MASTER DATA'!AC137)</f>
        <v>Settlement Authorization</v>
      </c>
    </row>
    <row r="3" spans="1:29" x14ac:dyDescent="0.45">
      <c r="A3" t="str">
        <f>IF('MASTER DATA'!A138="","",'MASTER DATA'!A138)</f>
        <v>SYN-CLM-0137</v>
      </c>
      <c r="B3" t="str">
        <f>IF('MASTER DATA'!B138="","",'MASTER DATA'!B138)</f>
        <v>Synthetic Claimant 0137</v>
      </c>
      <c r="C3" t="str">
        <f>IF('MASTER DATA'!C138="","",'MASTER DATA'!C138)</f>
        <v>Claims Analyst B</v>
      </c>
      <c r="D3" t="str">
        <f>IF('MASTER DATA'!D138="","",'MASTER DATA'!D138)</f>
        <v>Synthetic Policyholder 088, LLC</v>
      </c>
      <c r="E3" s="15">
        <f>IF('MASTER DATA'!E138="","",'MASTER DATA'!E138)</f>
        <v>44324</v>
      </c>
      <c r="F3" s="16" t="str">
        <f>IF('MASTER DATA'!F138="","",'MASTER DATA'!F138)</f>
        <v>Y</v>
      </c>
      <c r="G3" s="17">
        <f>IF('MASTER DATA'!G138="","",'MASTER DATA'!G138)</f>
        <v>143250</v>
      </c>
      <c r="H3" s="16" t="str">
        <f>IF('MASTER DATA'!H138="","",'MASTER DATA'!H138)</f>
        <v>Synthetic Approver 01</v>
      </c>
      <c r="I3" s="15">
        <f>IF('MASTER DATA'!I138="","",'MASTER DATA'!I138)</f>
        <v>44930</v>
      </c>
      <c r="J3" s="16" t="str">
        <f>IF('MASTER DATA'!J138="","",'MASTER DATA'!J138)</f>
        <v>N</v>
      </c>
      <c r="K3" s="15" t="str">
        <f>IF('MASTER DATA'!K138="","",'MASTER DATA'!K138)</f>
        <v/>
      </c>
      <c r="L3" s="16" t="str">
        <f>IF('MASTER DATA'!L138="","",'MASTER DATA'!L138)</f>
        <v>N</v>
      </c>
      <c r="M3" s="16" t="str">
        <f>IF('MASTER DATA'!M138="","",'MASTER DATA'!M138)</f>
        <v>N</v>
      </c>
      <c r="N3" s="15" t="str">
        <f>IF('MASTER DATA'!N138="","",'MASTER DATA'!N138)</f>
        <v/>
      </c>
      <c r="O3" s="16" t="str">
        <f>IF('MASTER DATA'!O138="","",'MASTER DATA'!O138)</f>
        <v/>
      </c>
      <c r="P3" s="16" t="str">
        <f>IF('MASTER DATA'!P138="","",'MASTER DATA'!P138)</f>
        <v>N</v>
      </c>
      <c r="Q3" s="16" t="str">
        <f>IF('MASTER DATA'!Q138="","",'MASTER DATA'!Q138)</f>
        <v/>
      </c>
      <c r="R3" s="16" t="str">
        <f>IF('MASTER DATA'!R138="","",'MASTER DATA'!R138)</f>
        <v/>
      </c>
      <c r="S3" s="16" t="str">
        <f>IF('MASTER DATA'!S138="","",'MASTER DATA'!S138)</f>
        <v>N</v>
      </c>
      <c r="T3" s="15" t="str">
        <f>IF('MASTER DATA'!T138="","",'MASTER DATA'!T138)</f>
        <v/>
      </c>
      <c r="U3" s="16" t="str">
        <f>IF('MASTER DATA'!U138="","",'MASTER DATA'!U138)</f>
        <v>N</v>
      </c>
      <c r="V3" s="16" t="str">
        <f>IF('MASTER DATA'!V138="","",'MASTER DATA'!V138)</f>
        <v>N</v>
      </c>
      <c r="W3" s="16" t="str">
        <f>IF('MASTER DATA'!W138="","",'MASTER DATA'!W138)</f>
        <v>N</v>
      </c>
      <c r="X3" s="16" t="str">
        <f>IF('MASTER DATA'!X138="","",'MASTER DATA'!X138)</f>
        <v>N</v>
      </c>
      <c r="Y3" s="16" t="str">
        <f>IF('MASTER DATA'!Y138="","",'MASTER DATA'!Y138)</f>
        <v>N</v>
      </c>
      <c r="Z3" s="16" t="str">
        <f>IF('MASTER DATA'!Z138="","",'MASTER DATA'!Z138)</f>
        <v>N</v>
      </c>
      <c r="AA3" s="16">
        <f>IF('MASTER DATA'!AA138="","",'MASTER DATA'!AA138)</f>
        <v>1</v>
      </c>
      <c r="AB3" s="16" t="str">
        <f>IF('MASTER DATA'!AB138="","",'MASTER DATA'!AB138)</f>
        <v>SINGLE-SIGNAL</v>
      </c>
      <c r="AC3" s="16" t="str">
        <f>IF('MASTER DATA'!AC138="","",'MASTER DATA'!AC138)</f>
        <v>Settlement Authorization</v>
      </c>
    </row>
    <row r="4" spans="1:29" x14ac:dyDescent="0.45">
      <c r="A4" t="str">
        <f>IF('MASTER DATA'!A139="","",'MASTER DATA'!A139)</f>
        <v>SYN-CLM-0138</v>
      </c>
      <c r="B4" t="str">
        <f>IF('MASTER DATA'!B139="","",'MASTER DATA'!B139)</f>
        <v>Synthetic Claimant 0138</v>
      </c>
      <c r="C4" t="str">
        <f>IF('MASTER DATA'!C139="","",'MASTER DATA'!C139)</f>
        <v>Claims Analyst B</v>
      </c>
      <c r="D4" t="str">
        <f>IF('MASTER DATA'!D139="","",'MASTER DATA'!D139)</f>
        <v>Synthetic Policyholder 054, LLC</v>
      </c>
      <c r="E4" s="15">
        <f>IF('MASTER DATA'!E139="","",'MASTER DATA'!E139)</f>
        <v>46021</v>
      </c>
      <c r="F4" s="16" t="str">
        <f>IF('MASTER DATA'!F139="","",'MASTER DATA'!F139)</f>
        <v>N</v>
      </c>
      <c r="G4" s="17" t="str">
        <f>IF('MASTER DATA'!G139="","",'MASTER DATA'!G139)</f>
        <v/>
      </c>
      <c r="H4" s="16" t="str">
        <f>IF('MASTER DATA'!H139="","",'MASTER DATA'!H139)</f>
        <v/>
      </c>
      <c r="I4" s="15" t="str">
        <f>IF('MASTER DATA'!I139="","",'MASTER DATA'!I139)</f>
        <v/>
      </c>
      <c r="J4" s="16" t="str">
        <f>IF('MASTER DATA'!J139="","",'MASTER DATA'!J139)</f>
        <v>N</v>
      </c>
      <c r="K4" s="15" t="str">
        <f>IF('MASTER DATA'!K139="","",'MASTER DATA'!K139)</f>
        <v/>
      </c>
      <c r="L4" s="16" t="str">
        <f>IF('MASTER DATA'!L139="","",'MASTER DATA'!L139)</f>
        <v/>
      </c>
      <c r="M4" s="16" t="str">
        <f>IF('MASTER DATA'!M139="","",'MASTER DATA'!M139)</f>
        <v>N</v>
      </c>
      <c r="N4" s="15" t="str">
        <f>IF('MASTER DATA'!N139="","",'MASTER DATA'!N139)</f>
        <v/>
      </c>
      <c r="O4" s="16" t="str">
        <f>IF('MASTER DATA'!O139="","",'MASTER DATA'!O139)</f>
        <v/>
      </c>
      <c r="P4" s="16" t="str">
        <f>IF('MASTER DATA'!P139="","",'MASTER DATA'!P139)</f>
        <v>Y</v>
      </c>
      <c r="Q4" s="16" t="str">
        <f>IF('MASTER DATA'!Q139="","",'MASTER DATA'!Q139)</f>
        <v>Specialist Consultation Requested; Denied Treatment Requests</v>
      </c>
      <c r="R4" s="16" t="str">
        <f>IF('MASTER DATA'!R139="","",'MASTER DATA'!R139)</f>
        <v/>
      </c>
      <c r="S4" s="16" t="str">
        <f>IF('MASTER DATA'!S139="","",'MASTER DATA'!S139)</f>
        <v>N</v>
      </c>
      <c r="T4" s="15" t="str">
        <f>IF('MASTER DATA'!T139="","",'MASTER DATA'!T139)</f>
        <v/>
      </c>
      <c r="U4" s="16" t="str">
        <f>IF('MASTER DATA'!U139="","",'MASTER DATA'!U139)</f>
        <v>N</v>
      </c>
      <c r="V4" s="16" t="str">
        <f>IF('MASTER DATA'!V139="","",'MASTER DATA'!V139)</f>
        <v>N</v>
      </c>
      <c r="W4" s="16" t="str">
        <f>IF('MASTER DATA'!W139="","",'MASTER DATA'!W139)</f>
        <v>Y</v>
      </c>
      <c r="X4" s="16" t="str">
        <f>IF('MASTER DATA'!X139="","",'MASTER DATA'!X139)</f>
        <v>Y</v>
      </c>
      <c r="Y4" s="16" t="str">
        <f>IF('MASTER DATA'!Y139="","",'MASTER DATA'!Y139)</f>
        <v>N</v>
      </c>
      <c r="Z4" s="16" t="str">
        <f>IF('MASTER DATA'!Z139="","",'MASTER DATA'!Z139)</f>
        <v>N</v>
      </c>
      <c r="AA4" s="16">
        <f>IF('MASTER DATA'!AA139="","",'MASTER DATA'!AA139)</f>
        <v>1</v>
      </c>
      <c r="AB4" s="16" t="str">
        <f>IF('MASTER DATA'!AB139="","",'MASTER DATA'!AB139)</f>
        <v>SINGLE-SIGNAL</v>
      </c>
      <c r="AC4" s="16" t="str">
        <f>IF('MASTER DATA'!AC139="","",'MASTER DATA'!AC139)</f>
        <v>Automated Claim Alert</v>
      </c>
    </row>
    <row r="5" spans="1:29" x14ac:dyDescent="0.45">
      <c r="A5" t="str">
        <f>IF('MASTER DATA'!A140="","",'MASTER DATA'!A140)</f>
        <v>SYN-CLM-0139</v>
      </c>
      <c r="B5" t="str">
        <f>IF('MASTER DATA'!B140="","",'MASTER DATA'!B140)</f>
        <v>Synthetic Claimant 0139</v>
      </c>
      <c r="C5" t="str">
        <f>IF('MASTER DATA'!C140="","",'MASTER DATA'!C140)</f>
        <v>Claims Analyst B</v>
      </c>
      <c r="D5" t="str">
        <f>IF('MASTER DATA'!D140="","",'MASTER DATA'!D140)</f>
        <v>Synthetic Policyholder 165, LLC</v>
      </c>
      <c r="E5" s="15">
        <f>IF('MASTER DATA'!E140="","",'MASTER DATA'!E140)</f>
        <v>43646</v>
      </c>
      <c r="F5" s="16" t="str">
        <f>IF('MASTER DATA'!F140="","",'MASTER DATA'!F140)</f>
        <v>Y</v>
      </c>
      <c r="G5" s="17">
        <f>IF('MASTER DATA'!G140="","",'MASTER DATA'!G140)</f>
        <v>89500</v>
      </c>
      <c r="H5" s="16" t="str">
        <f>IF('MASTER DATA'!H140="","",'MASTER DATA'!H140)</f>
        <v>Synthetic Approver 10</v>
      </c>
      <c r="I5" s="15">
        <f>IF('MASTER DATA'!I140="","",'MASTER DATA'!I140)</f>
        <v>44340</v>
      </c>
      <c r="J5" s="16" t="str">
        <f>IF('MASTER DATA'!J140="","",'MASTER DATA'!J140)</f>
        <v>N</v>
      </c>
      <c r="K5" s="15" t="str">
        <f>IF('MASTER DATA'!K140="","",'MASTER DATA'!K140)</f>
        <v/>
      </c>
      <c r="L5" s="16" t="str">
        <f>IF('MASTER DATA'!L140="","",'MASTER DATA'!L140)</f>
        <v>Y</v>
      </c>
      <c r="M5" s="16" t="str">
        <f>IF('MASTER DATA'!M140="","",'MASTER DATA'!M140)</f>
        <v>N</v>
      </c>
      <c r="N5" s="15" t="str">
        <f>IF('MASTER DATA'!N140="","",'MASTER DATA'!N140)</f>
        <v/>
      </c>
      <c r="O5" s="16" t="str">
        <f>IF('MASTER DATA'!O140="","",'MASTER DATA'!O140)</f>
        <v/>
      </c>
      <c r="P5" s="16" t="str">
        <f>IF('MASTER DATA'!P140="","",'MASTER DATA'!P140)</f>
        <v>Y</v>
      </c>
      <c r="Q5" s="16" t="str">
        <f>IF('MASTER DATA'!Q140="","",'MASTER DATA'!Q140)</f>
        <v>MSA Eligible in Next 3 Years; Non-Renewed Account</v>
      </c>
      <c r="R5" s="16" t="str">
        <f>IF('MASTER DATA'!R140="","",'MASTER DATA'!R140)</f>
        <v>Surgery Requested; MMI Date Reported</v>
      </c>
      <c r="S5" s="16" t="str">
        <f>IF('MASTER DATA'!S140="","",'MASTER DATA'!S140)</f>
        <v>Y</v>
      </c>
      <c r="T5" s="15">
        <f>IF('MASTER DATA'!T140="","",'MASTER DATA'!T140)</f>
        <v>45273</v>
      </c>
      <c r="U5" s="16" t="str">
        <f>IF('MASTER DATA'!U140="","",'MASTER DATA'!U140)</f>
        <v>Y</v>
      </c>
      <c r="V5" s="16" t="str">
        <f>IF('MASTER DATA'!V140="","",'MASTER DATA'!V140)</f>
        <v>Y</v>
      </c>
      <c r="W5" s="16" t="str">
        <f>IF('MASTER DATA'!W140="","",'MASTER DATA'!W140)</f>
        <v>N</v>
      </c>
      <c r="X5" s="16" t="str">
        <f>IF('MASTER DATA'!X140="","",'MASTER DATA'!X140)</f>
        <v>N</v>
      </c>
      <c r="Y5" s="16" t="str">
        <f>IF('MASTER DATA'!Y140="","",'MASTER DATA'!Y140)</f>
        <v>Y</v>
      </c>
      <c r="Z5" s="16" t="str">
        <f>IF('MASTER DATA'!Z140="","",'MASTER DATA'!Z140)</f>
        <v>Y</v>
      </c>
      <c r="AA5" s="16">
        <f>IF('MASTER DATA'!AA140="","",'MASTER DATA'!AA140)</f>
        <v>3</v>
      </c>
      <c r="AB5" s="16" t="str">
        <f>IF('MASTER DATA'!AB140="","",'MASTER DATA'!AB140)</f>
        <v>ELEVATED MULTI-SIGNAL</v>
      </c>
      <c r="AC5" s="16" t="str">
        <f>IF('MASTER DATA'!AC140="","",'MASTER DATA'!AC140)</f>
        <v>Settlement Authorization | Automated Claim Alert | Inactive Customer</v>
      </c>
    </row>
    <row r="6" spans="1:29" x14ac:dyDescent="0.45">
      <c r="A6" t="str">
        <f>IF('MASTER DATA'!A141="","",'MASTER DATA'!A141)</f>
        <v>SYN-CLM-0140</v>
      </c>
      <c r="B6" t="str">
        <f>IF('MASTER DATA'!B141="","",'MASTER DATA'!B141)</f>
        <v>Synthetic Claimant 0140</v>
      </c>
      <c r="C6" t="str">
        <f>IF('MASTER DATA'!C141="","",'MASTER DATA'!C141)</f>
        <v>Claims Analyst B</v>
      </c>
      <c r="D6" t="str">
        <f>IF('MASTER DATA'!D141="","",'MASTER DATA'!D141)</f>
        <v>Synthetic Policyholder 054, LLC</v>
      </c>
      <c r="E6" s="15">
        <f>IF('MASTER DATA'!E141="","",'MASTER DATA'!E141)</f>
        <v>43969</v>
      </c>
      <c r="F6" s="16" t="str">
        <f>IF('MASTER DATA'!F141="","",'MASTER DATA'!F141)</f>
        <v>N</v>
      </c>
      <c r="G6" s="17" t="str">
        <f>IF('MASTER DATA'!G141="","",'MASTER DATA'!G141)</f>
        <v/>
      </c>
      <c r="H6" s="16" t="str">
        <f>IF('MASTER DATA'!H141="","",'MASTER DATA'!H141)</f>
        <v/>
      </c>
      <c r="I6" s="15" t="str">
        <f>IF('MASTER DATA'!I141="","",'MASTER DATA'!I141)</f>
        <v/>
      </c>
      <c r="J6" s="16" t="str">
        <f>IF('MASTER DATA'!J141="","",'MASTER DATA'!J141)</f>
        <v>N</v>
      </c>
      <c r="K6" s="15" t="str">
        <f>IF('MASTER DATA'!K141="","",'MASTER DATA'!K141)</f>
        <v/>
      </c>
      <c r="L6" s="16" t="str">
        <f>IF('MASTER DATA'!L141="","",'MASTER DATA'!L141)</f>
        <v/>
      </c>
      <c r="M6" s="16" t="str">
        <f>IF('MASTER DATA'!M141="","",'MASTER DATA'!M141)</f>
        <v>N</v>
      </c>
      <c r="N6" s="15" t="str">
        <f>IF('MASTER DATA'!N141="","",'MASTER DATA'!N141)</f>
        <v/>
      </c>
      <c r="O6" s="16" t="str">
        <f>IF('MASTER DATA'!O141="","",'MASTER DATA'!O141)</f>
        <v/>
      </c>
      <c r="P6" s="16" t="str">
        <f>IF('MASTER DATA'!P141="","",'MASTER DATA'!P141)</f>
        <v>N</v>
      </c>
      <c r="Q6" s="16" t="str">
        <f>IF('MASTER DATA'!Q141="","",'MASTER DATA'!Q141)</f>
        <v/>
      </c>
      <c r="R6" s="16" t="str">
        <f>IF('MASTER DATA'!R141="","",'MASTER DATA'!R141)</f>
        <v/>
      </c>
      <c r="S6" s="16" t="str">
        <f>IF('MASTER DATA'!S141="","",'MASTER DATA'!S141)</f>
        <v>Y</v>
      </c>
      <c r="T6" s="15">
        <f>IF('MASTER DATA'!T141="","",'MASTER DATA'!T141)</f>
        <v>45667</v>
      </c>
      <c r="U6" s="16" t="str">
        <f>IF('MASTER DATA'!U141="","",'MASTER DATA'!U141)</f>
        <v>N</v>
      </c>
      <c r="V6" s="16" t="str">
        <f>IF('MASTER DATA'!V141="","",'MASTER DATA'!V141)</f>
        <v>N</v>
      </c>
      <c r="W6" s="16" t="str">
        <f>IF('MASTER DATA'!W141="","",'MASTER DATA'!W141)</f>
        <v>N</v>
      </c>
      <c r="X6" s="16" t="str">
        <f>IF('MASTER DATA'!X141="","",'MASTER DATA'!X141)</f>
        <v>N</v>
      </c>
      <c r="Y6" s="16" t="str">
        <f>IF('MASTER DATA'!Y141="","",'MASTER DATA'!Y141)</f>
        <v>N</v>
      </c>
      <c r="Z6" s="16" t="str">
        <f>IF('MASTER DATA'!Z141="","",'MASTER DATA'!Z141)</f>
        <v>N</v>
      </c>
      <c r="AA6" s="16">
        <f>IF('MASTER DATA'!AA141="","",'MASTER DATA'!AA141)</f>
        <v>1</v>
      </c>
      <c r="AB6" s="16" t="str">
        <f>IF('MASTER DATA'!AB141="","",'MASTER DATA'!AB141)</f>
        <v>SINGLE-SIGNAL</v>
      </c>
      <c r="AC6" s="16" t="str">
        <f>IF('MASTER DATA'!AC141="","",'MASTER DATA'!AC141)</f>
        <v>Inactive Customer</v>
      </c>
    </row>
    <row r="7" spans="1:29" x14ac:dyDescent="0.45">
      <c r="A7" t="str">
        <f>IF('MASTER DATA'!A142="","",'MASTER DATA'!A142)</f>
        <v>SYN-CLM-0141</v>
      </c>
      <c r="B7" t="str">
        <f>IF('MASTER DATA'!B142="","",'MASTER DATA'!B142)</f>
        <v>Synthetic Claimant 0141</v>
      </c>
      <c r="C7" t="str">
        <f>IF('MASTER DATA'!C142="","",'MASTER DATA'!C142)</f>
        <v>Claims Analyst B</v>
      </c>
      <c r="D7" t="str">
        <f>IF('MASTER DATA'!D142="","",'MASTER DATA'!D142)</f>
        <v>Synthetic Policyholder 106, LLC</v>
      </c>
      <c r="E7" s="15">
        <f>IF('MASTER DATA'!E142="","",'MASTER DATA'!E142)</f>
        <v>43119</v>
      </c>
      <c r="F7" s="16" t="str">
        <f>IF('MASTER DATA'!F142="","",'MASTER DATA'!F142)</f>
        <v>Y</v>
      </c>
      <c r="G7" s="17">
        <f>IF('MASTER DATA'!G142="","",'MASTER DATA'!G142)</f>
        <v>125250</v>
      </c>
      <c r="H7" s="16" t="str">
        <f>IF('MASTER DATA'!H142="","",'MASTER DATA'!H142)</f>
        <v>Synthetic Approver 09</v>
      </c>
      <c r="I7" s="15">
        <f>IF('MASTER DATA'!I142="","",'MASTER DATA'!I142)</f>
        <v>44912</v>
      </c>
      <c r="J7" s="16" t="str">
        <f>IF('MASTER DATA'!J142="","",'MASTER DATA'!J142)</f>
        <v>Y</v>
      </c>
      <c r="K7" s="15">
        <f>IF('MASTER DATA'!K142="","",'MASTER DATA'!K142)</f>
        <v>44047</v>
      </c>
      <c r="L7" s="16" t="str">
        <f>IF('MASTER DATA'!L142="","",'MASTER DATA'!L142)</f>
        <v>N</v>
      </c>
      <c r="M7" s="16" t="str">
        <f>IF('MASTER DATA'!M142="","",'MASTER DATA'!M142)</f>
        <v>N</v>
      </c>
      <c r="N7" s="15" t="str">
        <f>IF('MASTER DATA'!N142="","",'MASTER DATA'!N142)</f>
        <v/>
      </c>
      <c r="O7" s="16" t="str">
        <f>IF('MASTER DATA'!O142="","",'MASTER DATA'!O142)</f>
        <v/>
      </c>
      <c r="P7" s="16" t="str">
        <f>IF('MASTER DATA'!P142="","",'MASTER DATA'!P142)</f>
        <v>N</v>
      </c>
      <c r="Q7" s="16" t="str">
        <f>IF('MASTER DATA'!Q142="","",'MASTER DATA'!Q142)</f>
        <v/>
      </c>
      <c r="R7" s="16" t="str">
        <f>IF('MASTER DATA'!R142="","",'MASTER DATA'!R142)</f>
        <v/>
      </c>
      <c r="S7" s="16" t="str">
        <f>IF('MASTER DATA'!S142="","",'MASTER DATA'!S142)</f>
        <v>N</v>
      </c>
      <c r="T7" s="15" t="str">
        <f>IF('MASTER DATA'!T142="","",'MASTER DATA'!T142)</f>
        <v/>
      </c>
      <c r="U7" s="16" t="str">
        <f>IF('MASTER DATA'!U142="","",'MASTER DATA'!U142)</f>
        <v>N</v>
      </c>
      <c r="V7" s="16" t="str">
        <f>IF('MASTER DATA'!V142="","",'MASTER DATA'!V142)</f>
        <v>N</v>
      </c>
      <c r="W7" s="16" t="str">
        <f>IF('MASTER DATA'!W142="","",'MASTER DATA'!W142)</f>
        <v>N</v>
      </c>
      <c r="X7" s="16" t="str">
        <f>IF('MASTER DATA'!X142="","",'MASTER DATA'!X142)</f>
        <v>N</v>
      </c>
      <c r="Y7" s="16" t="str">
        <f>IF('MASTER DATA'!Y142="","",'MASTER DATA'!Y142)</f>
        <v>N</v>
      </c>
      <c r="Z7" s="16" t="str">
        <f>IF('MASTER DATA'!Z142="","",'MASTER DATA'!Z142)</f>
        <v>N</v>
      </c>
      <c r="AA7" s="16">
        <f>IF('MASTER DATA'!AA142="","",'MASTER DATA'!AA142)</f>
        <v>2</v>
      </c>
      <c r="AB7" s="16" t="str">
        <f>IF('MASTER DATA'!AB142="","",'MASTER DATA'!AB142)</f>
        <v>MULTI-SIGNAL</v>
      </c>
      <c r="AC7" s="16" t="str">
        <f>IF('MASTER DATA'!AC142="","",'MASTER DATA'!AC142)</f>
        <v>Settlement Authorization | Open Stipulation</v>
      </c>
    </row>
    <row r="8" spans="1:29" x14ac:dyDescent="0.45">
      <c r="A8" t="str">
        <f>IF('MASTER DATA'!A143="","",'MASTER DATA'!A143)</f>
        <v>SYN-CLM-0142</v>
      </c>
      <c r="B8" t="str">
        <f>IF('MASTER DATA'!B143="","",'MASTER DATA'!B143)</f>
        <v>Synthetic Claimant 0142</v>
      </c>
      <c r="C8" t="str">
        <f>IF('MASTER DATA'!C143="","",'MASTER DATA'!C143)</f>
        <v>Claims Analyst B</v>
      </c>
      <c r="D8" t="str">
        <f>IF('MASTER DATA'!D143="","",'MASTER DATA'!D143)</f>
        <v>Synthetic Policyholder 043, LLC</v>
      </c>
      <c r="E8" s="15">
        <f>IF('MASTER DATA'!E143="","",'MASTER DATA'!E143)</f>
        <v>44398</v>
      </c>
      <c r="F8" s="16" t="str">
        <f>IF('MASTER DATA'!F143="","",'MASTER DATA'!F143)</f>
        <v>Y</v>
      </c>
      <c r="G8" s="17">
        <f>IF('MASTER DATA'!G143="","",'MASTER DATA'!G143)</f>
        <v>35250</v>
      </c>
      <c r="H8" s="16" t="str">
        <f>IF('MASTER DATA'!H143="","",'MASTER DATA'!H143)</f>
        <v>Synthetic Approver 01</v>
      </c>
      <c r="I8" s="15">
        <f>IF('MASTER DATA'!I143="","",'MASTER DATA'!I143)</f>
        <v>44742</v>
      </c>
      <c r="J8" s="16" t="str">
        <f>IF('MASTER DATA'!J143="","",'MASTER DATA'!J143)</f>
        <v>N</v>
      </c>
      <c r="K8" s="15" t="str">
        <f>IF('MASTER DATA'!K143="","",'MASTER DATA'!K143)</f>
        <v/>
      </c>
      <c r="L8" s="16" t="str">
        <f>IF('MASTER DATA'!L143="","",'MASTER DATA'!L143)</f>
        <v>Y</v>
      </c>
      <c r="M8" s="16" t="str">
        <f>IF('MASTER DATA'!M143="","",'MASTER DATA'!M143)</f>
        <v>N</v>
      </c>
      <c r="N8" s="15" t="str">
        <f>IF('MASTER DATA'!N143="","",'MASTER DATA'!N143)</f>
        <v/>
      </c>
      <c r="O8" s="16" t="str">
        <f>IF('MASTER DATA'!O143="","",'MASTER DATA'!O143)</f>
        <v/>
      </c>
      <c r="P8" s="16" t="str">
        <f>IF('MASTER DATA'!P143="","",'MASTER DATA'!P143)</f>
        <v>Y</v>
      </c>
      <c r="Q8" s="16" t="str">
        <f>IF('MASTER DATA'!Q143="","",'MASTER DATA'!Q143)</f>
        <v>MSA Eligible in Next 3 Years; Non-Renewed Account</v>
      </c>
      <c r="R8" s="16" t="str">
        <f>IF('MASTER DATA'!R143="","",'MASTER DATA'!R143)</f>
        <v>Specialist Consultation Requested; Surgery Requested</v>
      </c>
      <c r="S8" s="16" t="str">
        <f>IF('MASTER DATA'!S143="","",'MASTER DATA'!S143)</f>
        <v>N</v>
      </c>
      <c r="T8" s="15" t="str">
        <f>IF('MASTER DATA'!T143="","",'MASTER DATA'!T143)</f>
        <v/>
      </c>
      <c r="U8" s="16" t="str">
        <f>IF('MASTER DATA'!U143="","",'MASTER DATA'!U143)</f>
        <v>Y</v>
      </c>
      <c r="V8" s="16" t="str">
        <f>IF('MASTER DATA'!V143="","",'MASTER DATA'!V143)</f>
        <v>N</v>
      </c>
      <c r="W8" s="16" t="str">
        <f>IF('MASTER DATA'!W143="","",'MASTER DATA'!W143)</f>
        <v>N</v>
      </c>
      <c r="X8" s="16" t="str">
        <f>IF('MASTER DATA'!X143="","",'MASTER DATA'!X143)</f>
        <v>Y</v>
      </c>
      <c r="Y8" s="16" t="str">
        <f>IF('MASTER DATA'!Y143="","",'MASTER DATA'!Y143)</f>
        <v>Y</v>
      </c>
      <c r="Z8" s="16" t="str">
        <f>IF('MASTER DATA'!Z143="","",'MASTER DATA'!Z143)</f>
        <v>Y</v>
      </c>
      <c r="AA8" s="16">
        <f>IF('MASTER DATA'!AA143="","",'MASTER DATA'!AA143)</f>
        <v>2</v>
      </c>
      <c r="AB8" s="16" t="str">
        <f>IF('MASTER DATA'!AB143="","",'MASTER DATA'!AB143)</f>
        <v>MULTI-SIGNAL</v>
      </c>
      <c r="AC8" s="16" t="str">
        <f>IF('MASTER DATA'!AC143="","",'MASTER DATA'!AC143)</f>
        <v>Settlement Authorization | Automated Claim Alert</v>
      </c>
    </row>
    <row r="9" spans="1:29" x14ac:dyDescent="0.45">
      <c r="A9" t="str">
        <f>IF('MASTER DATA'!A144="","",'MASTER DATA'!A144)</f>
        <v>SYN-CLM-0143</v>
      </c>
      <c r="B9" t="str">
        <f>IF('MASTER DATA'!B144="","",'MASTER DATA'!B144)</f>
        <v>Synthetic Claimant 0143</v>
      </c>
      <c r="C9" t="str">
        <f>IF('MASTER DATA'!C144="","",'MASTER DATA'!C144)</f>
        <v>Claims Analyst B</v>
      </c>
      <c r="D9" t="str">
        <f>IF('MASTER DATA'!D144="","",'MASTER DATA'!D144)</f>
        <v>Synthetic Policyholder 003, LLC</v>
      </c>
      <c r="E9" s="15">
        <f>IF('MASTER DATA'!E144="","",'MASTER DATA'!E144)</f>
        <v>44458</v>
      </c>
      <c r="F9" s="16" t="str">
        <f>IF('MASTER DATA'!F144="","",'MASTER DATA'!F144)</f>
        <v>N</v>
      </c>
      <c r="G9" s="17" t="str">
        <f>IF('MASTER DATA'!G144="","",'MASTER DATA'!G144)</f>
        <v/>
      </c>
      <c r="H9" s="16" t="str">
        <f>IF('MASTER DATA'!H144="","",'MASTER DATA'!H144)</f>
        <v/>
      </c>
      <c r="I9" s="15" t="str">
        <f>IF('MASTER DATA'!I144="","",'MASTER DATA'!I144)</f>
        <v/>
      </c>
      <c r="J9" s="16" t="str">
        <f>IF('MASTER DATA'!J144="","",'MASTER DATA'!J144)</f>
        <v>Y</v>
      </c>
      <c r="K9" s="15">
        <f>IF('MASTER DATA'!K144="","",'MASTER DATA'!K144)</f>
        <v>45053</v>
      </c>
      <c r="L9" s="16" t="str">
        <f>IF('MASTER DATA'!L144="","",'MASTER DATA'!L144)</f>
        <v>Y</v>
      </c>
      <c r="M9" s="16" t="str">
        <f>IF('MASTER DATA'!M144="","",'MASTER DATA'!M144)</f>
        <v>N</v>
      </c>
      <c r="N9" s="15" t="str">
        <f>IF('MASTER DATA'!N144="","",'MASTER DATA'!N144)</f>
        <v/>
      </c>
      <c r="O9" s="16" t="str">
        <f>IF('MASTER DATA'!O144="","",'MASTER DATA'!O144)</f>
        <v/>
      </c>
      <c r="P9" s="16" t="str">
        <f>IF('MASTER DATA'!P144="","",'MASTER DATA'!P144)</f>
        <v>N</v>
      </c>
      <c r="Q9" s="16" t="str">
        <f>IF('MASTER DATA'!Q144="","",'MASTER DATA'!Q144)</f>
        <v/>
      </c>
      <c r="R9" s="16" t="str">
        <f>IF('MASTER DATA'!R144="","",'MASTER DATA'!R144)</f>
        <v/>
      </c>
      <c r="S9" s="16" t="str">
        <f>IF('MASTER DATA'!S144="","",'MASTER DATA'!S144)</f>
        <v>N</v>
      </c>
      <c r="T9" s="15" t="str">
        <f>IF('MASTER DATA'!T144="","",'MASTER DATA'!T144)</f>
        <v/>
      </c>
      <c r="U9" s="16" t="str">
        <f>IF('MASTER DATA'!U144="","",'MASTER DATA'!U144)</f>
        <v>N</v>
      </c>
      <c r="V9" s="16" t="str">
        <f>IF('MASTER DATA'!V144="","",'MASTER DATA'!V144)</f>
        <v>N</v>
      </c>
      <c r="W9" s="16" t="str">
        <f>IF('MASTER DATA'!W144="","",'MASTER DATA'!W144)</f>
        <v>N</v>
      </c>
      <c r="X9" s="16" t="str">
        <f>IF('MASTER DATA'!X144="","",'MASTER DATA'!X144)</f>
        <v>N</v>
      </c>
      <c r="Y9" s="16" t="str">
        <f>IF('MASTER DATA'!Y144="","",'MASTER DATA'!Y144)</f>
        <v>N</v>
      </c>
      <c r="Z9" s="16" t="str">
        <f>IF('MASTER DATA'!Z144="","",'MASTER DATA'!Z144)</f>
        <v>N</v>
      </c>
      <c r="AA9" s="16">
        <f>IF('MASTER DATA'!AA144="","",'MASTER DATA'!AA144)</f>
        <v>1</v>
      </c>
      <c r="AB9" s="16" t="str">
        <f>IF('MASTER DATA'!AB144="","",'MASTER DATA'!AB144)</f>
        <v>SINGLE-SIGNAL</v>
      </c>
      <c r="AC9" s="16" t="str">
        <f>IF('MASTER DATA'!AC144="","",'MASTER DATA'!AC144)</f>
        <v>Open Stipulation</v>
      </c>
    </row>
    <row r="10" spans="1:29" x14ac:dyDescent="0.45">
      <c r="A10" t="str">
        <f>IF('MASTER DATA'!A145="","",'MASTER DATA'!A145)</f>
        <v>SYN-CLM-0144</v>
      </c>
      <c r="B10" t="str">
        <f>IF('MASTER DATA'!B145="","",'MASTER DATA'!B145)</f>
        <v>Synthetic Claimant 0144</v>
      </c>
      <c r="C10" t="str">
        <f>IF('MASTER DATA'!C145="","",'MASTER DATA'!C145)</f>
        <v>Claims Analyst B</v>
      </c>
      <c r="D10" t="str">
        <f>IF('MASTER DATA'!D145="","",'MASTER DATA'!D145)</f>
        <v>Synthetic Policyholder 174, LLC</v>
      </c>
      <c r="E10" s="15">
        <f>IF('MASTER DATA'!E145="","",'MASTER DATA'!E145)</f>
        <v>44111</v>
      </c>
      <c r="F10" s="16" t="str">
        <f>IF('MASTER DATA'!F145="","",'MASTER DATA'!F145)</f>
        <v>N</v>
      </c>
      <c r="G10" s="17" t="str">
        <f>IF('MASTER DATA'!G145="","",'MASTER DATA'!G145)</f>
        <v/>
      </c>
      <c r="H10" s="16" t="str">
        <f>IF('MASTER DATA'!H145="","",'MASTER DATA'!H145)</f>
        <v/>
      </c>
      <c r="I10" s="15" t="str">
        <f>IF('MASTER DATA'!I145="","",'MASTER DATA'!I145)</f>
        <v/>
      </c>
      <c r="J10" s="16" t="str">
        <f>IF('MASTER DATA'!J145="","",'MASTER DATA'!J145)</f>
        <v>N</v>
      </c>
      <c r="K10" s="15" t="str">
        <f>IF('MASTER DATA'!K145="","",'MASTER DATA'!K145)</f>
        <v/>
      </c>
      <c r="L10" s="16" t="str">
        <f>IF('MASTER DATA'!L145="","",'MASTER DATA'!L145)</f>
        <v/>
      </c>
      <c r="M10" s="16" t="str">
        <f>IF('MASTER DATA'!M145="","",'MASTER DATA'!M145)</f>
        <v>N</v>
      </c>
      <c r="N10" s="15" t="str">
        <f>IF('MASTER DATA'!N145="","",'MASTER DATA'!N145)</f>
        <v/>
      </c>
      <c r="O10" s="16" t="str">
        <f>IF('MASTER DATA'!O145="","",'MASTER DATA'!O145)</f>
        <v/>
      </c>
      <c r="P10" s="16" t="str">
        <f>IF('MASTER DATA'!P145="","",'MASTER DATA'!P145)</f>
        <v>N</v>
      </c>
      <c r="Q10" s="16" t="str">
        <f>IF('MASTER DATA'!Q145="","",'MASTER DATA'!Q145)</f>
        <v/>
      </c>
      <c r="R10" s="16" t="str">
        <f>IF('MASTER DATA'!R145="","",'MASTER DATA'!R145)</f>
        <v/>
      </c>
      <c r="S10" s="16" t="str">
        <f>IF('MASTER DATA'!S145="","",'MASTER DATA'!S145)</f>
        <v>Y</v>
      </c>
      <c r="T10" s="15">
        <f>IF('MASTER DATA'!T145="","",'MASTER DATA'!T145)</f>
        <v>45781</v>
      </c>
      <c r="U10" s="16" t="str">
        <f>IF('MASTER DATA'!U145="","",'MASTER DATA'!U145)</f>
        <v>N</v>
      </c>
      <c r="V10" s="16" t="str">
        <f>IF('MASTER DATA'!V145="","",'MASTER DATA'!V145)</f>
        <v>N</v>
      </c>
      <c r="W10" s="16" t="str">
        <f>IF('MASTER DATA'!W145="","",'MASTER DATA'!W145)</f>
        <v>N</v>
      </c>
      <c r="X10" s="16" t="str">
        <f>IF('MASTER DATA'!X145="","",'MASTER DATA'!X145)</f>
        <v>N</v>
      </c>
      <c r="Y10" s="16" t="str">
        <f>IF('MASTER DATA'!Y145="","",'MASTER DATA'!Y145)</f>
        <v>N</v>
      </c>
      <c r="Z10" s="16" t="str">
        <f>IF('MASTER DATA'!Z145="","",'MASTER DATA'!Z145)</f>
        <v>N</v>
      </c>
      <c r="AA10" s="16">
        <f>IF('MASTER DATA'!AA145="","",'MASTER DATA'!AA145)</f>
        <v>1</v>
      </c>
      <c r="AB10" s="16" t="str">
        <f>IF('MASTER DATA'!AB145="","",'MASTER DATA'!AB145)</f>
        <v>SINGLE-SIGNAL</v>
      </c>
      <c r="AC10" s="16" t="str">
        <f>IF('MASTER DATA'!AC145="","",'MASTER DATA'!AC145)</f>
        <v>Inactive Customer</v>
      </c>
    </row>
    <row r="11" spans="1:29" x14ac:dyDescent="0.45">
      <c r="A11" t="str">
        <f>IF('MASTER DATA'!A146="","",'MASTER DATA'!A146)</f>
        <v>SYN-CLM-0145</v>
      </c>
      <c r="B11" t="str">
        <f>IF('MASTER DATA'!B146="","",'MASTER DATA'!B146)</f>
        <v>Synthetic Claimant 0145</v>
      </c>
      <c r="C11" t="str">
        <f>IF('MASTER DATA'!C146="","",'MASTER DATA'!C146)</f>
        <v>Claims Analyst B</v>
      </c>
      <c r="D11" t="str">
        <f>IF('MASTER DATA'!D146="","",'MASTER DATA'!D146)</f>
        <v>Synthetic Policyholder 084, LLC</v>
      </c>
      <c r="E11" s="15">
        <f>IF('MASTER DATA'!E146="","",'MASTER DATA'!E146)</f>
        <v>43367</v>
      </c>
      <c r="F11" s="16" t="str">
        <f>IF('MASTER DATA'!F146="","",'MASTER DATA'!F146)</f>
        <v>Y</v>
      </c>
      <c r="G11" s="17">
        <f>IF('MASTER DATA'!G146="","",'MASTER DATA'!G146)</f>
        <v>99500</v>
      </c>
      <c r="H11" s="16" t="str">
        <f>IF('MASTER DATA'!H146="","",'MASTER DATA'!H146)</f>
        <v>Synthetic Approver 05</v>
      </c>
      <c r="I11" s="15">
        <f>IF('MASTER DATA'!I146="","",'MASTER DATA'!I146)</f>
        <v>44831</v>
      </c>
      <c r="J11" s="16" t="str">
        <f>IF('MASTER DATA'!J146="","",'MASTER DATA'!J146)</f>
        <v>N</v>
      </c>
      <c r="K11" s="15" t="str">
        <f>IF('MASTER DATA'!K146="","",'MASTER DATA'!K146)</f>
        <v/>
      </c>
      <c r="L11" s="16" t="str">
        <f>IF('MASTER DATA'!L146="","",'MASTER DATA'!L146)</f>
        <v>N</v>
      </c>
      <c r="M11" s="16" t="str">
        <f>IF('MASTER DATA'!M146="","",'MASTER DATA'!M146)</f>
        <v>N</v>
      </c>
      <c r="N11" s="15" t="str">
        <f>IF('MASTER DATA'!N146="","",'MASTER DATA'!N146)</f>
        <v/>
      </c>
      <c r="O11" s="16" t="str">
        <f>IF('MASTER DATA'!O146="","",'MASTER DATA'!O146)</f>
        <v/>
      </c>
      <c r="P11" s="16" t="str">
        <f>IF('MASTER DATA'!P146="","",'MASTER DATA'!P146)</f>
        <v>N</v>
      </c>
      <c r="Q11" s="16" t="str">
        <f>IF('MASTER DATA'!Q146="","",'MASTER DATA'!Q146)</f>
        <v/>
      </c>
      <c r="R11" s="16" t="str">
        <f>IF('MASTER DATA'!R146="","",'MASTER DATA'!R146)</f>
        <v/>
      </c>
      <c r="S11" s="16" t="str">
        <f>IF('MASTER DATA'!S146="","",'MASTER DATA'!S146)</f>
        <v>Y</v>
      </c>
      <c r="T11" s="15">
        <f>IF('MASTER DATA'!T146="","",'MASTER DATA'!T146)</f>
        <v>45297</v>
      </c>
      <c r="U11" s="16" t="str">
        <f>IF('MASTER DATA'!U146="","",'MASTER DATA'!U146)</f>
        <v>N</v>
      </c>
      <c r="V11" s="16" t="str">
        <f>IF('MASTER DATA'!V146="","",'MASTER DATA'!V146)</f>
        <v>N</v>
      </c>
      <c r="W11" s="16" t="str">
        <f>IF('MASTER DATA'!W146="","",'MASTER DATA'!W146)</f>
        <v>N</v>
      </c>
      <c r="X11" s="16" t="str">
        <f>IF('MASTER DATA'!X146="","",'MASTER DATA'!X146)</f>
        <v>N</v>
      </c>
      <c r="Y11" s="16" t="str">
        <f>IF('MASTER DATA'!Y146="","",'MASTER DATA'!Y146)</f>
        <v>N</v>
      </c>
      <c r="Z11" s="16" t="str">
        <f>IF('MASTER DATA'!Z146="","",'MASTER DATA'!Z146)</f>
        <v>N</v>
      </c>
      <c r="AA11" s="16">
        <f>IF('MASTER DATA'!AA146="","",'MASTER DATA'!AA146)</f>
        <v>2</v>
      </c>
      <c r="AB11" s="16" t="str">
        <f>IF('MASTER DATA'!AB146="","",'MASTER DATA'!AB146)</f>
        <v>MULTI-SIGNAL</v>
      </c>
      <c r="AC11" s="16" t="str">
        <f>IF('MASTER DATA'!AC146="","",'MASTER DATA'!AC146)</f>
        <v>Settlement Authorization | Inactive Customer</v>
      </c>
    </row>
    <row r="12" spans="1:29" x14ac:dyDescent="0.45">
      <c r="A12" t="str">
        <f>IF('MASTER DATA'!A147="","",'MASTER DATA'!A147)</f>
        <v>SYN-CLM-0146</v>
      </c>
      <c r="B12" t="str">
        <f>IF('MASTER DATA'!B147="","",'MASTER DATA'!B147)</f>
        <v>Synthetic Claimant 0146</v>
      </c>
      <c r="C12" t="str">
        <f>IF('MASTER DATA'!C147="","",'MASTER DATA'!C147)</f>
        <v>Claims Analyst B</v>
      </c>
      <c r="D12" t="str">
        <f>IF('MASTER DATA'!D147="","",'MASTER DATA'!D147)</f>
        <v>Synthetic Policyholder 022, LLC</v>
      </c>
      <c r="E12" s="15">
        <f>IF('MASTER DATA'!E147="","",'MASTER DATA'!E147)</f>
        <v>43994</v>
      </c>
      <c r="F12" s="16" t="str">
        <f>IF('MASTER DATA'!F147="","",'MASTER DATA'!F147)</f>
        <v>Y</v>
      </c>
      <c r="G12" s="17">
        <f>IF('MASTER DATA'!G147="","",'MASTER DATA'!G147)</f>
        <v>117500</v>
      </c>
      <c r="H12" s="16" t="str">
        <f>IF('MASTER DATA'!H147="","",'MASTER DATA'!H147)</f>
        <v>Synthetic Approver 05</v>
      </c>
      <c r="I12" s="15">
        <f>IF('MASTER DATA'!I147="","",'MASTER DATA'!I147)</f>
        <v>44874</v>
      </c>
      <c r="J12" s="16" t="str">
        <f>IF('MASTER DATA'!J147="","",'MASTER DATA'!J147)</f>
        <v>N</v>
      </c>
      <c r="K12" s="15" t="str">
        <f>IF('MASTER DATA'!K147="","",'MASTER DATA'!K147)</f>
        <v/>
      </c>
      <c r="L12" s="16" t="str">
        <f>IF('MASTER DATA'!L147="","",'MASTER DATA'!L147)</f>
        <v>N</v>
      </c>
      <c r="M12" s="16" t="str">
        <f>IF('MASTER DATA'!M147="","",'MASTER DATA'!M147)</f>
        <v>Y</v>
      </c>
      <c r="N12" s="15">
        <f>IF('MASTER DATA'!N147="","",'MASTER DATA'!N147)</f>
        <v>44254</v>
      </c>
      <c r="O12" s="16" t="str">
        <f>IF('MASTER DATA'!O147="","",'MASTER DATA'!O147)</f>
        <v>Synthetic QME Evaluator 02</v>
      </c>
      <c r="P12" s="16" t="str">
        <f>IF('MASTER DATA'!P147="","",'MASTER DATA'!P147)</f>
        <v>Y</v>
      </c>
      <c r="Q12" s="16" t="str">
        <f>IF('MASTER DATA'!Q147="","",'MASTER DATA'!Q147)</f>
        <v>Specialist Consultation Requested</v>
      </c>
      <c r="R12" s="16" t="str">
        <f>IF('MASTER DATA'!R147="","",'MASTER DATA'!R147)</f>
        <v>Surgery Requested</v>
      </c>
      <c r="S12" s="16" t="str">
        <f>IF('MASTER DATA'!S147="","",'MASTER DATA'!S147)</f>
        <v>N</v>
      </c>
      <c r="T12" s="15" t="str">
        <f>IF('MASTER DATA'!T147="","",'MASTER DATA'!T147)</f>
        <v/>
      </c>
      <c r="U12" s="16" t="str">
        <f>IF('MASTER DATA'!U147="","",'MASTER DATA'!U147)</f>
        <v>Y</v>
      </c>
      <c r="V12" s="16" t="str">
        <f>IF('MASTER DATA'!V147="","",'MASTER DATA'!V147)</f>
        <v>N</v>
      </c>
      <c r="W12" s="16" t="str">
        <f>IF('MASTER DATA'!W147="","",'MASTER DATA'!W147)</f>
        <v>N</v>
      </c>
      <c r="X12" s="16" t="str">
        <f>IF('MASTER DATA'!X147="","",'MASTER DATA'!X147)</f>
        <v>Y</v>
      </c>
      <c r="Y12" s="16" t="str">
        <f>IF('MASTER DATA'!Y147="","",'MASTER DATA'!Y147)</f>
        <v>N</v>
      </c>
      <c r="Z12" s="16" t="str">
        <f>IF('MASTER DATA'!Z147="","",'MASTER DATA'!Z147)</f>
        <v>N</v>
      </c>
      <c r="AA12" s="16">
        <f>IF('MASTER DATA'!AA147="","",'MASTER DATA'!AA147)</f>
        <v>3</v>
      </c>
      <c r="AB12" s="16" t="str">
        <f>IF('MASTER DATA'!AB147="","",'MASTER DATA'!AB147)</f>
        <v>ELEVATED MULTI-SIGNAL</v>
      </c>
      <c r="AC12" s="16" t="str">
        <f>IF('MASTER DATA'!AC147="","",'MASTER DATA'!AC147)</f>
        <v>Settlement Authorization | Pending QME | Automated Claim Alert</v>
      </c>
    </row>
    <row r="13" spans="1:29" x14ac:dyDescent="0.45">
      <c r="A13" t="str">
        <f>IF('MASTER DATA'!A148="","",'MASTER DATA'!A148)</f>
        <v>SYN-CLM-0147</v>
      </c>
      <c r="B13" t="str">
        <f>IF('MASTER DATA'!B148="","",'MASTER DATA'!B148)</f>
        <v>Synthetic Claimant 0147</v>
      </c>
      <c r="C13" t="str">
        <f>IF('MASTER DATA'!C148="","",'MASTER DATA'!C148)</f>
        <v>Claims Analyst B</v>
      </c>
      <c r="D13" t="str">
        <f>IF('MASTER DATA'!D148="","",'MASTER DATA'!D148)</f>
        <v>Synthetic Policyholder 160, LLC</v>
      </c>
      <c r="E13" s="15">
        <f>IF('MASTER DATA'!E148="","",'MASTER DATA'!E148)</f>
        <v>44498</v>
      </c>
      <c r="F13" s="16" t="str">
        <f>IF('MASTER DATA'!F148="","",'MASTER DATA'!F148)</f>
        <v>Y</v>
      </c>
      <c r="G13" s="17">
        <f>IF('MASTER DATA'!G148="","",'MASTER DATA'!G148)</f>
        <v>113500</v>
      </c>
      <c r="H13" s="16" t="str">
        <f>IF('MASTER DATA'!H148="","",'MASTER DATA'!H148)</f>
        <v>Synthetic Approver 01</v>
      </c>
      <c r="I13" s="15">
        <f>IF('MASTER DATA'!I148="","",'MASTER DATA'!I148)</f>
        <v>44732</v>
      </c>
      <c r="J13" s="16" t="str">
        <f>IF('MASTER DATA'!J148="","",'MASTER DATA'!J148)</f>
        <v>N</v>
      </c>
      <c r="K13" s="15" t="str">
        <f>IF('MASTER DATA'!K148="","",'MASTER DATA'!K148)</f>
        <v/>
      </c>
      <c r="L13" s="16" t="str">
        <f>IF('MASTER DATA'!L148="","",'MASTER DATA'!L148)</f>
        <v>N</v>
      </c>
      <c r="M13" s="16" t="str">
        <f>IF('MASTER DATA'!M148="","",'MASTER DATA'!M148)</f>
        <v>N</v>
      </c>
      <c r="N13" s="15" t="str">
        <f>IF('MASTER DATA'!N148="","",'MASTER DATA'!N148)</f>
        <v/>
      </c>
      <c r="O13" s="16" t="str">
        <f>IF('MASTER DATA'!O148="","",'MASTER DATA'!O148)</f>
        <v/>
      </c>
      <c r="P13" s="16" t="str">
        <f>IF('MASTER DATA'!P148="","",'MASTER DATA'!P148)</f>
        <v>N</v>
      </c>
      <c r="Q13" s="16" t="str">
        <f>IF('MASTER DATA'!Q148="","",'MASTER DATA'!Q148)</f>
        <v/>
      </c>
      <c r="R13" s="16" t="str">
        <f>IF('MASTER DATA'!R148="","",'MASTER DATA'!R148)</f>
        <v/>
      </c>
      <c r="S13" s="16" t="str">
        <f>IF('MASTER DATA'!S148="","",'MASTER DATA'!S148)</f>
        <v>N</v>
      </c>
      <c r="T13" s="15" t="str">
        <f>IF('MASTER DATA'!T148="","",'MASTER DATA'!T148)</f>
        <v/>
      </c>
      <c r="U13" s="16" t="str">
        <f>IF('MASTER DATA'!U148="","",'MASTER DATA'!U148)</f>
        <v>N</v>
      </c>
      <c r="V13" s="16" t="str">
        <f>IF('MASTER DATA'!V148="","",'MASTER DATA'!V148)</f>
        <v>N</v>
      </c>
      <c r="W13" s="16" t="str">
        <f>IF('MASTER DATA'!W148="","",'MASTER DATA'!W148)</f>
        <v>N</v>
      </c>
      <c r="X13" s="16" t="str">
        <f>IF('MASTER DATA'!X148="","",'MASTER DATA'!X148)</f>
        <v>N</v>
      </c>
      <c r="Y13" s="16" t="str">
        <f>IF('MASTER DATA'!Y148="","",'MASTER DATA'!Y148)</f>
        <v>N</v>
      </c>
      <c r="Z13" s="16" t="str">
        <f>IF('MASTER DATA'!Z148="","",'MASTER DATA'!Z148)</f>
        <v>N</v>
      </c>
      <c r="AA13" s="16">
        <f>IF('MASTER DATA'!AA148="","",'MASTER DATA'!AA148)</f>
        <v>1</v>
      </c>
      <c r="AB13" s="16" t="str">
        <f>IF('MASTER DATA'!AB148="","",'MASTER DATA'!AB148)</f>
        <v>SINGLE-SIGNAL</v>
      </c>
      <c r="AC13" s="16" t="str">
        <f>IF('MASTER DATA'!AC148="","",'MASTER DATA'!AC148)</f>
        <v>Settlement Authorization</v>
      </c>
    </row>
    <row r="14" spans="1:29" x14ac:dyDescent="0.45">
      <c r="A14" t="str">
        <f>IF('MASTER DATA'!A149="","",'MASTER DATA'!A149)</f>
        <v>SYN-CLM-0148</v>
      </c>
      <c r="B14" t="str">
        <f>IF('MASTER DATA'!B149="","",'MASTER DATA'!B149)</f>
        <v>Synthetic Claimant 0148</v>
      </c>
      <c r="C14" t="str">
        <f>IF('MASTER DATA'!C149="","",'MASTER DATA'!C149)</f>
        <v>Claims Analyst B</v>
      </c>
      <c r="D14" t="str">
        <f>IF('MASTER DATA'!D149="","",'MASTER DATA'!D149)</f>
        <v>Synthetic Policyholder 061, LLC</v>
      </c>
      <c r="E14" s="15">
        <f>IF('MASTER DATA'!E149="","",'MASTER DATA'!E149)</f>
        <v>43614</v>
      </c>
      <c r="F14" s="16" t="str">
        <f>IF('MASTER DATA'!F149="","",'MASTER DATA'!F149)</f>
        <v>N</v>
      </c>
      <c r="G14" s="17" t="str">
        <f>IF('MASTER DATA'!G149="","",'MASTER DATA'!G149)</f>
        <v/>
      </c>
      <c r="H14" s="16" t="str">
        <f>IF('MASTER DATA'!H149="","",'MASTER DATA'!H149)</f>
        <v/>
      </c>
      <c r="I14" s="15" t="str">
        <f>IF('MASTER DATA'!I149="","",'MASTER DATA'!I149)</f>
        <v/>
      </c>
      <c r="J14" s="16" t="str">
        <f>IF('MASTER DATA'!J149="","",'MASTER DATA'!J149)</f>
        <v>Y</v>
      </c>
      <c r="K14" s="15">
        <f>IF('MASTER DATA'!K149="","",'MASTER DATA'!K149)</f>
        <v>44431</v>
      </c>
      <c r="L14" s="16" t="str">
        <f>IF('MASTER DATA'!L149="","",'MASTER DATA'!L149)</f>
        <v>N</v>
      </c>
      <c r="M14" s="16" t="str">
        <f>IF('MASTER DATA'!M149="","",'MASTER DATA'!M149)</f>
        <v>N</v>
      </c>
      <c r="N14" s="15" t="str">
        <f>IF('MASTER DATA'!N149="","",'MASTER DATA'!N149)</f>
        <v/>
      </c>
      <c r="O14" s="16" t="str">
        <f>IF('MASTER DATA'!O149="","",'MASTER DATA'!O149)</f>
        <v/>
      </c>
      <c r="P14" s="16" t="str">
        <f>IF('MASTER DATA'!P149="","",'MASTER DATA'!P149)</f>
        <v>N</v>
      </c>
      <c r="Q14" s="16" t="str">
        <f>IF('MASTER DATA'!Q149="","",'MASTER DATA'!Q149)</f>
        <v/>
      </c>
      <c r="R14" s="16" t="str">
        <f>IF('MASTER DATA'!R149="","",'MASTER DATA'!R149)</f>
        <v/>
      </c>
      <c r="S14" s="16" t="str">
        <f>IF('MASTER DATA'!S149="","",'MASTER DATA'!S149)</f>
        <v>N</v>
      </c>
      <c r="T14" s="15" t="str">
        <f>IF('MASTER DATA'!T149="","",'MASTER DATA'!T149)</f>
        <v/>
      </c>
      <c r="U14" s="16" t="str">
        <f>IF('MASTER DATA'!U149="","",'MASTER DATA'!U149)</f>
        <v>N</v>
      </c>
      <c r="V14" s="16" t="str">
        <f>IF('MASTER DATA'!V149="","",'MASTER DATA'!V149)</f>
        <v>N</v>
      </c>
      <c r="W14" s="16" t="str">
        <f>IF('MASTER DATA'!W149="","",'MASTER DATA'!W149)</f>
        <v>N</v>
      </c>
      <c r="X14" s="16" t="str">
        <f>IF('MASTER DATA'!X149="","",'MASTER DATA'!X149)</f>
        <v>N</v>
      </c>
      <c r="Y14" s="16" t="str">
        <f>IF('MASTER DATA'!Y149="","",'MASTER DATA'!Y149)</f>
        <v>N</v>
      </c>
      <c r="Z14" s="16" t="str">
        <f>IF('MASTER DATA'!Z149="","",'MASTER DATA'!Z149)</f>
        <v>N</v>
      </c>
      <c r="AA14" s="16">
        <f>IF('MASTER DATA'!AA149="","",'MASTER DATA'!AA149)</f>
        <v>1</v>
      </c>
      <c r="AB14" s="16" t="str">
        <f>IF('MASTER DATA'!AB149="","",'MASTER DATA'!AB149)</f>
        <v>SINGLE-SIGNAL</v>
      </c>
      <c r="AC14" s="16" t="str">
        <f>IF('MASTER DATA'!AC149="","",'MASTER DATA'!AC149)</f>
        <v>Open Stipulation</v>
      </c>
    </row>
    <row r="15" spans="1:29" x14ac:dyDescent="0.45">
      <c r="A15" t="str">
        <f>IF('MASTER DATA'!A150="","",'MASTER DATA'!A150)</f>
        <v>SYN-CLM-0149</v>
      </c>
      <c r="B15" t="str">
        <f>IF('MASTER DATA'!B150="","",'MASTER DATA'!B150)</f>
        <v>Synthetic Claimant 0149</v>
      </c>
      <c r="C15" t="str">
        <f>IF('MASTER DATA'!C150="","",'MASTER DATA'!C150)</f>
        <v>Claims Analyst B</v>
      </c>
      <c r="D15" t="str">
        <f>IF('MASTER DATA'!D150="","",'MASTER DATA'!D150)</f>
        <v>Synthetic Policyholder 081, LLC</v>
      </c>
      <c r="E15" s="15">
        <f>IF('MASTER DATA'!E150="","",'MASTER DATA'!E150)</f>
        <v>44402</v>
      </c>
      <c r="F15" s="16" t="str">
        <f>IF('MASTER DATA'!F150="","",'MASTER DATA'!F150)</f>
        <v>Y</v>
      </c>
      <c r="G15" s="17">
        <f>IF('MASTER DATA'!G150="","",'MASTER DATA'!G150)</f>
        <v>129500</v>
      </c>
      <c r="H15" s="16" t="str">
        <f>IF('MASTER DATA'!H150="","",'MASTER DATA'!H150)</f>
        <v>Synthetic Approver 03</v>
      </c>
      <c r="I15" s="15">
        <f>IF('MASTER DATA'!I150="","",'MASTER DATA'!I150)</f>
        <v>44904</v>
      </c>
      <c r="J15" s="16" t="str">
        <f>IF('MASTER DATA'!J150="","",'MASTER DATA'!J150)</f>
        <v>N</v>
      </c>
      <c r="K15" s="15" t="str">
        <f>IF('MASTER DATA'!K150="","",'MASTER DATA'!K150)</f>
        <v/>
      </c>
      <c r="L15" s="16" t="str">
        <f>IF('MASTER DATA'!L150="","",'MASTER DATA'!L150)</f>
        <v>N</v>
      </c>
      <c r="M15" s="16" t="str">
        <f>IF('MASTER DATA'!M150="","",'MASTER DATA'!M150)</f>
        <v>N</v>
      </c>
      <c r="N15" s="15" t="str">
        <f>IF('MASTER DATA'!N150="","",'MASTER DATA'!N150)</f>
        <v/>
      </c>
      <c r="O15" s="16" t="str">
        <f>IF('MASTER DATA'!O150="","",'MASTER DATA'!O150)</f>
        <v/>
      </c>
      <c r="P15" s="16" t="str">
        <f>IF('MASTER DATA'!P150="","",'MASTER DATA'!P150)</f>
        <v>N</v>
      </c>
      <c r="Q15" s="16" t="str">
        <f>IF('MASTER DATA'!Q150="","",'MASTER DATA'!Q150)</f>
        <v/>
      </c>
      <c r="R15" s="16" t="str">
        <f>IF('MASTER DATA'!R150="","",'MASTER DATA'!R150)</f>
        <v/>
      </c>
      <c r="S15" s="16" t="str">
        <f>IF('MASTER DATA'!S150="","",'MASTER DATA'!S150)</f>
        <v>N</v>
      </c>
      <c r="T15" s="15" t="str">
        <f>IF('MASTER DATA'!T150="","",'MASTER DATA'!T150)</f>
        <v/>
      </c>
      <c r="U15" s="16" t="str">
        <f>IF('MASTER DATA'!U150="","",'MASTER DATA'!U150)</f>
        <v>N</v>
      </c>
      <c r="V15" s="16" t="str">
        <f>IF('MASTER DATA'!V150="","",'MASTER DATA'!V150)</f>
        <v>N</v>
      </c>
      <c r="W15" s="16" t="str">
        <f>IF('MASTER DATA'!W150="","",'MASTER DATA'!W150)</f>
        <v>N</v>
      </c>
      <c r="X15" s="16" t="str">
        <f>IF('MASTER DATA'!X150="","",'MASTER DATA'!X150)</f>
        <v>N</v>
      </c>
      <c r="Y15" s="16" t="str">
        <f>IF('MASTER DATA'!Y150="","",'MASTER DATA'!Y150)</f>
        <v>N</v>
      </c>
      <c r="Z15" s="16" t="str">
        <f>IF('MASTER DATA'!Z150="","",'MASTER DATA'!Z150)</f>
        <v>N</v>
      </c>
      <c r="AA15" s="16">
        <f>IF('MASTER DATA'!AA150="","",'MASTER DATA'!AA150)</f>
        <v>1</v>
      </c>
      <c r="AB15" s="16" t="str">
        <f>IF('MASTER DATA'!AB150="","",'MASTER DATA'!AB150)</f>
        <v>SINGLE-SIGNAL</v>
      </c>
      <c r="AC15" s="16" t="str">
        <f>IF('MASTER DATA'!AC150="","",'MASTER DATA'!AC150)</f>
        <v>Settlement Authorization</v>
      </c>
    </row>
    <row r="16" spans="1:29" x14ac:dyDescent="0.45">
      <c r="A16" t="str">
        <f>IF('MASTER DATA'!A151="","",'MASTER DATA'!A151)</f>
        <v>SYN-CLM-0150</v>
      </c>
      <c r="B16" t="str">
        <f>IF('MASTER DATA'!B151="","",'MASTER DATA'!B151)</f>
        <v>Synthetic Claimant 0150</v>
      </c>
      <c r="C16" t="str">
        <f>IF('MASTER DATA'!C151="","",'MASTER DATA'!C151)</f>
        <v>Claims Analyst B</v>
      </c>
      <c r="D16" t="str">
        <f>IF('MASTER DATA'!D151="","",'MASTER DATA'!D151)</f>
        <v>Synthetic Policyholder 155, LLC</v>
      </c>
      <c r="E16" s="15">
        <f>IF('MASTER DATA'!E151="","",'MASTER DATA'!E151)</f>
        <v>43347</v>
      </c>
      <c r="F16" s="16" t="str">
        <f>IF('MASTER DATA'!F151="","",'MASTER DATA'!F151)</f>
        <v>N</v>
      </c>
      <c r="G16" s="17" t="str">
        <f>IF('MASTER DATA'!G151="","",'MASTER DATA'!G151)</f>
        <v/>
      </c>
      <c r="H16" s="16" t="str">
        <f>IF('MASTER DATA'!H151="","",'MASTER DATA'!H151)</f>
        <v/>
      </c>
      <c r="I16" s="15" t="str">
        <f>IF('MASTER DATA'!I151="","",'MASTER DATA'!I151)</f>
        <v/>
      </c>
      <c r="J16" s="16" t="str">
        <f>IF('MASTER DATA'!J151="","",'MASTER DATA'!J151)</f>
        <v>N</v>
      </c>
      <c r="K16" s="15" t="str">
        <f>IF('MASTER DATA'!K151="","",'MASTER DATA'!K151)</f>
        <v/>
      </c>
      <c r="L16" s="16" t="str">
        <f>IF('MASTER DATA'!L151="","",'MASTER DATA'!L151)</f>
        <v/>
      </c>
      <c r="M16" s="16" t="str">
        <f>IF('MASTER DATA'!M151="","",'MASTER DATA'!M151)</f>
        <v>N</v>
      </c>
      <c r="N16" s="15" t="str">
        <f>IF('MASTER DATA'!N151="","",'MASTER DATA'!N151)</f>
        <v/>
      </c>
      <c r="O16" s="16" t="str">
        <f>IF('MASTER DATA'!O151="","",'MASTER DATA'!O151)</f>
        <v/>
      </c>
      <c r="P16" s="16" t="str">
        <f>IF('MASTER DATA'!P151="","",'MASTER DATA'!P151)</f>
        <v>Y</v>
      </c>
      <c r="Q16" s="16" t="str">
        <f>IF('MASTER DATA'!Q151="","",'MASTER DATA'!Q151)</f>
        <v>MMI Date Reported; Denied Treatment Requests; Specialist Consultation Requested</v>
      </c>
      <c r="R16" s="16" t="str">
        <f>IF('MASTER DATA'!R151="","",'MASTER DATA'!R151)</f>
        <v>Non-Renewed Account</v>
      </c>
      <c r="S16" s="16" t="str">
        <f>IF('MASTER DATA'!S151="","",'MASTER DATA'!S151)</f>
        <v>N</v>
      </c>
      <c r="T16" s="15" t="str">
        <f>IF('MASTER DATA'!T151="","",'MASTER DATA'!T151)</f>
        <v/>
      </c>
      <c r="U16" s="16" t="str">
        <f>IF('MASTER DATA'!U151="","",'MASTER DATA'!U151)</f>
        <v>N</v>
      </c>
      <c r="V16" s="16" t="str">
        <f>IF('MASTER DATA'!V151="","",'MASTER DATA'!V151)</f>
        <v>Y</v>
      </c>
      <c r="W16" s="16" t="str">
        <f>IF('MASTER DATA'!W151="","",'MASTER DATA'!W151)</f>
        <v>Y</v>
      </c>
      <c r="X16" s="16" t="str">
        <f>IF('MASTER DATA'!X151="","",'MASTER DATA'!X151)</f>
        <v>Y</v>
      </c>
      <c r="Y16" s="16" t="str">
        <f>IF('MASTER DATA'!Y151="","",'MASTER DATA'!Y151)</f>
        <v>Y</v>
      </c>
      <c r="Z16" s="16" t="str">
        <f>IF('MASTER DATA'!Z151="","",'MASTER DATA'!Z151)</f>
        <v>N</v>
      </c>
      <c r="AA16" s="16">
        <f>IF('MASTER DATA'!AA151="","",'MASTER DATA'!AA151)</f>
        <v>1</v>
      </c>
      <c r="AB16" s="16" t="str">
        <f>IF('MASTER DATA'!AB151="","",'MASTER DATA'!AB151)</f>
        <v>SINGLE-SIGNAL</v>
      </c>
      <c r="AC16" s="16" t="str">
        <f>IF('MASTER DATA'!AC151="","",'MASTER DATA'!AC151)</f>
        <v>Automated Claim Alert</v>
      </c>
    </row>
    <row r="17" spans="1:29" x14ac:dyDescent="0.45">
      <c r="A17" t="str">
        <f>IF('MASTER DATA'!A152="","",'MASTER DATA'!A152)</f>
        <v>SYN-CLM-0151</v>
      </c>
      <c r="B17" t="str">
        <f>IF('MASTER DATA'!B152="","",'MASTER DATA'!B152)</f>
        <v>Synthetic Claimant 0151</v>
      </c>
      <c r="C17" t="str">
        <f>IF('MASTER DATA'!C152="","",'MASTER DATA'!C152)</f>
        <v>Claims Analyst B</v>
      </c>
      <c r="D17" t="str">
        <f>IF('MASTER DATA'!D152="","",'MASTER DATA'!D152)</f>
        <v>Synthetic Policyholder 052, LLC</v>
      </c>
      <c r="E17" s="15">
        <f>IF('MASTER DATA'!E152="","",'MASTER DATA'!E152)</f>
        <v>45624</v>
      </c>
      <c r="F17" s="16" t="str">
        <f>IF('MASTER DATA'!F152="","",'MASTER DATA'!F152)</f>
        <v>N</v>
      </c>
      <c r="G17" s="17" t="str">
        <f>IF('MASTER DATA'!G152="","",'MASTER DATA'!G152)</f>
        <v/>
      </c>
      <c r="H17" s="16" t="str">
        <f>IF('MASTER DATA'!H152="","",'MASTER DATA'!H152)</f>
        <v/>
      </c>
      <c r="I17" s="15" t="str">
        <f>IF('MASTER DATA'!I152="","",'MASTER DATA'!I152)</f>
        <v/>
      </c>
      <c r="J17" s="16" t="str">
        <f>IF('MASTER DATA'!J152="","",'MASTER DATA'!J152)</f>
        <v>N</v>
      </c>
      <c r="K17" s="15" t="str">
        <f>IF('MASTER DATA'!K152="","",'MASTER DATA'!K152)</f>
        <v/>
      </c>
      <c r="L17" s="16" t="str">
        <f>IF('MASTER DATA'!L152="","",'MASTER DATA'!L152)</f>
        <v/>
      </c>
      <c r="M17" s="16" t="str">
        <f>IF('MASTER DATA'!M152="","",'MASTER DATA'!M152)</f>
        <v>N</v>
      </c>
      <c r="N17" s="15" t="str">
        <f>IF('MASTER DATA'!N152="","",'MASTER DATA'!N152)</f>
        <v/>
      </c>
      <c r="O17" s="16" t="str">
        <f>IF('MASTER DATA'!O152="","",'MASTER DATA'!O152)</f>
        <v/>
      </c>
      <c r="P17" s="16" t="str">
        <f>IF('MASTER DATA'!P152="","",'MASTER DATA'!P152)</f>
        <v>Y</v>
      </c>
      <c r="Q17" s="16" t="str">
        <f>IF('MASTER DATA'!Q152="","",'MASTER DATA'!Q152)</f>
        <v>MMI Date Reported; Specialist Consultation Requested; Surgery Requested</v>
      </c>
      <c r="R17" s="16" t="str">
        <f>IF('MASTER DATA'!R152="","",'MASTER DATA'!R152)</f>
        <v>MSA Eligible in Next 3 Years</v>
      </c>
      <c r="S17" s="16" t="str">
        <f>IF('MASTER DATA'!S152="","",'MASTER DATA'!S152)</f>
        <v>N</v>
      </c>
      <c r="T17" s="15" t="str">
        <f>IF('MASTER DATA'!T152="","",'MASTER DATA'!T152)</f>
        <v/>
      </c>
      <c r="U17" s="16" t="str">
        <f>IF('MASTER DATA'!U152="","",'MASTER DATA'!U152)</f>
        <v>Y</v>
      </c>
      <c r="V17" s="16" t="str">
        <f>IF('MASTER DATA'!V152="","",'MASTER DATA'!V152)</f>
        <v>Y</v>
      </c>
      <c r="W17" s="16" t="str">
        <f>IF('MASTER DATA'!W152="","",'MASTER DATA'!W152)</f>
        <v>N</v>
      </c>
      <c r="X17" s="16" t="str">
        <f>IF('MASTER DATA'!X152="","",'MASTER DATA'!X152)</f>
        <v>Y</v>
      </c>
      <c r="Y17" s="16" t="str">
        <f>IF('MASTER DATA'!Y152="","",'MASTER DATA'!Y152)</f>
        <v>N</v>
      </c>
      <c r="Z17" s="16" t="str">
        <f>IF('MASTER DATA'!Z152="","",'MASTER DATA'!Z152)</f>
        <v>Y</v>
      </c>
      <c r="AA17" s="16">
        <f>IF('MASTER DATA'!AA152="","",'MASTER DATA'!AA152)</f>
        <v>1</v>
      </c>
      <c r="AB17" s="16" t="str">
        <f>IF('MASTER DATA'!AB152="","",'MASTER DATA'!AB152)</f>
        <v>SINGLE-SIGNAL</v>
      </c>
      <c r="AC17" s="16" t="str">
        <f>IF('MASTER DATA'!AC152="","",'MASTER DATA'!AC152)</f>
        <v>Automated Claim Alert</v>
      </c>
    </row>
    <row r="18" spans="1:29" x14ac:dyDescent="0.45">
      <c r="A18" t="str">
        <f>IF('MASTER DATA'!A153="","",'MASTER DATA'!A153)</f>
        <v>SYN-CLM-0152</v>
      </c>
      <c r="B18" t="str">
        <f>IF('MASTER DATA'!B153="","",'MASTER DATA'!B153)</f>
        <v>Synthetic Claimant 0152</v>
      </c>
      <c r="C18" t="str">
        <f>IF('MASTER DATA'!C153="","",'MASTER DATA'!C153)</f>
        <v>Claims Analyst B</v>
      </c>
      <c r="D18" t="str">
        <f>IF('MASTER DATA'!D153="","",'MASTER DATA'!D153)</f>
        <v>Synthetic Policyholder 109, LLC</v>
      </c>
      <c r="E18" s="15">
        <f>IF('MASTER DATA'!E153="","",'MASTER DATA'!E153)</f>
        <v>44789</v>
      </c>
      <c r="F18" s="16" t="str">
        <f>IF('MASTER DATA'!F153="","",'MASTER DATA'!F153)</f>
        <v>Y</v>
      </c>
      <c r="G18" s="17">
        <f>IF('MASTER DATA'!G153="","",'MASTER DATA'!G153)</f>
        <v>168500</v>
      </c>
      <c r="H18" s="16" t="str">
        <f>IF('MASTER DATA'!H153="","",'MASTER DATA'!H153)</f>
        <v>Synthetic Approver 07</v>
      </c>
      <c r="I18" s="15">
        <f>IF('MASTER DATA'!I153="","",'MASTER DATA'!I153)</f>
        <v>45733</v>
      </c>
      <c r="J18" s="16" t="str">
        <f>IF('MASTER DATA'!J153="","",'MASTER DATA'!J153)</f>
        <v>N</v>
      </c>
      <c r="K18" s="15" t="str">
        <f>IF('MASTER DATA'!K153="","",'MASTER DATA'!K153)</f>
        <v/>
      </c>
      <c r="L18" s="16" t="str">
        <f>IF('MASTER DATA'!L153="","",'MASTER DATA'!L153)</f>
        <v>Y</v>
      </c>
      <c r="M18" s="16" t="str">
        <f>IF('MASTER DATA'!M153="","",'MASTER DATA'!M153)</f>
        <v>N</v>
      </c>
      <c r="N18" s="15" t="str">
        <f>IF('MASTER DATA'!N153="","",'MASTER DATA'!N153)</f>
        <v/>
      </c>
      <c r="O18" s="16" t="str">
        <f>IF('MASTER DATA'!O153="","",'MASTER DATA'!O153)</f>
        <v/>
      </c>
      <c r="P18" s="16" t="str">
        <f>IF('MASTER DATA'!P153="","",'MASTER DATA'!P153)</f>
        <v>Y</v>
      </c>
      <c r="Q18" s="16" t="str">
        <f>IF('MASTER DATA'!Q153="","",'MASTER DATA'!Q153)</f>
        <v>Surgery Requested; Specialist Consultation Requested; MMI Date Reported</v>
      </c>
      <c r="R18" s="16" t="str">
        <f>IF('MASTER DATA'!R153="","",'MASTER DATA'!R153)</f>
        <v>Non-Renewed Account</v>
      </c>
      <c r="S18" s="16" t="str">
        <f>IF('MASTER DATA'!S153="","",'MASTER DATA'!S153)</f>
        <v>N</v>
      </c>
      <c r="T18" s="15" t="str">
        <f>IF('MASTER DATA'!T153="","",'MASTER DATA'!T153)</f>
        <v/>
      </c>
      <c r="U18" s="16" t="str">
        <f>IF('MASTER DATA'!U153="","",'MASTER DATA'!U153)</f>
        <v>Y</v>
      </c>
      <c r="V18" s="16" t="str">
        <f>IF('MASTER DATA'!V153="","",'MASTER DATA'!V153)</f>
        <v>Y</v>
      </c>
      <c r="W18" s="16" t="str">
        <f>IF('MASTER DATA'!W153="","",'MASTER DATA'!W153)</f>
        <v>N</v>
      </c>
      <c r="X18" s="16" t="str">
        <f>IF('MASTER DATA'!X153="","",'MASTER DATA'!X153)</f>
        <v>Y</v>
      </c>
      <c r="Y18" s="16" t="str">
        <f>IF('MASTER DATA'!Y153="","",'MASTER DATA'!Y153)</f>
        <v>Y</v>
      </c>
      <c r="Z18" s="16" t="str">
        <f>IF('MASTER DATA'!Z153="","",'MASTER DATA'!Z153)</f>
        <v>N</v>
      </c>
      <c r="AA18" s="16">
        <f>IF('MASTER DATA'!AA153="","",'MASTER DATA'!AA153)</f>
        <v>2</v>
      </c>
      <c r="AB18" s="16" t="str">
        <f>IF('MASTER DATA'!AB153="","",'MASTER DATA'!AB153)</f>
        <v>MULTI-SIGNAL</v>
      </c>
      <c r="AC18" s="16" t="str">
        <f>IF('MASTER DATA'!AC153="","",'MASTER DATA'!AC153)</f>
        <v>Settlement Authorization | Automated Claim Alert</v>
      </c>
    </row>
    <row r="19" spans="1:29" x14ac:dyDescent="0.45">
      <c r="A19" t="str">
        <f>IF('MASTER DATA'!A154="","",'MASTER DATA'!A154)</f>
        <v>SYN-CLM-0153</v>
      </c>
      <c r="B19" t="str">
        <f>IF('MASTER DATA'!B154="","",'MASTER DATA'!B154)</f>
        <v>Synthetic Claimant 0153</v>
      </c>
      <c r="C19" t="str">
        <f>IF('MASTER DATA'!C154="","",'MASTER DATA'!C154)</f>
        <v>Claims Analyst B</v>
      </c>
      <c r="D19" t="str">
        <f>IF('MASTER DATA'!D154="","",'MASTER DATA'!D154)</f>
        <v>Synthetic Policyholder 103, LLC</v>
      </c>
      <c r="E19" s="15">
        <f>IF('MASTER DATA'!E154="","",'MASTER DATA'!E154)</f>
        <v>44839</v>
      </c>
      <c r="F19" s="16" t="str">
        <f>IF('MASTER DATA'!F154="","",'MASTER DATA'!F154)</f>
        <v>Y</v>
      </c>
      <c r="G19" s="17">
        <f>IF('MASTER DATA'!G154="","",'MASTER DATA'!G154)</f>
        <v>111750</v>
      </c>
      <c r="H19" s="16" t="str">
        <f>IF('MASTER DATA'!H154="","",'MASTER DATA'!H154)</f>
        <v>Synthetic Approver 02</v>
      </c>
      <c r="I19" s="15">
        <f>IF('MASTER DATA'!I154="","",'MASTER DATA'!I154)</f>
        <v>45584</v>
      </c>
      <c r="J19" s="16" t="str">
        <f>IF('MASTER DATA'!J154="","",'MASTER DATA'!J154)</f>
        <v>N</v>
      </c>
      <c r="K19" s="15" t="str">
        <f>IF('MASTER DATA'!K154="","",'MASTER DATA'!K154)</f>
        <v/>
      </c>
      <c r="L19" s="16" t="str">
        <f>IF('MASTER DATA'!L154="","",'MASTER DATA'!L154)</f>
        <v>Y</v>
      </c>
      <c r="M19" s="16" t="str">
        <f>IF('MASTER DATA'!M154="","",'MASTER DATA'!M154)</f>
        <v>N</v>
      </c>
      <c r="N19" s="15" t="str">
        <f>IF('MASTER DATA'!N154="","",'MASTER DATA'!N154)</f>
        <v/>
      </c>
      <c r="O19" s="16" t="str">
        <f>IF('MASTER DATA'!O154="","",'MASTER DATA'!O154)</f>
        <v/>
      </c>
      <c r="P19" s="16" t="str">
        <f>IF('MASTER DATA'!P154="","",'MASTER DATA'!P154)</f>
        <v>Y</v>
      </c>
      <c r="Q19" s="16" t="str">
        <f>IF('MASTER DATA'!Q154="","",'MASTER DATA'!Q154)</f>
        <v>Non-Renewed Account; Surgery Requested; MMI Date Reported</v>
      </c>
      <c r="R19" s="16" t="str">
        <f>IF('MASTER DATA'!R154="","",'MASTER DATA'!R154)</f>
        <v>MSA Eligible in Next 3 Years; Specialist Consultation Requested</v>
      </c>
      <c r="S19" s="16" t="str">
        <f>IF('MASTER DATA'!S154="","",'MASTER DATA'!S154)</f>
        <v>N</v>
      </c>
      <c r="T19" s="15" t="str">
        <f>IF('MASTER DATA'!T154="","",'MASTER DATA'!T154)</f>
        <v/>
      </c>
      <c r="U19" s="16" t="str">
        <f>IF('MASTER DATA'!U154="","",'MASTER DATA'!U154)</f>
        <v>Y</v>
      </c>
      <c r="V19" s="16" t="str">
        <f>IF('MASTER DATA'!V154="","",'MASTER DATA'!V154)</f>
        <v>Y</v>
      </c>
      <c r="W19" s="16" t="str">
        <f>IF('MASTER DATA'!W154="","",'MASTER DATA'!W154)</f>
        <v>N</v>
      </c>
      <c r="X19" s="16" t="str">
        <f>IF('MASTER DATA'!X154="","",'MASTER DATA'!X154)</f>
        <v>Y</v>
      </c>
      <c r="Y19" s="16" t="str">
        <f>IF('MASTER DATA'!Y154="","",'MASTER DATA'!Y154)</f>
        <v>Y</v>
      </c>
      <c r="Z19" s="16" t="str">
        <f>IF('MASTER DATA'!Z154="","",'MASTER DATA'!Z154)</f>
        <v>Y</v>
      </c>
      <c r="AA19" s="16">
        <f>IF('MASTER DATA'!AA154="","",'MASTER DATA'!AA154)</f>
        <v>2</v>
      </c>
      <c r="AB19" s="16" t="str">
        <f>IF('MASTER DATA'!AB154="","",'MASTER DATA'!AB154)</f>
        <v>MULTI-SIGNAL</v>
      </c>
      <c r="AC19" s="16" t="str">
        <f>IF('MASTER DATA'!AC154="","",'MASTER DATA'!AC154)</f>
        <v>Settlement Authorization | Automated Claim Alert</v>
      </c>
    </row>
    <row r="20" spans="1:29" x14ac:dyDescent="0.45">
      <c r="A20" t="str">
        <f>IF('MASTER DATA'!A155="","",'MASTER DATA'!A155)</f>
        <v>SYN-CLM-0154</v>
      </c>
      <c r="B20" t="str">
        <f>IF('MASTER DATA'!B155="","",'MASTER DATA'!B155)</f>
        <v>Synthetic Claimant 0154</v>
      </c>
      <c r="C20" t="str">
        <f>IF('MASTER DATA'!C155="","",'MASTER DATA'!C155)</f>
        <v>Claims Analyst B</v>
      </c>
      <c r="D20" t="str">
        <f>IF('MASTER DATA'!D155="","",'MASTER DATA'!D155)</f>
        <v>Synthetic Policyholder 013, LLC</v>
      </c>
      <c r="E20" s="15">
        <f>IF('MASTER DATA'!E155="","",'MASTER DATA'!E155)</f>
        <v>43986</v>
      </c>
      <c r="F20" s="16" t="str">
        <f>IF('MASTER DATA'!F155="","",'MASTER DATA'!F155)</f>
        <v>Y</v>
      </c>
      <c r="G20" s="17">
        <f>IF('MASTER DATA'!G155="","",'MASTER DATA'!G155)</f>
        <v>138750</v>
      </c>
      <c r="H20" s="16" t="str">
        <f>IF('MASTER DATA'!H155="","",'MASTER DATA'!H155)</f>
        <v>Synthetic Approver 10</v>
      </c>
      <c r="I20" s="15">
        <f>IF('MASTER DATA'!I155="","",'MASTER DATA'!I155)</f>
        <v>45154</v>
      </c>
      <c r="J20" s="16" t="str">
        <f>IF('MASTER DATA'!J155="","",'MASTER DATA'!J155)</f>
        <v>N</v>
      </c>
      <c r="K20" s="15" t="str">
        <f>IF('MASTER DATA'!K155="","",'MASTER DATA'!K155)</f>
        <v/>
      </c>
      <c r="L20" s="16" t="str">
        <f>IF('MASTER DATA'!L155="","",'MASTER DATA'!L155)</f>
        <v>Y</v>
      </c>
      <c r="M20" s="16" t="str">
        <f>IF('MASTER DATA'!M155="","",'MASTER DATA'!M155)</f>
        <v>N</v>
      </c>
      <c r="N20" s="15" t="str">
        <f>IF('MASTER DATA'!N155="","",'MASTER DATA'!N155)</f>
        <v/>
      </c>
      <c r="O20" s="16" t="str">
        <f>IF('MASTER DATA'!O155="","",'MASTER DATA'!O155)</f>
        <v/>
      </c>
      <c r="P20" s="16" t="str">
        <f>IF('MASTER DATA'!P155="","",'MASTER DATA'!P155)</f>
        <v>N</v>
      </c>
      <c r="Q20" s="16" t="str">
        <f>IF('MASTER DATA'!Q155="","",'MASTER DATA'!Q155)</f>
        <v/>
      </c>
      <c r="R20" s="16" t="str">
        <f>IF('MASTER DATA'!R155="","",'MASTER DATA'!R155)</f>
        <v/>
      </c>
      <c r="S20" s="16" t="str">
        <f>IF('MASTER DATA'!S155="","",'MASTER DATA'!S155)</f>
        <v>N</v>
      </c>
      <c r="T20" s="15" t="str">
        <f>IF('MASTER DATA'!T155="","",'MASTER DATA'!T155)</f>
        <v/>
      </c>
      <c r="U20" s="16" t="str">
        <f>IF('MASTER DATA'!U155="","",'MASTER DATA'!U155)</f>
        <v>N</v>
      </c>
      <c r="V20" s="16" t="str">
        <f>IF('MASTER DATA'!V155="","",'MASTER DATA'!V155)</f>
        <v>N</v>
      </c>
      <c r="W20" s="16" t="str">
        <f>IF('MASTER DATA'!W155="","",'MASTER DATA'!W155)</f>
        <v>N</v>
      </c>
      <c r="X20" s="16" t="str">
        <f>IF('MASTER DATA'!X155="","",'MASTER DATA'!X155)</f>
        <v>N</v>
      </c>
      <c r="Y20" s="16" t="str">
        <f>IF('MASTER DATA'!Y155="","",'MASTER DATA'!Y155)</f>
        <v>N</v>
      </c>
      <c r="Z20" s="16" t="str">
        <f>IF('MASTER DATA'!Z155="","",'MASTER DATA'!Z155)</f>
        <v>N</v>
      </c>
      <c r="AA20" s="16">
        <f>IF('MASTER DATA'!AA155="","",'MASTER DATA'!AA155)</f>
        <v>1</v>
      </c>
      <c r="AB20" s="16" t="str">
        <f>IF('MASTER DATA'!AB155="","",'MASTER DATA'!AB155)</f>
        <v>SINGLE-SIGNAL</v>
      </c>
      <c r="AC20" s="16" t="str">
        <f>IF('MASTER DATA'!AC155="","",'MASTER DATA'!AC155)</f>
        <v>Settlement Authorization</v>
      </c>
    </row>
    <row r="21" spans="1:29" x14ac:dyDescent="0.45">
      <c r="A21" t="str">
        <f>IF('MASTER DATA'!A156="","",'MASTER DATA'!A156)</f>
        <v>SYN-CLM-0155</v>
      </c>
      <c r="B21" t="str">
        <f>IF('MASTER DATA'!B156="","",'MASTER DATA'!B156)</f>
        <v>Synthetic Claimant 0155</v>
      </c>
      <c r="C21" t="str">
        <f>IF('MASTER DATA'!C156="","",'MASTER DATA'!C156)</f>
        <v>Claims Analyst B</v>
      </c>
      <c r="D21" t="str">
        <f>IF('MASTER DATA'!D156="","",'MASTER DATA'!D156)</f>
        <v>Synthetic Policyholder 080, LLC</v>
      </c>
      <c r="E21" s="15">
        <f>IF('MASTER DATA'!E156="","",'MASTER DATA'!E156)</f>
        <v>43843</v>
      </c>
      <c r="F21" s="16" t="str">
        <f>IF('MASTER DATA'!F156="","",'MASTER DATA'!F156)</f>
        <v>Y</v>
      </c>
      <c r="G21" s="17">
        <f>IF('MASTER DATA'!G156="","",'MASTER DATA'!G156)</f>
        <v>23750</v>
      </c>
      <c r="H21" s="16" t="str">
        <f>IF('MASTER DATA'!H156="","",'MASTER DATA'!H156)</f>
        <v>Synthetic Approver 07</v>
      </c>
      <c r="I21" s="15">
        <f>IF('MASTER DATA'!I156="","",'MASTER DATA'!I156)</f>
        <v>45487</v>
      </c>
      <c r="J21" s="16" t="str">
        <f>IF('MASTER DATA'!J156="","",'MASTER DATA'!J156)</f>
        <v>Y</v>
      </c>
      <c r="K21" s="15">
        <f>IF('MASTER DATA'!K156="","",'MASTER DATA'!K156)</f>
        <v>44723</v>
      </c>
      <c r="L21" s="16" t="str">
        <f>IF('MASTER DATA'!L156="","",'MASTER DATA'!L156)</f>
        <v>N</v>
      </c>
      <c r="M21" s="16" t="str">
        <f>IF('MASTER DATA'!M156="","",'MASTER DATA'!M156)</f>
        <v>N</v>
      </c>
      <c r="N21" s="15" t="str">
        <f>IF('MASTER DATA'!N156="","",'MASTER DATA'!N156)</f>
        <v/>
      </c>
      <c r="O21" s="16" t="str">
        <f>IF('MASTER DATA'!O156="","",'MASTER DATA'!O156)</f>
        <v/>
      </c>
      <c r="P21" s="16" t="str">
        <f>IF('MASTER DATA'!P156="","",'MASTER DATA'!P156)</f>
        <v>Y</v>
      </c>
      <c r="Q21" s="16" t="str">
        <f>IF('MASTER DATA'!Q156="","",'MASTER DATA'!Q156)</f>
        <v>MMI Date Reported</v>
      </c>
      <c r="R21" s="16" t="str">
        <f>IF('MASTER DATA'!R156="","",'MASTER DATA'!R156)</f>
        <v>Non-Renewed Account; MSA Eligible in Next 3 Years</v>
      </c>
      <c r="S21" s="16" t="str">
        <f>IF('MASTER DATA'!S156="","",'MASTER DATA'!S156)</f>
        <v>N</v>
      </c>
      <c r="T21" s="15" t="str">
        <f>IF('MASTER DATA'!T156="","",'MASTER DATA'!T156)</f>
        <v/>
      </c>
      <c r="U21" s="16" t="str">
        <f>IF('MASTER DATA'!U156="","",'MASTER DATA'!U156)</f>
        <v>N</v>
      </c>
      <c r="V21" s="16" t="str">
        <f>IF('MASTER DATA'!V156="","",'MASTER DATA'!V156)</f>
        <v>Y</v>
      </c>
      <c r="W21" s="16" t="str">
        <f>IF('MASTER DATA'!W156="","",'MASTER DATA'!W156)</f>
        <v>N</v>
      </c>
      <c r="X21" s="16" t="str">
        <f>IF('MASTER DATA'!X156="","",'MASTER DATA'!X156)</f>
        <v>N</v>
      </c>
      <c r="Y21" s="16" t="str">
        <f>IF('MASTER DATA'!Y156="","",'MASTER DATA'!Y156)</f>
        <v>Y</v>
      </c>
      <c r="Z21" s="16" t="str">
        <f>IF('MASTER DATA'!Z156="","",'MASTER DATA'!Z156)</f>
        <v>Y</v>
      </c>
      <c r="AA21" s="16">
        <f>IF('MASTER DATA'!AA156="","",'MASTER DATA'!AA156)</f>
        <v>3</v>
      </c>
      <c r="AB21" s="16" t="str">
        <f>IF('MASTER DATA'!AB156="","",'MASTER DATA'!AB156)</f>
        <v>ELEVATED MULTI-SIGNAL</v>
      </c>
      <c r="AC21" s="16" t="str">
        <f>IF('MASTER DATA'!AC156="","",'MASTER DATA'!AC156)</f>
        <v>Settlement Authorization | Open Stipulation | Automated Claim Alert</v>
      </c>
    </row>
    <row r="22" spans="1:29" x14ac:dyDescent="0.45">
      <c r="A22" t="str">
        <f>IF('MASTER DATA'!A157="","",'MASTER DATA'!A157)</f>
        <v>SYN-CLM-0156</v>
      </c>
      <c r="B22" t="str">
        <f>IF('MASTER DATA'!B157="","",'MASTER DATA'!B157)</f>
        <v>Synthetic Claimant 0156</v>
      </c>
      <c r="C22" t="str">
        <f>IF('MASTER DATA'!C157="","",'MASTER DATA'!C157)</f>
        <v>Claims Analyst B</v>
      </c>
      <c r="D22" t="str">
        <f>IF('MASTER DATA'!D157="","",'MASTER DATA'!D157)</f>
        <v>Synthetic Policyholder 049, LLC</v>
      </c>
      <c r="E22" s="15">
        <f>IF('MASTER DATA'!E157="","",'MASTER DATA'!E157)</f>
        <v>44259</v>
      </c>
      <c r="F22" s="16" t="str">
        <f>IF('MASTER DATA'!F157="","",'MASTER DATA'!F157)</f>
        <v>Y</v>
      </c>
      <c r="G22" s="17">
        <f>IF('MASTER DATA'!G157="","",'MASTER DATA'!G157)</f>
        <v>107000</v>
      </c>
      <c r="H22" s="16" t="str">
        <f>IF('MASTER DATA'!H157="","",'MASTER DATA'!H157)</f>
        <v>Synthetic Approver 08</v>
      </c>
      <c r="I22" s="15">
        <f>IF('MASTER DATA'!I157="","",'MASTER DATA'!I157)</f>
        <v>45488</v>
      </c>
      <c r="J22" s="16" t="str">
        <f>IF('MASTER DATA'!J157="","",'MASTER DATA'!J157)</f>
        <v>N</v>
      </c>
      <c r="K22" s="15" t="str">
        <f>IF('MASTER DATA'!K157="","",'MASTER DATA'!K157)</f>
        <v/>
      </c>
      <c r="L22" s="16" t="str">
        <f>IF('MASTER DATA'!L157="","",'MASTER DATA'!L157)</f>
        <v>N</v>
      </c>
      <c r="M22" s="16" t="str">
        <f>IF('MASTER DATA'!M157="","",'MASTER DATA'!M157)</f>
        <v>N</v>
      </c>
      <c r="N22" s="15" t="str">
        <f>IF('MASTER DATA'!N157="","",'MASTER DATA'!N157)</f>
        <v/>
      </c>
      <c r="O22" s="16" t="str">
        <f>IF('MASTER DATA'!O157="","",'MASTER DATA'!O157)</f>
        <v/>
      </c>
      <c r="P22" s="16" t="str">
        <f>IF('MASTER DATA'!P157="","",'MASTER DATA'!P157)</f>
        <v>Y</v>
      </c>
      <c r="Q22" s="16" t="str">
        <f>IF('MASTER DATA'!Q157="","",'MASTER DATA'!Q157)</f>
        <v>Specialist Consultation Requested; Non-Renewed Account; Surgery Requested</v>
      </c>
      <c r="R22" s="16" t="str">
        <f>IF('MASTER DATA'!R157="","",'MASTER DATA'!R157)</f>
        <v>Denied Treatment Requests; MSA Eligible in Next 3 Years</v>
      </c>
      <c r="S22" s="16" t="str">
        <f>IF('MASTER DATA'!S157="","",'MASTER DATA'!S157)</f>
        <v>N</v>
      </c>
      <c r="T22" s="15" t="str">
        <f>IF('MASTER DATA'!T157="","",'MASTER DATA'!T157)</f>
        <v/>
      </c>
      <c r="U22" s="16" t="str">
        <f>IF('MASTER DATA'!U157="","",'MASTER DATA'!U157)</f>
        <v>Y</v>
      </c>
      <c r="V22" s="16" t="str">
        <f>IF('MASTER DATA'!V157="","",'MASTER DATA'!V157)</f>
        <v>N</v>
      </c>
      <c r="W22" s="16" t="str">
        <f>IF('MASTER DATA'!W157="","",'MASTER DATA'!W157)</f>
        <v>Y</v>
      </c>
      <c r="X22" s="16" t="str">
        <f>IF('MASTER DATA'!X157="","",'MASTER DATA'!X157)</f>
        <v>Y</v>
      </c>
      <c r="Y22" s="16" t="str">
        <f>IF('MASTER DATA'!Y157="","",'MASTER DATA'!Y157)</f>
        <v>Y</v>
      </c>
      <c r="Z22" s="16" t="str">
        <f>IF('MASTER DATA'!Z157="","",'MASTER DATA'!Z157)</f>
        <v>Y</v>
      </c>
      <c r="AA22" s="16">
        <f>IF('MASTER DATA'!AA157="","",'MASTER DATA'!AA157)</f>
        <v>2</v>
      </c>
      <c r="AB22" s="16" t="str">
        <f>IF('MASTER DATA'!AB157="","",'MASTER DATA'!AB157)</f>
        <v>MULTI-SIGNAL</v>
      </c>
      <c r="AC22" s="16" t="str">
        <f>IF('MASTER DATA'!AC157="","",'MASTER DATA'!AC157)</f>
        <v>Settlement Authorization | Automated Claim Alert</v>
      </c>
    </row>
    <row r="23" spans="1:29" x14ac:dyDescent="0.45">
      <c r="A23" t="str">
        <f>IF('MASTER DATA'!A158="","",'MASTER DATA'!A158)</f>
        <v>SYN-CLM-0157</v>
      </c>
      <c r="B23" t="str">
        <f>IF('MASTER DATA'!B158="","",'MASTER DATA'!B158)</f>
        <v>Synthetic Claimant 0157</v>
      </c>
      <c r="C23" t="str">
        <f>IF('MASTER DATA'!C158="","",'MASTER DATA'!C158)</f>
        <v>Claims Analyst B</v>
      </c>
      <c r="D23" t="str">
        <f>IF('MASTER DATA'!D158="","",'MASTER DATA'!D158)</f>
        <v>Synthetic Policyholder 158, LLC</v>
      </c>
      <c r="E23" s="15">
        <f>IF('MASTER DATA'!E158="","",'MASTER DATA'!E158)</f>
        <v>44587</v>
      </c>
      <c r="F23" s="16" t="str">
        <f>IF('MASTER DATA'!F158="","",'MASTER DATA'!F158)</f>
        <v>N</v>
      </c>
      <c r="G23" s="17" t="str">
        <f>IF('MASTER DATA'!G158="","",'MASTER DATA'!G158)</f>
        <v/>
      </c>
      <c r="H23" s="16" t="str">
        <f>IF('MASTER DATA'!H158="","",'MASTER DATA'!H158)</f>
        <v/>
      </c>
      <c r="I23" s="15" t="str">
        <f>IF('MASTER DATA'!I158="","",'MASTER DATA'!I158)</f>
        <v/>
      </c>
      <c r="J23" s="16" t="str">
        <f>IF('MASTER DATA'!J158="","",'MASTER DATA'!J158)</f>
        <v>Y</v>
      </c>
      <c r="K23" s="15">
        <f>IF('MASTER DATA'!K158="","",'MASTER DATA'!K158)</f>
        <v>45154</v>
      </c>
      <c r="L23" s="16" t="str">
        <f>IF('MASTER DATA'!L158="","",'MASTER DATA'!L158)</f>
        <v>Y</v>
      </c>
      <c r="M23" s="16" t="str">
        <f>IF('MASTER DATA'!M158="","",'MASTER DATA'!M158)</f>
        <v>N</v>
      </c>
      <c r="N23" s="15" t="str">
        <f>IF('MASTER DATA'!N158="","",'MASTER DATA'!N158)</f>
        <v/>
      </c>
      <c r="O23" s="16" t="str">
        <f>IF('MASTER DATA'!O158="","",'MASTER DATA'!O158)</f>
        <v/>
      </c>
      <c r="P23" s="16" t="str">
        <f>IF('MASTER DATA'!P158="","",'MASTER DATA'!P158)</f>
        <v>N</v>
      </c>
      <c r="Q23" s="16" t="str">
        <f>IF('MASTER DATA'!Q158="","",'MASTER DATA'!Q158)</f>
        <v/>
      </c>
      <c r="R23" s="16" t="str">
        <f>IF('MASTER DATA'!R158="","",'MASTER DATA'!R158)</f>
        <v/>
      </c>
      <c r="S23" s="16" t="str">
        <f>IF('MASTER DATA'!S158="","",'MASTER DATA'!S158)</f>
        <v>N</v>
      </c>
      <c r="T23" s="15" t="str">
        <f>IF('MASTER DATA'!T158="","",'MASTER DATA'!T158)</f>
        <v/>
      </c>
      <c r="U23" s="16" t="str">
        <f>IF('MASTER DATA'!U158="","",'MASTER DATA'!U158)</f>
        <v>N</v>
      </c>
      <c r="V23" s="16" t="str">
        <f>IF('MASTER DATA'!V158="","",'MASTER DATA'!V158)</f>
        <v>N</v>
      </c>
      <c r="W23" s="16" t="str">
        <f>IF('MASTER DATA'!W158="","",'MASTER DATA'!W158)</f>
        <v>N</v>
      </c>
      <c r="X23" s="16" t="str">
        <f>IF('MASTER DATA'!X158="","",'MASTER DATA'!X158)</f>
        <v>N</v>
      </c>
      <c r="Y23" s="16" t="str">
        <f>IF('MASTER DATA'!Y158="","",'MASTER DATA'!Y158)</f>
        <v>N</v>
      </c>
      <c r="Z23" s="16" t="str">
        <f>IF('MASTER DATA'!Z158="","",'MASTER DATA'!Z158)</f>
        <v>N</v>
      </c>
      <c r="AA23" s="16">
        <f>IF('MASTER DATA'!AA158="","",'MASTER DATA'!AA158)</f>
        <v>1</v>
      </c>
      <c r="AB23" s="16" t="str">
        <f>IF('MASTER DATA'!AB158="","",'MASTER DATA'!AB158)</f>
        <v>SINGLE-SIGNAL</v>
      </c>
      <c r="AC23" s="16" t="str">
        <f>IF('MASTER DATA'!AC158="","",'MASTER DATA'!AC158)</f>
        <v>Open Stipulation</v>
      </c>
    </row>
    <row r="24" spans="1:29" x14ac:dyDescent="0.45">
      <c r="A24" t="str">
        <f>IF('MASTER DATA'!A159="","",'MASTER DATA'!A159)</f>
        <v>SYN-CLM-0158</v>
      </c>
      <c r="B24" t="str">
        <f>IF('MASTER DATA'!B159="","",'MASTER DATA'!B159)</f>
        <v>Synthetic Claimant 0158</v>
      </c>
      <c r="C24" t="str">
        <f>IF('MASTER DATA'!C159="","",'MASTER DATA'!C159)</f>
        <v>Claims Analyst B</v>
      </c>
      <c r="D24" t="str">
        <f>IF('MASTER DATA'!D159="","",'MASTER DATA'!D159)</f>
        <v>Synthetic Policyholder 033, LLC</v>
      </c>
      <c r="E24" s="15">
        <f>IF('MASTER DATA'!E159="","",'MASTER DATA'!E159)</f>
        <v>45429</v>
      </c>
      <c r="F24" s="16" t="str">
        <f>IF('MASTER DATA'!F159="","",'MASTER DATA'!F159)</f>
        <v>Y</v>
      </c>
      <c r="G24" s="17">
        <f>IF('MASTER DATA'!G159="","",'MASTER DATA'!G159)</f>
        <v>123750</v>
      </c>
      <c r="H24" s="16" t="str">
        <f>IF('MASTER DATA'!H159="","",'MASTER DATA'!H159)</f>
        <v>Synthetic Approver 10</v>
      </c>
      <c r="I24" s="15">
        <f>IF('MASTER DATA'!I159="","",'MASTER DATA'!I159)</f>
        <v>45594</v>
      </c>
      <c r="J24" s="16" t="str">
        <f>IF('MASTER DATA'!J159="","",'MASTER DATA'!J159)</f>
        <v>N</v>
      </c>
      <c r="K24" s="15" t="str">
        <f>IF('MASTER DATA'!K159="","",'MASTER DATA'!K159)</f>
        <v/>
      </c>
      <c r="L24" s="16" t="str">
        <f>IF('MASTER DATA'!L159="","",'MASTER DATA'!L159)</f>
        <v>Y</v>
      </c>
      <c r="M24" s="16" t="str">
        <f>IF('MASTER DATA'!M159="","",'MASTER DATA'!M159)</f>
        <v>N</v>
      </c>
      <c r="N24" s="15" t="str">
        <f>IF('MASTER DATA'!N159="","",'MASTER DATA'!N159)</f>
        <v/>
      </c>
      <c r="O24" s="16" t="str">
        <f>IF('MASTER DATA'!O159="","",'MASTER DATA'!O159)</f>
        <v/>
      </c>
      <c r="P24" s="16" t="str">
        <f>IF('MASTER DATA'!P159="","",'MASTER DATA'!P159)</f>
        <v>N</v>
      </c>
      <c r="Q24" s="16" t="str">
        <f>IF('MASTER DATA'!Q159="","",'MASTER DATA'!Q159)</f>
        <v/>
      </c>
      <c r="R24" s="16" t="str">
        <f>IF('MASTER DATA'!R159="","",'MASTER DATA'!R159)</f>
        <v/>
      </c>
      <c r="S24" s="16" t="str">
        <f>IF('MASTER DATA'!S159="","",'MASTER DATA'!S159)</f>
        <v>N</v>
      </c>
      <c r="T24" s="15" t="str">
        <f>IF('MASTER DATA'!T159="","",'MASTER DATA'!T159)</f>
        <v/>
      </c>
      <c r="U24" s="16" t="str">
        <f>IF('MASTER DATA'!U159="","",'MASTER DATA'!U159)</f>
        <v>N</v>
      </c>
      <c r="V24" s="16" t="str">
        <f>IF('MASTER DATA'!V159="","",'MASTER DATA'!V159)</f>
        <v>N</v>
      </c>
      <c r="W24" s="16" t="str">
        <f>IF('MASTER DATA'!W159="","",'MASTER DATA'!W159)</f>
        <v>N</v>
      </c>
      <c r="X24" s="16" t="str">
        <f>IF('MASTER DATA'!X159="","",'MASTER DATA'!X159)</f>
        <v>N</v>
      </c>
      <c r="Y24" s="16" t="str">
        <f>IF('MASTER DATA'!Y159="","",'MASTER DATA'!Y159)</f>
        <v>N</v>
      </c>
      <c r="Z24" s="16" t="str">
        <f>IF('MASTER DATA'!Z159="","",'MASTER DATA'!Z159)</f>
        <v>N</v>
      </c>
      <c r="AA24" s="16">
        <f>IF('MASTER DATA'!AA159="","",'MASTER DATA'!AA159)</f>
        <v>1</v>
      </c>
      <c r="AB24" s="16" t="str">
        <f>IF('MASTER DATA'!AB159="","",'MASTER DATA'!AB159)</f>
        <v>SINGLE-SIGNAL</v>
      </c>
      <c r="AC24" s="16" t="str">
        <f>IF('MASTER DATA'!AC159="","",'MASTER DATA'!AC159)</f>
        <v>Settlement Authorization</v>
      </c>
    </row>
    <row r="25" spans="1:29" x14ac:dyDescent="0.45">
      <c r="A25" t="str">
        <f>IF('MASTER DATA'!A160="","",'MASTER DATA'!A160)</f>
        <v>SYN-CLM-0159</v>
      </c>
      <c r="B25" t="str">
        <f>IF('MASTER DATA'!B160="","",'MASTER DATA'!B160)</f>
        <v>Synthetic Claimant 0159</v>
      </c>
      <c r="C25" t="str">
        <f>IF('MASTER DATA'!C160="","",'MASTER DATA'!C160)</f>
        <v>Claims Analyst B</v>
      </c>
      <c r="D25" t="str">
        <f>IF('MASTER DATA'!D160="","",'MASTER DATA'!D160)</f>
        <v>Synthetic Policyholder 166, LLC</v>
      </c>
      <c r="E25" s="15">
        <f>IF('MASTER DATA'!E160="","",'MASTER DATA'!E160)</f>
        <v>45144</v>
      </c>
      <c r="F25" s="16" t="str">
        <f>IF('MASTER DATA'!F160="","",'MASTER DATA'!F160)</f>
        <v>N</v>
      </c>
      <c r="G25" s="17" t="str">
        <f>IF('MASTER DATA'!G160="","",'MASTER DATA'!G160)</f>
        <v/>
      </c>
      <c r="H25" s="16" t="str">
        <f>IF('MASTER DATA'!H160="","",'MASTER DATA'!H160)</f>
        <v/>
      </c>
      <c r="I25" s="15" t="str">
        <f>IF('MASTER DATA'!I160="","",'MASTER DATA'!I160)</f>
        <v/>
      </c>
      <c r="J25" s="16" t="str">
        <f>IF('MASTER DATA'!J160="","",'MASTER DATA'!J160)</f>
        <v>N</v>
      </c>
      <c r="K25" s="15" t="str">
        <f>IF('MASTER DATA'!K160="","",'MASTER DATA'!K160)</f>
        <v/>
      </c>
      <c r="L25" s="16" t="str">
        <f>IF('MASTER DATA'!L160="","",'MASTER DATA'!L160)</f>
        <v/>
      </c>
      <c r="M25" s="16" t="str">
        <f>IF('MASTER DATA'!M160="","",'MASTER DATA'!M160)</f>
        <v>N</v>
      </c>
      <c r="N25" s="15" t="str">
        <f>IF('MASTER DATA'!N160="","",'MASTER DATA'!N160)</f>
        <v/>
      </c>
      <c r="O25" s="16" t="str">
        <f>IF('MASTER DATA'!O160="","",'MASTER DATA'!O160)</f>
        <v/>
      </c>
      <c r="P25" s="16" t="str">
        <f>IF('MASTER DATA'!P160="","",'MASTER DATA'!P160)</f>
        <v>Y</v>
      </c>
      <c r="Q25" s="16" t="str">
        <f>IF('MASTER DATA'!Q160="","",'MASTER DATA'!Q160)</f>
        <v>Non-Renewed Account; MMI Date Reported</v>
      </c>
      <c r="R25" s="16" t="str">
        <f>IF('MASTER DATA'!R160="","",'MASTER DATA'!R160)</f>
        <v>Specialist Consultation Requested</v>
      </c>
      <c r="S25" s="16" t="str">
        <f>IF('MASTER DATA'!S160="","",'MASTER DATA'!S160)</f>
        <v>N</v>
      </c>
      <c r="T25" s="15" t="str">
        <f>IF('MASTER DATA'!T160="","",'MASTER DATA'!T160)</f>
        <v/>
      </c>
      <c r="U25" s="16" t="str">
        <f>IF('MASTER DATA'!U160="","",'MASTER DATA'!U160)</f>
        <v>N</v>
      </c>
      <c r="V25" s="16" t="str">
        <f>IF('MASTER DATA'!V160="","",'MASTER DATA'!V160)</f>
        <v>Y</v>
      </c>
      <c r="W25" s="16" t="str">
        <f>IF('MASTER DATA'!W160="","",'MASTER DATA'!W160)</f>
        <v>N</v>
      </c>
      <c r="X25" s="16" t="str">
        <f>IF('MASTER DATA'!X160="","",'MASTER DATA'!X160)</f>
        <v>Y</v>
      </c>
      <c r="Y25" s="16" t="str">
        <f>IF('MASTER DATA'!Y160="","",'MASTER DATA'!Y160)</f>
        <v>Y</v>
      </c>
      <c r="Z25" s="16" t="str">
        <f>IF('MASTER DATA'!Z160="","",'MASTER DATA'!Z160)</f>
        <v>N</v>
      </c>
      <c r="AA25" s="16">
        <f>IF('MASTER DATA'!AA160="","",'MASTER DATA'!AA160)</f>
        <v>1</v>
      </c>
      <c r="AB25" s="16" t="str">
        <f>IF('MASTER DATA'!AB160="","",'MASTER DATA'!AB160)</f>
        <v>SINGLE-SIGNAL</v>
      </c>
      <c r="AC25" s="16" t="str">
        <f>IF('MASTER DATA'!AC160="","",'MASTER DATA'!AC160)</f>
        <v>Automated Claim Alert</v>
      </c>
    </row>
    <row r="26" spans="1:29" x14ac:dyDescent="0.45">
      <c r="A26" t="str">
        <f>IF('MASTER DATA'!A161="","",'MASTER DATA'!A161)</f>
        <v>SYN-CLM-0160</v>
      </c>
      <c r="B26" t="str">
        <f>IF('MASTER DATA'!B161="","",'MASTER DATA'!B161)</f>
        <v>Synthetic Claimant 0160</v>
      </c>
      <c r="C26" t="str">
        <f>IF('MASTER DATA'!C161="","",'MASTER DATA'!C161)</f>
        <v>Claims Analyst B</v>
      </c>
      <c r="D26" t="str">
        <f>IF('MASTER DATA'!D161="","",'MASTER DATA'!D161)</f>
        <v>Synthetic Policyholder 110, LLC</v>
      </c>
      <c r="E26" s="15">
        <f>IF('MASTER DATA'!E161="","",'MASTER DATA'!E161)</f>
        <v>45912</v>
      </c>
      <c r="F26" s="16" t="str">
        <f>IF('MASTER DATA'!F161="","",'MASTER DATA'!F161)</f>
        <v>N</v>
      </c>
      <c r="G26" s="17" t="str">
        <f>IF('MASTER DATA'!G161="","",'MASTER DATA'!G161)</f>
        <v/>
      </c>
      <c r="H26" s="16" t="str">
        <f>IF('MASTER DATA'!H161="","",'MASTER DATA'!H161)</f>
        <v/>
      </c>
      <c r="I26" s="15" t="str">
        <f>IF('MASTER DATA'!I161="","",'MASTER DATA'!I161)</f>
        <v/>
      </c>
      <c r="J26" s="16" t="str">
        <f>IF('MASTER DATA'!J161="","",'MASTER DATA'!J161)</f>
        <v>N</v>
      </c>
      <c r="K26" s="15" t="str">
        <f>IF('MASTER DATA'!K161="","",'MASTER DATA'!K161)</f>
        <v/>
      </c>
      <c r="L26" s="16" t="str">
        <f>IF('MASTER DATA'!L161="","",'MASTER DATA'!L161)</f>
        <v/>
      </c>
      <c r="M26" s="16" t="str">
        <f>IF('MASTER DATA'!M161="","",'MASTER DATA'!M161)</f>
        <v>Y</v>
      </c>
      <c r="N26" s="15">
        <f>IF('MASTER DATA'!N161="","",'MASTER DATA'!N161)</f>
        <v>47092</v>
      </c>
      <c r="O26" s="16" t="str">
        <f>IF('MASTER DATA'!O161="","",'MASTER DATA'!O161)</f>
        <v>Synthetic QME Evaluator 07</v>
      </c>
      <c r="P26" s="16" t="str">
        <f>IF('MASTER DATA'!P161="","",'MASTER DATA'!P161)</f>
        <v>N</v>
      </c>
      <c r="Q26" s="16" t="str">
        <f>IF('MASTER DATA'!Q161="","",'MASTER DATA'!Q161)</f>
        <v/>
      </c>
      <c r="R26" s="16" t="str">
        <f>IF('MASTER DATA'!R161="","",'MASTER DATA'!R161)</f>
        <v/>
      </c>
      <c r="S26" s="16" t="str">
        <f>IF('MASTER DATA'!S161="","",'MASTER DATA'!S161)</f>
        <v>N</v>
      </c>
      <c r="T26" s="15" t="str">
        <f>IF('MASTER DATA'!T161="","",'MASTER DATA'!T161)</f>
        <v/>
      </c>
      <c r="U26" s="16" t="str">
        <f>IF('MASTER DATA'!U161="","",'MASTER DATA'!U161)</f>
        <v>N</v>
      </c>
      <c r="V26" s="16" t="str">
        <f>IF('MASTER DATA'!V161="","",'MASTER DATA'!V161)</f>
        <v>N</v>
      </c>
      <c r="W26" s="16" t="str">
        <f>IF('MASTER DATA'!W161="","",'MASTER DATA'!W161)</f>
        <v>N</v>
      </c>
      <c r="X26" s="16" t="str">
        <f>IF('MASTER DATA'!X161="","",'MASTER DATA'!X161)</f>
        <v>N</v>
      </c>
      <c r="Y26" s="16" t="str">
        <f>IF('MASTER DATA'!Y161="","",'MASTER DATA'!Y161)</f>
        <v>N</v>
      </c>
      <c r="Z26" s="16" t="str">
        <f>IF('MASTER DATA'!Z161="","",'MASTER DATA'!Z161)</f>
        <v>N</v>
      </c>
      <c r="AA26" s="16">
        <f>IF('MASTER DATA'!AA161="","",'MASTER DATA'!AA161)</f>
        <v>1</v>
      </c>
      <c r="AB26" s="16" t="str">
        <f>IF('MASTER DATA'!AB161="","",'MASTER DATA'!AB161)</f>
        <v>SINGLE-SIGNAL</v>
      </c>
      <c r="AC26" s="16" t="str">
        <f>IF('MASTER DATA'!AC161="","",'MASTER DATA'!AC161)</f>
        <v>Pending QME</v>
      </c>
    </row>
    <row r="27" spans="1:29" x14ac:dyDescent="0.45">
      <c r="A27" t="str">
        <f>IF('MASTER DATA'!A162="","",'MASTER DATA'!A162)</f>
        <v>SYN-CLM-0161</v>
      </c>
      <c r="B27" t="str">
        <f>IF('MASTER DATA'!B162="","",'MASTER DATA'!B162)</f>
        <v>Synthetic Claimant 0161</v>
      </c>
      <c r="C27" t="str">
        <f>IF('MASTER DATA'!C162="","",'MASTER DATA'!C162)</f>
        <v>Claims Analyst B</v>
      </c>
      <c r="D27" t="str">
        <f>IF('MASTER DATA'!D162="","",'MASTER DATA'!D162)</f>
        <v>Synthetic Policyholder 085, LLC</v>
      </c>
      <c r="E27" s="15">
        <f>IF('MASTER DATA'!E162="","",'MASTER DATA'!E162)</f>
        <v>45372</v>
      </c>
      <c r="F27" s="16" t="str">
        <f>IF('MASTER DATA'!F162="","",'MASTER DATA'!F162)</f>
        <v>Y</v>
      </c>
      <c r="G27" s="17">
        <f>IF('MASTER DATA'!G162="","",'MASTER DATA'!G162)</f>
        <v>141500</v>
      </c>
      <c r="H27" s="16" t="str">
        <f>IF('MASTER DATA'!H162="","",'MASTER DATA'!H162)</f>
        <v>Synthetic Approver 12</v>
      </c>
      <c r="I27" s="15">
        <f>IF('MASTER DATA'!I162="","",'MASTER DATA'!I162)</f>
        <v>45578</v>
      </c>
      <c r="J27" s="16" t="str">
        <f>IF('MASTER DATA'!J162="","",'MASTER DATA'!J162)</f>
        <v>N</v>
      </c>
      <c r="K27" s="15" t="str">
        <f>IF('MASTER DATA'!K162="","",'MASTER DATA'!K162)</f>
        <v/>
      </c>
      <c r="L27" s="16" t="str">
        <f>IF('MASTER DATA'!L162="","",'MASTER DATA'!L162)</f>
        <v>N</v>
      </c>
      <c r="M27" s="16" t="str">
        <f>IF('MASTER DATA'!M162="","",'MASTER DATA'!M162)</f>
        <v>N</v>
      </c>
      <c r="N27" s="15" t="str">
        <f>IF('MASTER DATA'!N162="","",'MASTER DATA'!N162)</f>
        <v/>
      </c>
      <c r="O27" s="16" t="str">
        <f>IF('MASTER DATA'!O162="","",'MASTER DATA'!O162)</f>
        <v/>
      </c>
      <c r="P27" s="16" t="str">
        <f>IF('MASTER DATA'!P162="","",'MASTER DATA'!P162)</f>
        <v>N</v>
      </c>
      <c r="Q27" s="16" t="str">
        <f>IF('MASTER DATA'!Q162="","",'MASTER DATA'!Q162)</f>
        <v/>
      </c>
      <c r="R27" s="16" t="str">
        <f>IF('MASTER DATA'!R162="","",'MASTER DATA'!R162)</f>
        <v/>
      </c>
      <c r="S27" s="16" t="str">
        <f>IF('MASTER DATA'!S162="","",'MASTER DATA'!S162)</f>
        <v>N</v>
      </c>
      <c r="T27" s="15" t="str">
        <f>IF('MASTER DATA'!T162="","",'MASTER DATA'!T162)</f>
        <v/>
      </c>
      <c r="U27" s="16" t="str">
        <f>IF('MASTER DATA'!U162="","",'MASTER DATA'!U162)</f>
        <v>N</v>
      </c>
      <c r="V27" s="16" t="str">
        <f>IF('MASTER DATA'!V162="","",'MASTER DATA'!V162)</f>
        <v>N</v>
      </c>
      <c r="W27" s="16" t="str">
        <f>IF('MASTER DATA'!W162="","",'MASTER DATA'!W162)</f>
        <v>N</v>
      </c>
      <c r="X27" s="16" t="str">
        <f>IF('MASTER DATA'!X162="","",'MASTER DATA'!X162)</f>
        <v>N</v>
      </c>
      <c r="Y27" s="16" t="str">
        <f>IF('MASTER DATA'!Y162="","",'MASTER DATA'!Y162)</f>
        <v>N</v>
      </c>
      <c r="Z27" s="16" t="str">
        <f>IF('MASTER DATA'!Z162="","",'MASTER DATA'!Z162)</f>
        <v>N</v>
      </c>
      <c r="AA27" s="16">
        <f>IF('MASTER DATA'!AA162="","",'MASTER DATA'!AA162)</f>
        <v>1</v>
      </c>
      <c r="AB27" s="16" t="str">
        <f>IF('MASTER DATA'!AB162="","",'MASTER DATA'!AB162)</f>
        <v>SINGLE-SIGNAL</v>
      </c>
      <c r="AC27" s="16" t="str">
        <f>IF('MASTER DATA'!AC162="","",'MASTER DATA'!AC162)</f>
        <v>Settlement Authorization</v>
      </c>
    </row>
    <row r="28" spans="1:29" x14ac:dyDescent="0.45">
      <c r="A28" t="str">
        <f>IF('MASTER DATA'!A163="","",'MASTER DATA'!A163)</f>
        <v>SYN-CLM-0162</v>
      </c>
      <c r="B28" t="str">
        <f>IF('MASTER DATA'!B163="","",'MASTER DATA'!B163)</f>
        <v>Synthetic Claimant 0162</v>
      </c>
      <c r="C28" t="str">
        <f>IF('MASTER DATA'!C163="","",'MASTER DATA'!C163)</f>
        <v>Claims Analyst B</v>
      </c>
      <c r="D28" t="str">
        <f>IF('MASTER DATA'!D163="","",'MASTER DATA'!D163)</f>
        <v>Synthetic Policyholder 144, LLC</v>
      </c>
      <c r="E28" s="15">
        <f>IF('MASTER DATA'!E163="","",'MASTER DATA'!E163)</f>
        <v>45716</v>
      </c>
      <c r="F28" s="16" t="str">
        <f>IF('MASTER DATA'!F163="","",'MASTER DATA'!F163)</f>
        <v>Y</v>
      </c>
      <c r="G28" s="17">
        <f>IF('MASTER DATA'!G163="","",'MASTER DATA'!G163)</f>
        <v>69000</v>
      </c>
      <c r="H28" s="16" t="str">
        <f>IF('MASTER DATA'!H163="","",'MASTER DATA'!H163)</f>
        <v>Synthetic Approver 10</v>
      </c>
      <c r="I28" s="15">
        <f>IF('MASTER DATA'!I163="","",'MASTER DATA'!I163)</f>
        <v>47271</v>
      </c>
      <c r="J28" s="16" t="str">
        <f>IF('MASTER DATA'!J163="","",'MASTER DATA'!J163)</f>
        <v>N</v>
      </c>
      <c r="K28" s="15" t="str">
        <f>IF('MASTER DATA'!K163="","",'MASTER DATA'!K163)</f>
        <v/>
      </c>
      <c r="L28" s="16" t="str">
        <f>IF('MASTER DATA'!L163="","",'MASTER DATA'!L163)</f>
        <v>N</v>
      </c>
      <c r="M28" s="16" t="str">
        <f>IF('MASTER DATA'!M163="","",'MASTER DATA'!M163)</f>
        <v>N</v>
      </c>
      <c r="N28" s="15" t="str">
        <f>IF('MASTER DATA'!N163="","",'MASTER DATA'!N163)</f>
        <v/>
      </c>
      <c r="O28" s="16" t="str">
        <f>IF('MASTER DATA'!O163="","",'MASTER DATA'!O163)</f>
        <v/>
      </c>
      <c r="P28" s="16" t="str">
        <f>IF('MASTER DATA'!P163="","",'MASTER DATA'!P163)</f>
        <v>N</v>
      </c>
      <c r="Q28" s="16" t="str">
        <f>IF('MASTER DATA'!Q163="","",'MASTER DATA'!Q163)</f>
        <v/>
      </c>
      <c r="R28" s="16" t="str">
        <f>IF('MASTER DATA'!R163="","",'MASTER DATA'!R163)</f>
        <v/>
      </c>
      <c r="S28" s="16" t="str">
        <f>IF('MASTER DATA'!S163="","",'MASTER DATA'!S163)</f>
        <v>N</v>
      </c>
      <c r="T28" s="15" t="str">
        <f>IF('MASTER DATA'!T163="","",'MASTER DATA'!T163)</f>
        <v/>
      </c>
      <c r="U28" s="16" t="str">
        <f>IF('MASTER DATA'!U163="","",'MASTER DATA'!U163)</f>
        <v>N</v>
      </c>
      <c r="V28" s="16" t="str">
        <f>IF('MASTER DATA'!V163="","",'MASTER DATA'!V163)</f>
        <v>N</v>
      </c>
      <c r="W28" s="16" t="str">
        <f>IF('MASTER DATA'!W163="","",'MASTER DATA'!W163)</f>
        <v>N</v>
      </c>
      <c r="X28" s="16" t="str">
        <f>IF('MASTER DATA'!X163="","",'MASTER DATA'!X163)</f>
        <v>N</v>
      </c>
      <c r="Y28" s="16" t="str">
        <f>IF('MASTER DATA'!Y163="","",'MASTER DATA'!Y163)</f>
        <v>N</v>
      </c>
      <c r="Z28" s="16" t="str">
        <f>IF('MASTER DATA'!Z163="","",'MASTER DATA'!Z163)</f>
        <v>N</v>
      </c>
      <c r="AA28" s="16">
        <f>IF('MASTER DATA'!AA163="","",'MASTER DATA'!AA163)</f>
        <v>1</v>
      </c>
      <c r="AB28" s="16" t="str">
        <f>IF('MASTER DATA'!AB163="","",'MASTER DATA'!AB163)</f>
        <v>SINGLE-SIGNAL</v>
      </c>
      <c r="AC28" s="16" t="str">
        <f>IF('MASTER DATA'!AC163="","",'MASTER DATA'!AC163)</f>
        <v>Settlement Authorization</v>
      </c>
    </row>
    <row r="29" spans="1:29" x14ac:dyDescent="0.45">
      <c r="A29" t="str">
        <f>IF('MASTER DATA'!A164="","",'MASTER DATA'!A164)</f>
        <v>SYN-CLM-0163</v>
      </c>
      <c r="B29" t="str">
        <f>IF('MASTER DATA'!B164="","",'MASTER DATA'!B164)</f>
        <v>Synthetic Claimant 0163</v>
      </c>
      <c r="C29" t="str">
        <f>IF('MASTER DATA'!C164="","",'MASTER DATA'!C164)</f>
        <v>Claims Analyst B</v>
      </c>
      <c r="D29" t="str">
        <f>IF('MASTER DATA'!D164="","",'MASTER DATA'!D164)</f>
        <v>Synthetic Policyholder 054, LLC</v>
      </c>
      <c r="E29" s="15">
        <f>IF('MASTER DATA'!E164="","",'MASTER DATA'!E164)</f>
        <v>45863</v>
      </c>
      <c r="F29" s="16" t="str">
        <f>IF('MASTER DATA'!F164="","",'MASTER DATA'!F164)</f>
        <v>Y</v>
      </c>
      <c r="G29" s="17">
        <f>IF('MASTER DATA'!G164="","",'MASTER DATA'!G164)</f>
        <v>79000</v>
      </c>
      <c r="H29" s="16" t="str">
        <f>IF('MASTER DATA'!H164="","",'MASTER DATA'!H164)</f>
        <v>Synthetic Approver 03</v>
      </c>
      <c r="I29" s="15">
        <f>IF('MASTER DATA'!I164="","",'MASTER DATA'!I164)</f>
        <v>47640</v>
      </c>
      <c r="J29" s="16" t="str">
        <f>IF('MASTER DATA'!J164="","",'MASTER DATA'!J164)</f>
        <v>N</v>
      </c>
      <c r="K29" s="15" t="str">
        <f>IF('MASTER DATA'!K164="","",'MASTER DATA'!K164)</f>
        <v/>
      </c>
      <c r="L29" s="16" t="str">
        <f>IF('MASTER DATA'!L164="","",'MASTER DATA'!L164)</f>
        <v>Y</v>
      </c>
      <c r="M29" s="16" t="str">
        <f>IF('MASTER DATA'!M164="","",'MASTER DATA'!M164)</f>
        <v>N</v>
      </c>
      <c r="N29" s="15" t="str">
        <f>IF('MASTER DATA'!N164="","",'MASTER DATA'!N164)</f>
        <v/>
      </c>
      <c r="O29" s="16" t="str">
        <f>IF('MASTER DATA'!O164="","",'MASTER DATA'!O164)</f>
        <v/>
      </c>
      <c r="P29" s="16" t="str">
        <f>IF('MASTER DATA'!P164="","",'MASTER DATA'!P164)</f>
        <v>N</v>
      </c>
      <c r="Q29" s="16" t="str">
        <f>IF('MASTER DATA'!Q164="","",'MASTER DATA'!Q164)</f>
        <v/>
      </c>
      <c r="R29" s="16" t="str">
        <f>IF('MASTER DATA'!R164="","",'MASTER DATA'!R164)</f>
        <v/>
      </c>
      <c r="S29" s="16" t="str">
        <f>IF('MASTER DATA'!S164="","",'MASTER DATA'!S164)</f>
        <v>N</v>
      </c>
      <c r="T29" s="15" t="str">
        <f>IF('MASTER DATA'!T164="","",'MASTER DATA'!T164)</f>
        <v/>
      </c>
      <c r="U29" s="16" t="str">
        <f>IF('MASTER DATA'!U164="","",'MASTER DATA'!U164)</f>
        <v>N</v>
      </c>
      <c r="V29" s="16" t="str">
        <f>IF('MASTER DATA'!V164="","",'MASTER DATA'!V164)</f>
        <v>N</v>
      </c>
      <c r="W29" s="16" t="str">
        <f>IF('MASTER DATA'!W164="","",'MASTER DATA'!W164)</f>
        <v>N</v>
      </c>
      <c r="X29" s="16" t="str">
        <f>IF('MASTER DATA'!X164="","",'MASTER DATA'!X164)</f>
        <v>N</v>
      </c>
      <c r="Y29" s="16" t="str">
        <f>IF('MASTER DATA'!Y164="","",'MASTER DATA'!Y164)</f>
        <v>N</v>
      </c>
      <c r="Z29" s="16" t="str">
        <f>IF('MASTER DATA'!Z164="","",'MASTER DATA'!Z164)</f>
        <v>N</v>
      </c>
      <c r="AA29" s="16">
        <f>IF('MASTER DATA'!AA164="","",'MASTER DATA'!AA164)</f>
        <v>1</v>
      </c>
      <c r="AB29" s="16" t="str">
        <f>IF('MASTER DATA'!AB164="","",'MASTER DATA'!AB164)</f>
        <v>SINGLE-SIGNAL</v>
      </c>
      <c r="AC29" s="16" t="str">
        <f>IF('MASTER DATA'!AC164="","",'MASTER DATA'!AC164)</f>
        <v>Settlement Authorization</v>
      </c>
    </row>
    <row r="30" spans="1:29" x14ac:dyDescent="0.45">
      <c r="A30" t="str">
        <f>IF('MASTER DATA'!A165="","",'MASTER DATA'!A165)</f>
        <v>SYN-CLM-0164</v>
      </c>
      <c r="B30" t="str">
        <f>IF('MASTER DATA'!B165="","",'MASTER DATA'!B165)</f>
        <v>Synthetic Claimant 0164</v>
      </c>
      <c r="C30" t="str">
        <f>IF('MASTER DATA'!C165="","",'MASTER DATA'!C165)</f>
        <v>Claims Analyst B</v>
      </c>
      <c r="D30" t="str">
        <f>IF('MASTER DATA'!D165="","",'MASTER DATA'!D165)</f>
        <v>Synthetic Policyholder 090, LLC</v>
      </c>
      <c r="E30" s="15">
        <f>IF('MASTER DATA'!E165="","",'MASTER DATA'!E165)</f>
        <v>45169</v>
      </c>
      <c r="F30" s="16" t="str">
        <f>IF('MASTER DATA'!F165="","",'MASTER DATA'!F165)</f>
        <v>N</v>
      </c>
      <c r="G30" s="17" t="str">
        <f>IF('MASTER DATA'!G165="","",'MASTER DATA'!G165)</f>
        <v/>
      </c>
      <c r="H30" s="16" t="str">
        <f>IF('MASTER DATA'!H165="","",'MASTER DATA'!H165)</f>
        <v/>
      </c>
      <c r="I30" s="15" t="str">
        <f>IF('MASTER DATA'!I165="","",'MASTER DATA'!I165)</f>
        <v/>
      </c>
      <c r="J30" s="16" t="str">
        <f>IF('MASTER DATA'!J165="","",'MASTER DATA'!J165)</f>
        <v>N</v>
      </c>
      <c r="K30" s="15" t="str">
        <f>IF('MASTER DATA'!K165="","",'MASTER DATA'!K165)</f>
        <v/>
      </c>
      <c r="L30" s="16" t="str">
        <f>IF('MASTER DATA'!L165="","",'MASTER DATA'!L165)</f>
        <v/>
      </c>
      <c r="M30" s="16" t="str">
        <f>IF('MASTER DATA'!M165="","",'MASTER DATA'!M165)</f>
        <v>Y</v>
      </c>
      <c r="N30" s="15">
        <f>IF('MASTER DATA'!N165="","",'MASTER DATA'!N165)</f>
        <v>46795</v>
      </c>
      <c r="O30" s="16" t="str">
        <f>IF('MASTER DATA'!O165="","",'MASTER DATA'!O165)</f>
        <v>Synthetic QME Evaluator 28</v>
      </c>
      <c r="P30" s="16" t="str">
        <f>IF('MASTER DATA'!P165="","",'MASTER DATA'!P165)</f>
        <v>N</v>
      </c>
      <c r="Q30" s="16" t="str">
        <f>IF('MASTER DATA'!Q165="","",'MASTER DATA'!Q165)</f>
        <v/>
      </c>
      <c r="R30" s="16" t="str">
        <f>IF('MASTER DATA'!R165="","",'MASTER DATA'!R165)</f>
        <v/>
      </c>
      <c r="S30" s="16" t="str">
        <f>IF('MASTER DATA'!S165="","",'MASTER DATA'!S165)</f>
        <v>N</v>
      </c>
      <c r="T30" s="15" t="str">
        <f>IF('MASTER DATA'!T165="","",'MASTER DATA'!T165)</f>
        <v/>
      </c>
      <c r="U30" s="16" t="str">
        <f>IF('MASTER DATA'!U165="","",'MASTER DATA'!U165)</f>
        <v>N</v>
      </c>
      <c r="V30" s="16" t="str">
        <f>IF('MASTER DATA'!V165="","",'MASTER DATA'!V165)</f>
        <v>N</v>
      </c>
      <c r="W30" s="16" t="str">
        <f>IF('MASTER DATA'!W165="","",'MASTER DATA'!W165)</f>
        <v>N</v>
      </c>
      <c r="X30" s="16" t="str">
        <f>IF('MASTER DATA'!X165="","",'MASTER DATA'!X165)</f>
        <v>N</v>
      </c>
      <c r="Y30" s="16" t="str">
        <f>IF('MASTER DATA'!Y165="","",'MASTER DATA'!Y165)</f>
        <v>N</v>
      </c>
      <c r="Z30" s="16" t="str">
        <f>IF('MASTER DATA'!Z165="","",'MASTER DATA'!Z165)</f>
        <v>N</v>
      </c>
      <c r="AA30" s="16">
        <f>IF('MASTER DATA'!AA165="","",'MASTER DATA'!AA165)</f>
        <v>1</v>
      </c>
      <c r="AB30" s="16" t="str">
        <f>IF('MASTER DATA'!AB165="","",'MASTER DATA'!AB165)</f>
        <v>SINGLE-SIGNAL</v>
      </c>
      <c r="AC30" s="16" t="str">
        <f>IF('MASTER DATA'!AC165="","",'MASTER DATA'!AC165)</f>
        <v>Pending QME</v>
      </c>
    </row>
    <row r="31" spans="1:29" x14ac:dyDescent="0.45">
      <c r="A31" t="str">
        <f>IF('MASTER DATA'!A166="","",'MASTER DATA'!A166)</f>
        <v>SYN-CLM-0165</v>
      </c>
      <c r="B31" t="str">
        <f>IF('MASTER DATA'!B166="","",'MASTER DATA'!B166)</f>
        <v>Synthetic Claimant 0165</v>
      </c>
      <c r="C31" t="str">
        <f>IF('MASTER DATA'!C166="","",'MASTER DATA'!C166)</f>
        <v>Claims Analyst B</v>
      </c>
      <c r="D31" t="str">
        <f>IF('MASTER DATA'!D166="","",'MASTER DATA'!D166)</f>
        <v>Synthetic Policyholder 153, LLC</v>
      </c>
      <c r="E31" s="15">
        <f>IF('MASTER DATA'!E166="","",'MASTER DATA'!E166)</f>
        <v>44151</v>
      </c>
      <c r="F31" s="16" t="str">
        <f>IF('MASTER DATA'!F166="","",'MASTER DATA'!F166)</f>
        <v>Y</v>
      </c>
      <c r="G31" s="17">
        <f>IF('MASTER DATA'!G166="","",'MASTER DATA'!G166)</f>
        <v>25250</v>
      </c>
      <c r="H31" s="16" t="str">
        <f>IF('MASTER DATA'!H166="","",'MASTER DATA'!H166)</f>
        <v>Synthetic Approver 09</v>
      </c>
      <c r="I31" s="15">
        <f>IF('MASTER DATA'!I166="","",'MASTER DATA'!I166)</f>
        <v>44735</v>
      </c>
      <c r="J31" s="16" t="str">
        <f>IF('MASTER DATA'!J166="","",'MASTER DATA'!J166)</f>
        <v>N</v>
      </c>
      <c r="K31" s="15" t="str">
        <f>IF('MASTER DATA'!K166="","",'MASTER DATA'!K166)</f>
        <v/>
      </c>
      <c r="L31" s="16" t="str">
        <f>IF('MASTER DATA'!L166="","",'MASTER DATA'!L166)</f>
        <v>Y</v>
      </c>
      <c r="M31" s="16" t="str">
        <f>IF('MASTER DATA'!M166="","",'MASTER DATA'!M166)</f>
        <v>N</v>
      </c>
      <c r="N31" s="15" t="str">
        <f>IF('MASTER DATA'!N166="","",'MASTER DATA'!N166)</f>
        <v/>
      </c>
      <c r="O31" s="16" t="str">
        <f>IF('MASTER DATA'!O166="","",'MASTER DATA'!O166)</f>
        <v/>
      </c>
      <c r="P31" s="16" t="str">
        <f>IF('MASTER DATA'!P166="","",'MASTER DATA'!P166)</f>
        <v>N</v>
      </c>
      <c r="Q31" s="16" t="str">
        <f>IF('MASTER DATA'!Q166="","",'MASTER DATA'!Q166)</f>
        <v/>
      </c>
      <c r="R31" s="16" t="str">
        <f>IF('MASTER DATA'!R166="","",'MASTER DATA'!R166)</f>
        <v/>
      </c>
      <c r="S31" s="16" t="str">
        <f>IF('MASTER DATA'!S166="","",'MASTER DATA'!S166)</f>
        <v>N</v>
      </c>
      <c r="T31" s="15" t="str">
        <f>IF('MASTER DATA'!T166="","",'MASTER DATA'!T166)</f>
        <v/>
      </c>
      <c r="U31" s="16" t="str">
        <f>IF('MASTER DATA'!U166="","",'MASTER DATA'!U166)</f>
        <v>N</v>
      </c>
      <c r="V31" s="16" t="str">
        <f>IF('MASTER DATA'!V166="","",'MASTER DATA'!V166)</f>
        <v>N</v>
      </c>
      <c r="W31" s="16" t="str">
        <f>IF('MASTER DATA'!W166="","",'MASTER DATA'!W166)</f>
        <v>N</v>
      </c>
      <c r="X31" s="16" t="str">
        <f>IF('MASTER DATA'!X166="","",'MASTER DATA'!X166)</f>
        <v>N</v>
      </c>
      <c r="Y31" s="16" t="str">
        <f>IF('MASTER DATA'!Y166="","",'MASTER DATA'!Y166)</f>
        <v>N</v>
      </c>
      <c r="Z31" s="16" t="str">
        <f>IF('MASTER DATA'!Z166="","",'MASTER DATA'!Z166)</f>
        <v>N</v>
      </c>
      <c r="AA31" s="16">
        <f>IF('MASTER DATA'!AA166="","",'MASTER DATA'!AA166)</f>
        <v>1</v>
      </c>
      <c r="AB31" s="16" t="str">
        <f>IF('MASTER DATA'!AB166="","",'MASTER DATA'!AB166)</f>
        <v>SINGLE-SIGNAL</v>
      </c>
      <c r="AC31" s="16" t="str">
        <f>IF('MASTER DATA'!AC166="","",'MASTER DATA'!AC166)</f>
        <v>Settlement Authorization</v>
      </c>
    </row>
    <row r="32" spans="1:29" x14ac:dyDescent="0.45">
      <c r="A32" t="str">
        <f>IF('MASTER DATA'!A167="","",'MASTER DATA'!A167)</f>
        <v>SYN-CLM-0166</v>
      </c>
      <c r="B32" t="str">
        <f>IF('MASTER DATA'!B167="","",'MASTER DATA'!B167)</f>
        <v>Synthetic Claimant 0166</v>
      </c>
      <c r="C32" t="str">
        <f>IF('MASTER DATA'!C167="","",'MASTER DATA'!C167)</f>
        <v>Claims Analyst B</v>
      </c>
      <c r="D32" t="str">
        <f>IF('MASTER DATA'!D167="","",'MASTER DATA'!D167)</f>
        <v>Synthetic Policyholder 081, LLC</v>
      </c>
      <c r="E32" s="15">
        <f>IF('MASTER DATA'!E167="","",'MASTER DATA'!E167)</f>
        <v>43264</v>
      </c>
      <c r="F32" s="16" t="str">
        <f>IF('MASTER DATA'!F167="","",'MASTER DATA'!F167)</f>
        <v>N</v>
      </c>
      <c r="G32" s="17" t="str">
        <f>IF('MASTER DATA'!G167="","",'MASTER DATA'!G167)</f>
        <v/>
      </c>
      <c r="H32" s="16" t="str">
        <f>IF('MASTER DATA'!H167="","",'MASTER DATA'!H167)</f>
        <v/>
      </c>
      <c r="I32" s="15" t="str">
        <f>IF('MASTER DATA'!I167="","",'MASTER DATA'!I167)</f>
        <v/>
      </c>
      <c r="J32" s="16" t="str">
        <f>IF('MASTER DATA'!J167="","",'MASTER DATA'!J167)</f>
        <v>N</v>
      </c>
      <c r="K32" s="15" t="str">
        <f>IF('MASTER DATA'!K167="","",'MASTER DATA'!K167)</f>
        <v/>
      </c>
      <c r="L32" s="16" t="str">
        <f>IF('MASTER DATA'!L167="","",'MASTER DATA'!L167)</f>
        <v/>
      </c>
      <c r="M32" s="16" t="str">
        <f>IF('MASTER DATA'!M167="","",'MASTER DATA'!M167)</f>
        <v>N</v>
      </c>
      <c r="N32" s="15" t="str">
        <f>IF('MASTER DATA'!N167="","",'MASTER DATA'!N167)</f>
        <v/>
      </c>
      <c r="O32" s="16" t="str">
        <f>IF('MASTER DATA'!O167="","",'MASTER DATA'!O167)</f>
        <v/>
      </c>
      <c r="P32" s="16" t="str">
        <f>IF('MASTER DATA'!P167="","",'MASTER DATA'!P167)</f>
        <v>N</v>
      </c>
      <c r="Q32" s="16" t="str">
        <f>IF('MASTER DATA'!Q167="","",'MASTER DATA'!Q167)</f>
        <v/>
      </c>
      <c r="R32" s="16" t="str">
        <f>IF('MASTER DATA'!R167="","",'MASTER DATA'!R167)</f>
        <v/>
      </c>
      <c r="S32" s="16" t="str">
        <f>IF('MASTER DATA'!S167="","",'MASTER DATA'!S167)</f>
        <v>Y</v>
      </c>
      <c r="T32" s="15">
        <f>IF('MASTER DATA'!T167="","",'MASTER DATA'!T167)</f>
        <v>45415</v>
      </c>
      <c r="U32" s="16" t="str">
        <f>IF('MASTER DATA'!U167="","",'MASTER DATA'!U167)</f>
        <v>N</v>
      </c>
      <c r="V32" s="16" t="str">
        <f>IF('MASTER DATA'!V167="","",'MASTER DATA'!V167)</f>
        <v>N</v>
      </c>
      <c r="W32" s="16" t="str">
        <f>IF('MASTER DATA'!W167="","",'MASTER DATA'!W167)</f>
        <v>N</v>
      </c>
      <c r="X32" s="16" t="str">
        <f>IF('MASTER DATA'!X167="","",'MASTER DATA'!X167)</f>
        <v>N</v>
      </c>
      <c r="Y32" s="16" t="str">
        <f>IF('MASTER DATA'!Y167="","",'MASTER DATA'!Y167)</f>
        <v>N</v>
      </c>
      <c r="Z32" s="16" t="str">
        <f>IF('MASTER DATA'!Z167="","",'MASTER DATA'!Z167)</f>
        <v>N</v>
      </c>
      <c r="AA32" s="16">
        <f>IF('MASTER DATA'!AA167="","",'MASTER DATA'!AA167)</f>
        <v>1</v>
      </c>
      <c r="AB32" s="16" t="str">
        <f>IF('MASTER DATA'!AB167="","",'MASTER DATA'!AB167)</f>
        <v>SINGLE-SIGNAL</v>
      </c>
      <c r="AC32" s="16" t="str">
        <f>IF('MASTER DATA'!AC167="","",'MASTER DATA'!AC167)</f>
        <v>Inactive Customer</v>
      </c>
    </row>
    <row r="33" spans="1:29" x14ac:dyDescent="0.45">
      <c r="A33" t="str">
        <f>IF('MASTER DATA'!A168="","",'MASTER DATA'!A168)</f>
        <v>SYN-CLM-0167</v>
      </c>
      <c r="B33" t="str">
        <f>IF('MASTER DATA'!B168="","",'MASTER DATA'!B168)</f>
        <v>Synthetic Claimant 0167</v>
      </c>
      <c r="C33" t="str">
        <f>IF('MASTER DATA'!C168="","",'MASTER DATA'!C168)</f>
        <v>Claims Analyst B</v>
      </c>
      <c r="D33" t="str">
        <f>IF('MASTER DATA'!D168="","",'MASTER DATA'!D168)</f>
        <v>Synthetic Policyholder 169, LLC</v>
      </c>
      <c r="E33" s="15">
        <f>IF('MASTER DATA'!E168="","",'MASTER DATA'!E168)</f>
        <v>45850</v>
      </c>
      <c r="F33" s="16" t="str">
        <f>IF('MASTER DATA'!F168="","",'MASTER DATA'!F168)</f>
        <v>Y</v>
      </c>
      <c r="G33" s="17">
        <f>IF('MASTER DATA'!G168="","",'MASTER DATA'!G168)</f>
        <v>117750</v>
      </c>
      <c r="H33" s="16" t="str">
        <f>IF('MASTER DATA'!H168="","",'MASTER DATA'!H168)</f>
        <v>Synthetic Approver 07</v>
      </c>
      <c r="I33" s="15">
        <f>IF('MASTER DATA'!I168="","",'MASTER DATA'!I168)</f>
        <v>46699</v>
      </c>
      <c r="J33" s="16" t="str">
        <f>IF('MASTER DATA'!J168="","",'MASTER DATA'!J168)</f>
        <v>N</v>
      </c>
      <c r="K33" s="15" t="str">
        <f>IF('MASTER DATA'!K168="","",'MASTER DATA'!K168)</f>
        <v/>
      </c>
      <c r="L33" s="16" t="str">
        <f>IF('MASTER DATA'!L168="","",'MASTER DATA'!L168)</f>
        <v>Y</v>
      </c>
      <c r="M33" s="16" t="str">
        <f>IF('MASTER DATA'!M168="","",'MASTER DATA'!M168)</f>
        <v>N</v>
      </c>
      <c r="N33" s="15" t="str">
        <f>IF('MASTER DATA'!N168="","",'MASTER DATA'!N168)</f>
        <v/>
      </c>
      <c r="O33" s="16" t="str">
        <f>IF('MASTER DATA'!O168="","",'MASTER DATA'!O168)</f>
        <v/>
      </c>
      <c r="P33" s="16" t="str">
        <f>IF('MASTER DATA'!P168="","",'MASTER DATA'!P168)</f>
        <v>N</v>
      </c>
      <c r="Q33" s="16" t="str">
        <f>IF('MASTER DATA'!Q168="","",'MASTER DATA'!Q168)</f>
        <v/>
      </c>
      <c r="R33" s="16" t="str">
        <f>IF('MASTER DATA'!R168="","",'MASTER DATA'!R168)</f>
        <v/>
      </c>
      <c r="S33" s="16" t="str">
        <f>IF('MASTER DATA'!S168="","",'MASTER DATA'!S168)</f>
        <v>Y</v>
      </c>
      <c r="T33" s="15">
        <f>IF('MASTER DATA'!T168="","",'MASTER DATA'!T168)</f>
        <v>47888</v>
      </c>
      <c r="U33" s="16" t="str">
        <f>IF('MASTER DATA'!U168="","",'MASTER DATA'!U168)</f>
        <v>N</v>
      </c>
      <c r="V33" s="16" t="str">
        <f>IF('MASTER DATA'!V168="","",'MASTER DATA'!V168)</f>
        <v>N</v>
      </c>
      <c r="W33" s="16" t="str">
        <f>IF('MASTER DATA'!W168="","",'MASTER DATA'!W168)</f>
        <v>N</v>
      </c>
      <c r="X33" s="16" t="str">
        <f>IF('MASTER DATA'!X168="","",'MASTER DATA'!X168)</f>
        <v>N</v>
      </c>
      <c r="Y33" s="16" t="str">
        <f>IF('MASTER DATA'!Y168="","",'MASTER DATA'!Y168)</f>
        <v>N</v>
      </c>
      <c r="Z33" s="16" t="str">
        <f>IF('MASTER DATA'!Z168="","",'MASTER DATA'!Z168)</f>
        <v>N</v>
      </c>
      <c r="AA33" s="16">
        <f>IF('MASTER DATA'!AA168="","",'MASTER DATA'!AA168)</f>
        <v>2</v>
      </c>
      <c r="AB33" s="16" t="str">
        <f>IF('MASTER DATA'!AB168="","",'MASTER DATA'!AB168)</f>
        <v>MULTI-SIGNAL</v>
      </c>
      <c r="AC33" s="16" t="str">
        <f>IF('MASTER DATA'!AC168="","",'MASTER DATA'!AC168)</f>
        <v>Settlement Authorization | Inactive Customer</v>
      </c>
    </row>
    <row r="34" spans="1:29" x14ac:dyDescent="0.45">
      <c r="A34" t="str">
        <f>IF('MASTER DATA'!A169="","",'MASTER DATA'!A169)</f>
        <v>SYN-CLM-0168</v>
      </c>
      <c r="B34" t="str">
        <f>IF('MASTER DATA'!B169="","",'MASTER DATA'!B169)</f>
        <v>Synthetic Claimant 0168</v>
      </c>
      <c r="C34" t="str">
        <f>IF('MASTER DATA'!C169="","",'MASTER DATA'!C169)</f>
        <v>Claims Analyst B</v>
      </c>
      <c r="D34" t="str">
        <f>IF('MASTER DATA'!D169="","",'MASTER DATA'!D169)</f>
        <v>Synthetic Policyholder 098, LLC</v>
      </c>
      <c r="E34" s="15">
        <f>IF('MASTER DATA'!E169="","",'MASTER DATA'!E169)</f>
        <v>44218</v>
      </c>
      <c r="F34" s="16" t="str">
        <f>IF('MASTER DATA'!F169="","",'MASTER DATA'!F169)</f>
        <v>Y</v>
      </c>
      <c r="G34" s="17">
        <f>IF('MASTER DATA'!G169="","",'MASTER DATA'!G169)</f>
        <v>71500</v>
      </c>
      <c r="H34" s="16" t="str">
        <f>IF('MASTER DATA'!H169="","",'MASTER DATA'!H169)</f>
        <v>Synthetic Approver 07</v>
      </c>
      <c r="I34" s="15">
        <f>IF('MASTER DATA'!I169="","",'MASTER DATA'!I169)</f>
        <v>44805</v>
      </c>
      <c r="J34" s="16" t="str">
        <f>IF('MASTER DATA'!J169="","",'MASTER DATA'!J169)</f>
        <v>N</v>
      </c>
      <c r="K34" s="15" t="str">
        <f>IF('MASTER DATA'!K169="","",'MASTER DATA'!K169)</f>
        <v/>
      </c>
      <c r="L34" s="16" t="str">
        <f>IF('MASTER DATA'!L169="","",'MASTER DATA'!L169)</f>
        <v>N</v>
      </c>
      <c r="M34" s="16" t="str">
        <f>IF('MASTER DATA'!M169="","",'MASTER DATA'!M169)</f>
        <v>N</v>
      </c>
      <c r="N34" s="15" t="str">
        <f>IF('MASTER DATA'!N169="","",'MASTER DATA'!N169)</f>
        <v/>
      </c>
      <c r="O34" s="16" t="str">
        <f>IF('MASTER DATA'!O169="","",'MASTER DATA'!O169)</f>
        <v/>
      </c>
      <c r="P34" s="16" t="str">
        <f>IF('MASTER DATA'!P169="","",'MASTER DATA'!P169)</f>
        <v>N</v>
      </c>
      <c r="Q34" s="16" t="str">
        <f>IF('MASTER DATA'!Q169="","",'MASTER DATA'!Q169)</f>
        <v/>
      </c>
      <c r="R34" s="16" t="str">
        <f>IF('MASTER DATA'!R169="","",'MASTER DATA'!R169)</f>
        <v/>
      </c>
      <c r="S34" s="16" t="str">
        <f>IF('MASTER DATA'!S169="","",'MASTER DATA'!S169)</f>
        <v>N</v>
      </c>
      <c r="T34" s="15" t="str">
        <f>IF('MASTER DATA'!T169="","",'MASTER DATA'!T169)</f>
        <v/>
      </c>
      <c r="U34" s="16" t="str">
        <f>IF('MASTER DATA'!U169="","",'MASTER DATA'!U169)</f>
        <v>N</v>
      </c>
      <c r="V34" s="16" t="str">
        <f>IF('MASTER DATA'!V169="","",'MASTER DATA'!V169)</f>
        <v>N</v>
      </c>
      <c r="W34" s="16" t="str">
        <f>IF('MASTER DATA'!W169="","",'MASTER DATA'!W169)</f>
        <v>N</v>
      </c>
      <c r="X34" s="16" t="str">
        <f>IF('MASTER DATA'!X169="","",'MASTER DATA'!X169)</f>
        <v>N</v>
      </c>
      <c r="Y34" s="16" t="str">
        <f>IF('MASTER DATA'!Y169="","",'MASTER DATA'!Y169)</f>
        <v>N</v>
      </c>
      <c r="Z34" s="16" t="str">
        <f>IF('MASTER DATA'!Z169="","",'MASTER DATA'!Z169)</f>
        <v>N</v>
      </c>
      <c r="AA34" s="16">
        <f>IF('MASTER DATA'!AA169="","",'MASTER DATA'!AA169)</f>
        <v>1</v>
      </c>
      <c r="AB34" s="16" t="str">
        <f>IF('MASTER DATA'!AB169="","",'MASTER DATA'!AB169)</f>
        <v>SINGLE-SIGNAL</v>
      </c>
      <c r="AC34" s="16" t="str">
        <f>IF('MASTER DATA'!AC169="","",'MASTER DATA'!AC169)</f>
        <v>Settlement Authorization</v>
      </c>
    </row>
    <row r="35" spans="1:29" x14ac:dyDescent="0.45">
      <c r="A35" t="str">
        <f>IF('MASTER DATA'!A170="","",'MASTER DATA'!A170)</f>
        <v>SYN-CLM-0169</v>
      </c>
      <c r="B35" t="str">
        <f>IF('MASTER DATA'!B170="","",'MASTER DATA'!B170)</f>
        <v>Synthetic Claimant 0169</v>
      </c>
      <c r="C35" t="str">
        <f>IF('MASTER DATA'!C170="","",'MASTER DATA'!C170)</f>
        <v>Claims Analyst B</v>
      </c>
      <c r="D35" t="str">
        <f>IF('MASTER DATA'!D170="","",'MASTER DATA'!D170)</f>
        <v>Synthetic Policyholder 037, LLC</v>
      </c>
      <c r="E35" s="15">
        <f>IF('MASTER DATA'!E170="","",'MASTER DATA'!E170)</f>
        <v>45420</v>
      </c>
      <c r="F35" s="16" t="str">
        <f>IF('MASTER DATA'!F170="","",'MASTER DATA'!F170)</f>
        <v>Y</v>
      </c>
      <c r="G35" s="17">
        <f>IF('MASTER DATA'!G170="","",'MASTER DATA'!G170)</f>
        <v>94000</v>
      </c>
      <c r="H35" s="16" t="str">
        <f>IF('MASTER DATA'!H170="","",'MASTER DATA'!H170)</f>
        <v>Synthetic Approver 05</v>
      </c>
      <c r="I35" s="15">
        <f>IF('MASTER DATA'!I170="","",'MASTER DATA'!I170)</f>
        <v>46539</v>
      </c>
      <c r="J35" s="16" t="str">
        <f>IF('MASTER DATA'!J170="","",'MASTER DATA'!J170)</f>
        <v>N</v>
      </c>
      <c r="K35" s="15" t="str">
        <f>IF('MASTER DATA'!K170="","",'MASTER DATA'!K170)</f>
        <v/>
      </c>
      <c r="L35" s="16" t="str">
        <f>IF('MASTER DATA'!L170="","",'MASTER DATA'!L170)</f>
        <v>N</v>
      </c>
      <c r="M35" s="16" t="str">
        <f>IF('MASTER DATA'!M170="","",'MASTER DATA'!M170)</f>
        <v>N</v>
      </c>
      <c r="N35" s="15" t="str">
        <f>IF('MASTER DATA'!N170="","",'MASTER DATA'!N170)</f>
        <v/>
      </c>
      <c r="O35" s="16" t="str">
        <f>IF('MASTER DATA'!O170="","",'MASTER DATA'!O170)</f>
        <v/>
      </c>
      <c r="P35" s="16" t="str">
        <f>IF('MASTER DATA'!P170="","",'MASTER DATA'!P170)</f>
        <v>N</v>
      </c>
      <c r="Q35" s="16" t="str">
        <f>IF('MASTER DATA'!Q170="","",'MASTER DATA'!Q170)</f>
        <v/>
      </c>
      <c r="R35" s="16" t="str">
        <f>IF('MASTER DATA'!R170="","",'MASTER DATA'!R170)</f>
        <v/>
      </c>
      <c r="S35" s="16" t="str">
        <f>IF('MASTER DATA'!S170="","",'MASTER DATA'!S170)</f>
        <v>N</v>
      </c>
      <c r="T35" s="15" t="str">
        <f>IF('MASTER DATA'!T170="","",'MASTER DATA'!T170)</f>
        <v/>
      </c>
      <c r="U35" s="16" t="str">
        <f>IF('MASTER DATA'!U170="","",'MASTER DATA'!U170)</f>
        <v>N</v>
      </c>
      <c r="V35" s="16" t="str">
        <f>IF('MASTER DATA'!V170="","",'MASTER DATA'!V170)</f>
        <v>N</v>
      </c>
      <c r="W35" s="16" t="str">
        <f>IF('MASTER DATA'!W170="","",'MASTER DATA'!W170)</f>
        <v>N</v>
      </c>
      <c r="X35" s="16" t="str">
        <f>IF('MASTER DATA'!X170="","",'MASTER DATA'!X170)</f>
        <v>N</v>
      </c>
      <c r="Y35" s="16" t="str">
        <f>IF('MASTER DATA'!Y170="","",'MASTER DATA'!Y170)</f>
        <v>N</v>
      </c>
      <c r="Z35" s="16" t="str">
        <f>IF('MASTER DATA'!Z170="","",'MASTER DATA'!Z170)</f>
        <v>N</v>
      </c>
      <c r="AA35" s="16">
        <f>IF('MASTER DATA'!AA170="","",'MASTER DATA'!AA170)</f>
        <v>1</v>
      </c>
      <c r="AB35" s="16" t="str">
        <f>IF('MASTER DATA'!AB170="","",'MASTER DATA'!AB170)</f>
        <v>SINGLE-SIGNAL</v>
      </c>
      <c r="AC35" s="16" t="str">
        <f>IF('MASTER DATA'!AC170="","",'MASTER DATA'!AC170)</f>
        <v>Settlement Authorization</v>
      </c>
    </row>
    <row r="36" spans="1:29" x14ac:dyDescent="0.45">
      <c r="A36" t="str">
        <f>IF('MASTER DATA'!A171="","",'MASTER DATA'!A171)</f>
        <v>SYN-CLM-0170</v>
      </c>
      <c r="B36" t="str">
        <f>IF('MASTER DATA'!B171="","",'MASTER DATA'!B171)</f>
        <v>Synthetic Claimant 0170</v>
      </c>
      <c r="C36" t="str">
        <f>IF('MASTER DATA'!C171="","",'MASTER DATA'!C171)</f>
        <v>Claims Analyst B</v>
      </c>
      <c r="D36" t="str">
        <f>IF('MASTER DATA'!D171="","",'MASTER DATA'!D171)</f>
        <v>Synthetic Policyholder 066, LLC</v>
      </c>
      <c r="E36" s="15">
        <f>IF('MASTER DATA'!E171="","",'MASTER DATA'!E171)</f>
        <v>44865</v>
      </c>
      <c r="F36" s="16" t="str">
        <f>IF('MASTER DATA'!F171="","",'MASTER DATA'!F171)</f>
        <v>Y</v>
      </c>
      <c r="G36" s="17">
        <f>IF('MASTER DATA'!G171="","",'MASTER DATA'!G171)</f>
        <v>69500</v>
      </c>
      <c r="H36" s="16" t="str">
        <f>IF('MASTER DATA'!H171="","",'MASTER DATA'!H171)</f>
        <v>Synthetic Approver 01</v>
      </c>
      <c r="I36" s="15">
        <f>IF('MASTER DATA'!I171="","",'MASTER DATA'!I171)</f>
        <v>46539</v>
      </c>
      <c r="J36" s="16" t="str">
        <f>IF('MASTER DATA'!J171="","",'MASTER DATA'!J171)</f>
        <v>N</v>
      </c>
      <c r="K36" s="15" t="str">
        <f>IF('MASTER DATA'!K171="","",'MASTER DATA'!K171)</f>
        <v/>
      </c>
      <c r="L36" s="16" t="str">
        <f>IF('MASTER DATA'!L171="","",'MASTER DATA'!L171)</f>
        <v>N</v>
      </c>
      <c r="M36" s="16" t="str">
        <f>IF('MASTER DATA'!M171="","",'MASTER DATA'!M171)</f>
        <v>N</v>
      </c>
      <c r="N36" s="15" t="str">
        <f>IF('MASTER DATA'!N171="","",'MASTER DATA'!N171)</f>
        <v/>
      </c>
      <c r="O36" s="16" t="str">
        <f>IF('MASTER DATA'!O171="","",'MASTER DATA'!O171)</f>
        <v/>
      </c>
      <c r="P36" s="16" t="str">
        <f>IF('MASTER DATA'!P171="","",'MASTER DATA'!P171)</f>
        <v>Y</v>
      </c>
      <c r="Q36" s="16" t="str">
        <f>IF('MASTER DATA'!Q171="","",'MASTER DATA'!Q171)</f>
        <v>MSA Eligible in Next 3 Years; MMI Date Reported; Surgery Requested</v>
      </c>
      <c r="R36" s="16" t="str">
        <f>IF('MASTER DATA'!R171="","",'MASTER DATA'!R171)</f>
        <v>Non-Renewed Account</v>
      </c>
      <c r="S36" s="16" t="str">
        <f>IF('MASTER DATA'!S171="","",'MASTER DATA'!S171)</f>
        <v>N</v>
      </c>
      <c r="T36" s="15" t="str">
        <f>IF('MASTER DATA'!T171="","",'MASTER DATA'!T171)</f>
        <v/>
      </c>
      <c r="U36" s="16" t="str">
        <f>IF('MASTER DATA'!U171="","",'MASTER DATA'!U171)</f>
        <v>Y</v>
      </c>
      <c r="V36" s="16" t="str">
        <f>IF('MASTER DATA'!V171="","",'MASTER DATA'!V171)</f>
        <v>Y</v>
      </c>
      <c r="W36" s="16" t="str">
        <f>IF('MASTER DATA'!W171="","",'MASTER DATA'!W171)</f>
        <v>N</v>
      </c>
      <c r="X36" s="16" t="str">
        <f>IF('MASTER DATA'!X171="","",'MASTER DATA'!X171)</f>
        <v>N</v>
      </c>
      <c r="Y36" s="16" t="str">
        <f>IF('MASTER DATA'!Y171="","",'MASTER DATA'!Y171)</f>
        <v>Y</v>
      </c>
      <c r="Z36" s="16" t="str">
        <f>IF('MASTER DATA'!Z171="","",'MASTER DATA'!Z171)</f>
        <v>Y</v>
      </c>
      <c r="AA36" s="16">
        <f>IF('MASTER DATA'!AA171="","",'MASTER DATA'!AA171)</f>
        <v>2</v>
      </c>
      <c r="AB36" s="16" t="str">
        <f>IF('MASTER DATA'!AB171="","",'MASTER DATA'!AB171)</f>
        <v>MULTI-SIGNAL</v>
      </c>
      <c r="AC36" s="16" t="str">
        <f>IF('MASTER DATA'!AC171="","",'MASTER DATA'!AC171)</f>
        <v>Settlement Authorization | Automated Claim Alert</v>
      </c>
    </row>
    <row r="37" spans="1:29" x14ac:dyDescent="0.45">
      <c r="A37" t="str">
        <f>IF('MASTER DATA'!A172="","",'MASTER DATA'!A172)</f>
        <v>SYN-CLM-0171</v>
      </c>
      <c r="B37" t="str">
        <f>IF('MASTER DATA'!B172="","",'MASTER DATA'!B172)</f>
        <v>Synthetic Claimant 0171</v>
      </c>
      <c r="C37" t="str">
        <f>IF('MASTER DATA'!C172="","",'MASTER DATA'!C172)</f>
        <v>Claims Analyst B</v>
      </c>
      <c r="D37" t="str">
        <f>IF('MASTER DATA'!D172="","",'MASTER DATA'!D172)</f>
        <v>Synthetic Policyholder 074, LLC</v>
      </c>
      <c r="E37" s="15">
        <f>IF('MASTER DATA'!E172="","",'MASTER DATA'!E172)</f>
        <v>46084</v>
      </c>
      <c r="F37" s="16" t="str">
        <f>IF('MASTER DATA'!F172="","",'MASTER DATA'!F172)</f>
        <v>Y</v>
      </c>
      <c r="G37" s="17">
        <f>IF('MASTER DATA'!G172="","",'MASTER DATA'!G172)</f>
        <v>64000</v>
      </c>
      <c r="H37" s="16" t="str">
        <f>IF('MASTER DATA'!H172="","",'MASTER DATA'!H172)</f>
        <v>Synthetic Approver 10</v>
      </c>
      <c r="I37" s="15">
        <f>IF('MASTER DATA'!I172="","",'MASTER DATA'!I172)</f>
        <v>47779</v>
      </c>
      <c r="J37" s="16" t="str">
        <f>IF('MASTER DATA'!J172="","",'MASTER DATA'!J172)</f>
        <v>N</v>
      </c>
      <c r="K37" s="15" t="str">
        <f>IF('MASTER DATA'!K172="","",'MASTER DATA'!K172)</f>
        <v/>
      </c>
      <c r="L37" s="16" t="str">
        <f>IF('MASTER DATA'!L172="","",'MASTER DATA'!L172)</f>
        <v>N</v>
      </c>
      <c r="M37" s="16" t="str">
        <f>IF('MASTER DATA'!M172="","",'MASTER DATA'!M172)</f>
        <v>N</v>
      </c>
      <c r="N37" s="15" t="str">
        <f>IF('MASTER DATA'!N172="","",'MASTER DATA'!N172)</f>
        <v/>
      </c>
      <c r="O37" s="16" t="str">
        <f>IF('MASTER DATA'!O172="","",'MASTER DATA'!O172)</f>
        <v/>
      </c>
      <c r="P37" s="16" t="str">
        <f>IF('MASTER DATA'!P172="","",'MASTER DATA'!P172)</f>
        <v>N</v>
      </c>
      <c r="Q37" s="16" t="str">
        <f>IF('MASTER DATA'!Q172="","",'MASTER DATA'!Q172)</f>
        <v/>
      </c>
      <c r="R37" s="16" t="str">
        <f>IF('MASTER DATA'!R172="","",'MASTER DATA'!R172)</f>
        <v/>
      </c>
      <c r="S37" s="16" t="str">
        <f>IF('MASTER DATA'!S172="","",'MASTER DATA'!S172)</f>
        <v>N</v>
      </c>
      <c r="T37" s="15" t="str">
        <f>IF('MASTER DATA'!T172="","",'MASTER DATA'!T172)</f>
        <v/>
      </c>
      <c r="U37" s="16" t="str">
        <f>IF('MASTER DATA'!U172="","",'MASTER DATA'!U172)</f>
        <v>N</v>
      </c>
      <c r="V37" s="16" t="str">
        <f>IF('MASTER DATA'!V172="","",'MASTER DATA'!V172)</f>
        <v>N</v>
      </c>
      <c r="W37" s="16" t="str">
        <f>IF('MASTER DATA'!W172="","",'MASTER DATA'!W172)</f>
        <v>N</v>
      </c>
      <c r="X37" s="16" t="str">
        <f>IF('MASTER DATA'!X172="","",'MASTER DATA'!X172)</f>
        <v>N</v>
      </c>
      <c r="Y37" s="16" t="str">
        <f>IF('MASTER DATA'!Y172="","",'MASTER DATA'!Y172)</f>
        <v>N</v>
      </c>
      <c r="Z37" s="16" t="str">
        <f>IF('MASTER DATA'!Z172="","",'MASTER DATA'!Z172)</f>
        <v>N</v>
      </c>
      <c r="AA37" s="16">
        <f>IF('MASTER DATA'!AA172="","",'MASTER DATA'!AA172)</f>
        <v>1</v>
      </c>
      <c r="AB37" s="16" t="str">
        <f>IF('MASTER DATA'!AB172="","",'MASTER DATA'!AB172)</f>
        <v>SINGLE-SIGNAL</v>
      </c>
      <c r="AC37" s="16" t="str">
        <f>IF('MASTER DATA'!AC172="","",'MASTER DATA'!AC172)</f>
        <v>Settlement Authorization</v>
      </c>
    </row>
    <row r="38" spans="1:29" x14ac:dyDescent="0.45">
      <c r="A38" t="str">
        <f>IF('MASTER DATA'!A173="","",'MASTER DATA'!A173)</f>
        <v>SYN-CLM-0172</v>
      </c>
      <c r="B38" t="str">
        <f>IF('MASTER DATA'!B173="","",'MASTER DATA'!B173)</f>
        <v>Synthetic Claimant 0172</v>
      </c>
      <c r="C38" t="str">
        <f>IF('MASTER DATA'!C173="","",'MASTER DATA'!C173)</f>
        <v>Claims Analyst B</v>
      </c>
      <c r="D38" t="str">
        <f>IF('MASTER DATA'!D173="","",'MASTER DATA'!D173)</f>
        <v>Synthetic Policyholder 155, LLC</v>
      </c>
      <c r="E38" s="15">
        <f>IF('MASTER DATA'!E173="","",'MASTER DATA'!E173)</f>
        <v>44618</v>
      </c>
      <c r="F38" s="16" t="str">
        <f>IF('MASTER DATA'!F173="","",'MASTER DATA'!F173)</f>
        <v>N</v>
      </c>
      <c r="G38" s="17" t="str">
        <f>IF('MASTER DATA'!G173="","",'MASTER DATA'!G173)</f>
        <v/>
      </c>
      <c r="H38" s="16" t="str">
        <f>IF('MASTER DATA'!H173="","",'MASTER DATA'!H173)</f>
        <v/>
      </c>
      <c r="I38" s="15" t="str">
        <f>IF('MASTER DATA'!I173="","",'MASTER DATA'!I173)</f>
        <v/>
      </c>
      <c r="J38" s="16" t="str">
        <f>IF('MASTER DATA'!J173="","",'MASTER DATA'!J173)</f>
        <v>N</v>
      </c>
      <c r="K38" s="15" t="str">
        <f>IF('MASTER DATA'!K173="","",'MASTER DATA'!K173)</f>
        <v/>
      </c>
      <c r="L38" s="16" t="str">
        <f>IF('MASTER DATA'!L173="","",'MASTER DATA'!L173)</f>
        <v/>
      </c>
      <c r="M38" s="16" t="str">
        <f>IF('MASTER DATA'!M173="","",'MASTER DATA'!M173)</f>
        <v>N</v>
      </c>
      <c r="N38" s="15" t="str">
        <f>IF('MASTER DATA'!N173="","",'MASTER DATA'!N173)</f>
        <v/>
      </c>
      <c r="O38" s="16" t="str">
        <f>IF('MASTER DATA'!O173="","",'MASTER DATA'!O173)</f>
        <v/>
      </c>
      <c r="P38" s="16" t="str">
        <f>IF('MASTER DATA'!P173="","",'MASTER DATA'!P173)</f>
        <v>N</v>
      </c>
      <c r="Q38" s="16" t="str">
        <f>IF('MASTER DATA'!Q173="","",'MASTER DATA'!Q173)</f>
        <v/>
      </c>
      <c r="R38" s="16" t="str">
        <f>IF('MASTER DATA'!R173="","",'MASTER DATA'!R173)</f>
        <v/>
      </c>
      <c r="S38" s="16" t="str">
        <f>IF('MASTER DATA'!S173="","",'MASTER DATA'!S173)</f>
        <v>Y</v>
      </c>
      <c r="T38" s="15">
        <f>IF('MASTER DATA'!T173="","",'MASTER DATA'!T173)</f>
        <v>45752</v>
      </c>
      <c r="U38" s="16" t="str">
        <f>IF('MASTER DATA'!U173="","",'MASTER DATA'!U173)</f>
        <v>N</v>
      </c>
      <c r="V38" s="16" t="str">
        <f>IF('MASTER DATA'!V173="","",'MASTER DATA'!V173)</f>
        <v>N</v>
      </c>
      <c r="W38" s="16" t="str">
        <f>IF('MASTER DATA'!W173="","",'MASTER DATA'!W173)</f>
        <v>N</v>
      </c>
      <c r="X38" s="16" t="str">
        <f>IF('MASTER DATA'!X173="","",'MASTER DATA'!X173)</f>
        <v>N</v>
      </c>
      <c r="Y38" s="16" t="str">
        <f>IF('MASTER DATA'!Y173="","",'MASTER DATA'!Y173)</f>
        <v>N</v>
      </c>
      <c r="Z38" s="16" t="str">
        <f>IF('MASTER DATA'!Z173="","",'MASTER DATA'!Z173)</f>
        <v>N</v>
      </c>
      <c r="AA38" s="16">
        <f>IF('MASTER DATA'!AA173="","",'MASTER DATA'!AA173)</f>
        <v>1</v>
      </c>
      <c r="AB38" s="16" t="str">
        <f>IF('MASTER DATA'!AB173="","",'MASTER DATA'!AB173)</f>
        <v>SINGLE-SIGNAL</v>
      </c>
      <c r="AC38" s="16" t="str">
        <f>IF('MASTER DATA'!AC173="","",'MASTER DATA'!AC173)</f>
        <v>Inactive Customer</v>
      </c>
    </row>
    <row r="39" spans="1:29" x14ac:dyDescent="0.45">
      <c r="A39" t="str">
        <f>IF('MASTER DATA'!A174="","",'MASTER DATA'!A174)</f>
        <v>SYN-CLM-0173</v>
      </c>
      <c r="B39" t="str">
        <f>IF('MASTER DATA'!B174="","",'MASTER DATA'!B174)</f>
        <v>Synthetic Claimant 0173</v>
      </c>
      <c r="C39" t="str">
        <f>IF('MASTER DATA'!C174="","",'MASTER DATA'!C174)</f>
        <v>Claims Analyst B</v>
      </c>
      <c r="D39" t="str">
        <f>IF('MASTER DATA'!D174="","",'MASTER DATA'!D174)</f>
        <v>Synthetic Policyholder 068, LLC</v>
      </c>
      <c r="E39" s="15">
        <f>IF('MASTER DATA'!E174="","",'MASTER DATA'!E174)</f>
        <v>44812</v>
      </c>
      <c r="F39" s="16" t="str">
        <f>IF('MASTER DATA'!F174="","",'MASTER DATA'!F174)</f>
        <v>Y</v>
      </c>
      <c r="G39" s="17">
        <f>IF('MASTER DATA'!G174="","",'MASTER DATA'!G174)</f>
        <v>164250</v>
      </c>
      <c r="H39" s="16" t="str">
        <f>IF('MASTER DATA'!H174="","",'MASTER DATA'!H174)</f>
        <v>Synthetic Approver 10</v>
      </c>
      <c r="I39" s="15">
        <f>IF('MASTER DATA'!I174="","",'MASTER DATA'!I174)</f>
        <v>45449</v>
      </c>
      <c r="J39" s="16" t="str">
        <f>IF('MASTER DATA'!J174="","",'MASTER DATA'!J174)</f>
        <v>N</v>
      </c>
      <c r="K39" s="15" t="str">
        <f>IF('MASTER DATA'!K174="","",'MASTER DATA'!K174)</f>
        <v/>
      </c>
      <c r="L39" s="16" t="str">
        <f>IF('MASTER DATA'!L174="","",'MASTER DATA'!L174)</f>
        <v>Y</v>
      </c>
      <c r="M39" s="16" t="str">
        <f>IF('MASTER DATA'!M174="","",'MASTER DATA'!M174)</f>
        <v>N</v>
      </c>
      <c r="N39" s="15" t="str">
        <f>IF('MASTER DATA'!N174="","",'MASTER DATA'!N174)</f>
        <v/>
      </c>
      <c r="O39" s="16" t="str">
        <f>IF('MASTER DATA'!O174="","",'MASTER DATA'!O174)</f>
        <v/>
      </c>
      <c r="P39" s="16" t="str">
        <f>IF('MASTER DATA'!P174="","",'MASTER DATA'!P174)</f>
        <v>N</v>
      </c>
      <c r="Q39" s="16" t="str">
        <f>IF('MASTER DATA'!Q174="","",'MASTER DATA'!Q174)</f>
        <v/>
      </c>
      <c r="R39" s="16" t="str">
        <f>IF('MASTER DATA'!R174="","",'MASTER DATA'!R174)</f>
        <v/>
      </c>
      <c r="S39" s="16" t="str">
        <f>IF('MASTER DATA'!S174="","",'MASTER DATA'!S174)</f>
        <v>N</v>
      </c>
      <c r="T39" s="15" t="str">
        <f>IF('MASTER DATA'!T174="","",'MASTER DATA'!T174)</f>
        <v/>
      </c>
      <c r="U39" s="16" t="str">
        <f>IF('MASTER DATA'!U174="","",'MASTER DATA'!U174)</f>
        <v>N</v>
      </c>
      <c r="V39" s="16" t="str">
        <f>IF('MASTER DATA'!V174="","",'MASTER DATA'!V174)</f>
        <v>N</v>
      </c>
      <c r="W39" s="16" t="str">
        <f>IF('MASTER DATA'!W174="","",'MASTER DATA'!W174)</f>
        <v>N</v>
      </c>
      <c r="X39" s="16" t="str">
        <f>IF('MASTER DATA'!X174="","",'MASTER DATA'!X174)</f>
        <v>N</v>
      </c>
      <c r="Y39" s="16" t="str">
        <f>IF('MASTER DATA'!Y174="","",'MASTER DATA'!Y174)</f>
        <v>N</v>
      </c>
      <c r="Z39" s="16" t="str">
        <f>IF('MASTER DATA'!Z174="","",'MASTER DATA'!Z174)</f>
        <v>N</v>
      </c>
      <c r="AA39" s="16">
        <f>IF('MASTER DATA'!AA174="","",'MASTER DATA'!AA174)</f>
        <v>1</v>
      </c>
      <c r="AB39" s="16" t="str">
        <f>IF('MASTER DATA'!AB174="","",'MASTER DATA'!AB174)</f>
        <v>SINGLE-SIGNAL</v>
      </c>
      <c r="AC39" s="16" t="str">
        <f>IF('MASTER DATA'!AC174="","",'MASTER DATA'!AC174)</f>
        <v>Settlement Authorization</v>
      </c>
    </row>
    <row r="40" spans="1:29" x14ac:dyDescent="0.45">
      <c r="A40" t="str">
        <f>IF('MASTER DATA'!A175="","",'MASTER DATA'!A175)</f>
        <v>SYN-CLM-0174</v>
      </c>
      <c r="B40" t="str">
        <f>IF('MASTER DATA'!B175="","",'MASTER DATA'!B175)</f>
        <v>Synthetic Claimant 0174</v>
      </c>
      <c r="C40" t="str">
        <f>IF('MASTER DATA'!C175="","",'MASTER DATA'!C175)</f>
        <v>Claims Analyst B</v>
      </c>
      <c r="D40" t="str">
        <f>IF('MASTER DATA'!D175="","",'MASTER DATA'!D175)</f>
        <v>Synthetic Policyholder 006, LLC</v>
      </c>
      <c r="E40" s="15">
        <f>IF('MASTER DATA'!E175="","",'MASTER DATA'!E175)</f>
        <v>45621</v>
      </c>
      <c r="F40" s="16" t="str">
        <f>IF('MASTER DATA'!F175="","",'MASTER DATA'!F175)</f>
        <v>N</v>
      </c>
      <c r="G40" s="17" t="str">
        <f>IF('MASTER DATA'!G175="","",'MASTER DATA'!G175)</f>
        <v/>
      </c>
      <c r="H40" s="16" t="str">
        <f>IF('MASTER DATA'!H175="","",'MASTER DATA'!H175)</f>
        <v/>
      </c>
      <c r="I40" s="15" t="str">
        <f>IF('MASTER DATA'!I175="","",'MASTER DATA'!I175)</f>
        <v/>
      </c>
      <c r="J40" s="16" t="str">
        <f>IF('MASTER DATA'!J175="","",'MASTER DATA'!J175)</f>
        <v>Y</v>
      </c>
      <c r="K40" s="15">
        <f>IF('MASTER DATA'!K175="","",'MASTER DATA'!K175)</f>
        <v>46687</v>
      </c>
      <c r="L40" s="16" t="str">
        <f>IF('MASTER DATA'!L175="","",'MASTER DATA'!L175)</f>
        <v>Y</v>
      </c>
      <c r="M40" s="16" t="str">
        <f>IF('MASTER DATA'!M175="","",'MASTER DATA'!M175)</f>
        <v>N</v>
      </c>
      <c r="N40" s="15" t="str">
        <f>IF('MASTER DATA'!N175="","",'MASTER DATA'!N175)</f>
        <v/>
      </c>
      <c r="O40" s="16" t="str">
        <f>IF('MASTER DATA'!O175="","",'MASTER DATA'!O175)</f>
        <v/>
      </c>
      <c r="P40" s="16" t="str">
        <f>IF('MASTER DATA'!P175="","",'MASTER DATA'!P175)</f>
        <v>N</v>
      </c>
      <c r="Q40" s="16" t="str">
        <f>IF('MASTER DATA'!Q175="","",'MASTER DATA'!Q175)</f>
        <v/>
      </c>
      <c r="R40" s="16" t="str">
        <f>IF('MASTER DATA'!R175="","",'MASTER DATA'!R175)</f>
        <v/>
      </c>
      <c r="S40" s="16" t="str">
        <f>IF('MASTER DATA'!S175="","",'MASTER DATA'!S175)</f>
        <v>N</v>
      </c>
      <c r="T40" s="15" t="str">
        <f>IF('MASTER DATA'!T175="","",'MASTER DATA'!T175)</f>
        <v/>
      </c>
      <c r="U40" s="16" t="str">
        <f>IF('MASTER DATA'!U175="","",'MASTER DATA'!U175)</f>
        <v>N</v>
      </c>
      <c r="V40" s="16" t="str">
        <f>IF('MASTER DATA'!V175="","",'MASTER DATA'!V175)</f>
        <v>N</v>
      </c>
      <c r="W40" s="16" t="str">
        <f>IF('MASTER DATA'!W175="","",'MASTER DATA'!W175)</f>
        <v>N</v>
      </c>
      <c r="X40" s="16" t="str">
        <f>IF('MASTER DATA'!X175="","",'MASTER DATA'!X175)</f>
        <v>N</v>
      </c>
      <c r="Y40" s="16" t="str">
        <f>IF('MASTER DATA'!Y175="","",'MASTER DATA'!Y175)</f>
        <v>N</v>
      </c>
      <c r="Z40" s="16" t="str">
        <f>IF('MASTER DATA'!Z175="","",'MASTER DATA'!Z175)</f>
        <v>N</v>
      </c>
      <c r="AA40" s="16">
        <f>IF('MASTER DATA'!AA175="","",'MASTER DATA'!AA175)</f>
        <v>1</v>
      </c>
      <c r="AB40" s="16" t="str">
        <f>IF('MASTER DATA'!AB175="","",'MASTER DATA'!AB175)</f>
        <v>SINGLE-SIGNAL</v>
      </c>
      <c r="AC40" s="16" t="str">
        <f>IF('MASTER DATA'!AC175="","",'MASTER DATA'!AC175)</f>
        <v>Open Stipulation</v>
      </c>
    </row>
    <row r="41" spans="1:29" x14ac:dyDescent="0.45">
      <c r="A41" t="str">
        <f>IF('MASTER DATA'!A176="","",'MASTER DATA'!A176)</f>
        <v>SYN-CLM-0175</v>
      </c>
      <c r="B41" t="str">
        <f>IF('MASTER DATA'!B176="","",'MASTER DATA'!B176)</f>
        <v>Synthetic Claimant 0175</v>
      </c>
      <c r="C41" t="str">
        <f>IF('MASTER DATA'!C176="","",'MASTER DATA'!C176)</f>
        <v>Claims Analyst B</v>
      </c>
      <c r="D41" t="str">
        <f>IF('MASTER DATA'!D176="","",'MASTER DATA'!D176)</f>
        <v>Synthetic Policyholder 153, LLC</v>
      </c>
      <c r="E41" s="15">
        <f>IF('MASTER DATA'!E176="","",'MASTER DATA'!E176)</f>
        <v>45673</v>
      </c>
      <c r="F41" s="16" t="str">
        <f>IF('MASTER DATA'!F176="","",'MASTER DATA'!F176)</f>
        <v>Y</v>
      </c>
      <c r="G41" s="17">
        <f>IF('MASTER DATA'!G176="","",'MASTER DATA'!G176)</f>
        <v>118000</v>
      </c>
      <c r="H41" s="16" t="str">
        <f>IF('MASTER DATA'!H176="","",'MASTER DATA'!H176)</f>
        <v>Synthetic Approver 10</v>
      </c>
      <c r="I41" s="15">
        <f>IF('MASTER DATA'!I176="","",'MASTER DATA'!I176)</f>
        <v>46135</v>
      </c>
      <c r="J41" s="16" t="str">
        <f>IF('MASTER DATA'!J176="","",'MASTER DATA'!J176)</f>
        <v>N</v>
      </c>
      <c r="K41" s="15" t="str">
        <f>IF('MASTER DATA'!K176="","",'MASTER DATA'!K176)</f>
        <v/>
      </c>
      <c r="L41" s="16" t="str">
        <f>IF('MASTER DATA'!L176="","",'MASTER DATA'!L176)</f>
        <v>Y</v>
      </c>
      <c r="M41" s="16" t="str">
        <f>IF('MASTER DATA'!M176="","",'MASTER DATA'!M176)</f>
        <v>N</v>
      </c>
      <c r="N41" s="15" t="str">
        <f>IF('MASTER DATA'!N176="","",'MASTER DATA'!N176)</f>
        <v/>
      </c>
      <c r="O41" s="16" t="str">
        <f>IF('MASTER DATA'!O176="","",'MASTER DATA'!O176)</f>
        <v/>
      </c>
      <c r="P41" s="16" t="str">
        <f>IF('MASTER DATA'!P176="","",'MASTER DATA'!P176)</f>
        <v>N</v>
      </c>
      <c r="Q41" s="16" t="str">
        <f>IF('MASTER DATA'!Q176="","",'MASTER DATA'!Q176)</f>
        <v/>
      </c>
      <c r="R41" s="16" t="str">
        <f>IF('MASTER DATA'!R176="","",'MASTER DATA'!R176)</f>
        <v/>
      </c>
      <c r="S41" s="16" t="str">
        <f>IF('MASTER DATA'!S176="","",'MASTER DATA'!S176)</f>
        <v>N</v>
      </c>
      <c r="T41" s="15" t="str">
        <f>IF('MASTER DATA'!T176="","",'MASTER DATA'!T176)</f>
        <v/>
      </c>
      <c r="U41" s="16" t="str">
        <f>IF('MASTER DATA'!U176="","",'MASTER DATA'!U176)</f>
        <v>N</v>
      </c>
      <c r="V41" s="16" t="str">
        <f>IF('MASTER DATA'!V176="","",'MASTER DATA'!V176)</f>
        <v>N</v>
      </c>
      <c r="W41" s="16" t="str">
        <f>IF('MASTER DATA'!W176="","",'MASTER DATA'!W176)</f>
        <v>N</v>
      </c>
      <c r="X41" s="16" t="str">
        <f>IF('MASTER DATA'!X176="","",'MASTER DATA'!X176)</f>
        <v>N</v>
      </c>
      <c r="Y41" s="16" t="str">
        <f>IF('MASTER DATA'!Y176="","",'MASTER DATA'!Y176)</f>
        <v>N</v>
      </c>
      <c r="Z41" s="16" t="str">
        <f>IF('MASTER DATA'!Z176="","",'MASTER DATA'!Z176)</f>
        <v>N</v>
      </c>
      <c r="AA41" s="16">
        <f>IF('MASTER DATA'!AA176="","",'MASTER DATA'!AA176)</f>
        <v>1</v>
      </c>
      <c r="AB41" s="16" t="str">
        <f>IF('MASTER DATA'!AB176="","",'MASTER DATA'!AB176)</f>
        <v>SINGLE-SIGNAL</v>
      </c>
      <c r="AC41" s="16" t="str">
        <f>IF('MASTER DATA'!AC176="","",'MASTER DATA'!AC176)</f>
        <v>Settlement Authorization</v>
      </c>
    </row>
    <row r="42" spans="1:29" x14ac:dyDescent="0.45">
      <c r="A42" t="str">
        <f>IF('MASTER DATA'!A177="","",'MASTER DATA'!A177)</f>
        <v>SYN-CLM-0176</v>
      </c>
      <c r="B42" t="str">
        <f>IF('MASTER DATA'!B177="","",'MASTER DATA'!B177)</f>
        <v>Synthetic Claimant 0176</v>
      </c>
      <c r="C42" t="str">
        <f>IF('MASTER DATA'!C177="","",'MASTER DATA'!C177)</f>
        <v>Claims Analyst B</v>
      </c>
      <c r="D42" t="str">
        <f>IF('MASTER DATA'!D177="","",'MASTER DATA'!D177)</f>
        <v>Synthetic Policyholder 137, LLC</v>
      </c>
      <c r="E42" s="15">
        <f>IF('MASTER DATA'!E177="","",'MASTER DATA'!E177)</f>
        <v>44365</v>
      </c>
      <c r="F42" s="16" t="str">
        <f>IF('MASTER DATA'!F177="","",'MASTER DATA'!F177)</f>
        <v>N</v>
      </c>
      <c r="G42" s="17" t="str">
        <f>IF('MASTER DATA'!G177="","",'MASTER DATA'!G177)</f>
        <v/>
      </c>
      <c r="H42" s="16" t="str">
        <f>IF('MASTER DATA'!H177="","",'MASTER DATA'!H177)</f>
        <v/>
      </c>
      <c r="I42" s="15" t="str">
        <f>IF('MASTER DATA'!I177="","",'MASTER DATA'!I177)</f>
        <v/>
      </c>
      <c r="J42" s="16" t="str">
        <f>IF('MASTER DATA'!J177="","",'MASTER DATA'!J177)</f>
        <v>N</v>
      </c>
      <c r="K42" s="15" t="str">
        <f>IF('MASTER DATA'!K177="","",'MASTER DATA'!K177)</f>
        <v/>
      </c>
      <c r="L42" s="16" t="str">
        <f>IF('MASTER DATA'!L177="","",'MASTER DATA'!L177)</f>
        <v/>
      </c>
      <c r="M42" s="16" t="str">
        <f>IF('MASTER DATA'!M177="","",'MASTER DATA'!M177)</f>
        <v>N</v>
      </c>
      <c r="N42" s="15" t="str">
        <f>IF('MASTER DATA'!N177="","",'MASTER DATA'!N177)</f>
        <v/>
      </c>
      <c r="O42" s="16" t="str">
        <f>IF('MASTER DATA'!O177="","",'MASTER DATA'!O177)</f>
        <v/>
      </c>
      <c r="P42" s="16" t="str">
        <f>IF('MASTER DATA'!P177="","",'MASTER DATA'!P177)</f>
        <v>Y</v>
      </c>
      <c r="Q42" s="16" t="str">
        <f>IF('MASTER DATA'!Q177="","",'MASTER DATA'!Q177)</f>
        <v>Specialist Consultation Requested; Non-Renewed Account; Surgery Requested</v>
      </c>
      <c r="R42" s="16" t="str">
        <f>IF('MASTER DATA'!R177="","",'MASTER DATA'!R177)</f>
        <v>MSA Eligible in Next 3 Years; MMI Date Reported</v>
      </c>
      <c r="S42" s="16" t="str">
        <f>IF('MASTER DATA'!S177="","",'MASTER DATA'!S177)</f>
        <v>N</v>
      </c>
      <c r="T42" s="15" t="str">
        <f>IF('MASTER DATA'!T177="","",'MASTER DATA'!T177)</f>
        <v/>
      </c>
      <c r="U42" s="16" t="str">
        <f>IF('MASTER DATA'!U177="","",'MASTER DATA'!U177)</f>
        <v>Y</v>
      </c>
      <c r="V42" s="16" t="str">
        <f>IF('MASTER DATA'!V177="","",'MASTER DATA'!V177)</f>
        <v>Y</v>
      </c>
      <c r="W42" s="16" t="str">
        <f>IF('MASTER DATA'!W177="","",'MASTER DATA'!W177)</f>
        <v>N</v>
      </c>
      <c r="X42" s="16" t="str">
        <f>IF('MASTER DATA'!X177="","",'MASTER DATA'!X177)</f>
        <v>Y</v>
      </c>
      <c r="Y42" s="16" t="str">
        <f>IF('MASTER DATA'!Y177="","",'MASTER DATA'!Y177)</f>
        <v>Y</v>
      </c>
      <c r="Z42" s="16" t="str">
        <f>IF('MASTER DATA'!Z177="","",'MASTER DATA'!Z177)</f>
        <v>Y</v>
      </c>
      <c r="AA42" s="16">
        <f>IF('MASTER DATA'!AA177="","",'MASTER DATA'!AA177)</f>
        <v>1</v>
      </c>
      <c r="AB42" s="16" t="str">
        <f>IF('MASTER DATA'!AB177="","",'MASTER DATA'!AB177)</f>
        <v>SINGLE-SIGNAL</v>
      </c>
      <c r="AC42" s="16" t="str">
        <f>IF('MASTER DATA'!AC177="","",'MASTER DATA'!AC177)</f>
        <v>Automated Claim Alert</v>
      </c>
    </row>
  </sheetData>
  <conditionalFormatting sqref="A2:AC42">
    <cfRule type="expression" dxfId="10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5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65.46484375" bestFit="1" customWidth="1"/>
    <col min="18" max="18" width="42.0664062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57.132812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DATA'!A19="","",'MASTER DATA'!A19)</f>
        <v>SYN-CLM-0018</v>
      </c>
      <c r="B2" t="str">
        <f>IF('MASTER DATA'!B19="","",'MASTER DATA'!B19)</f>
        <v>Synthetic Claimant 0018</v>
      </c>
      <c r="C2" t="str">
        <f>IF('MASTER DATA'!C19="","",'MASTER DATA'!C19)</f>
        <v>Claims Analyst C</v>
      </c>
      <c r="D2" t="str">
        <f>IF('MASTER DATA'!D19="","",'MASTER DATA'!D19)</f>
        <v>Synthetic Policyholder 157, LLC</v>
      </c>
      <c r="E2" s="15">
        <f>IF('MASTER DATA'!E19="","",'MASTER DATA'!E19)</f>
        <v>45454</v>
      </c>
      <c r="F2" s="16" t="str">
        <f>IF('MASTER DATA'!F19="","",'MASTER DATA'!F19)</f>
        <v>N</v>
      </c>
      <c r="G2" s="17" t="str">
        <f>IF('MASTER DATA'!G19="","",'MASTER DATA'!G19)</f>
        <v/>
      </c>
      <c r="H2" s="16" t="str">
        <f>IF('MASTER DATA'!H19="","",'MASTER DATA'!H19)</f>
        <v/>
      </c>
      <c r="I2" s="15" t="str">
        <f>IF('MASTER DATA'!I19="","",'MASTER DATA'!I19)</f>
        <v/>
      </c>
      <c r="J2" s="16" t="str">
        <f>IF('MASTER DATA'!J19="","",'MASTER DATA'!J19)</f>
        <v>Y</v>
      </c>
      <c r="K2" s="15">
        <f>IF('MASTER DATA'!K19="","",'MASTER DATA'!K19)</f>
        <v>46206</v>
      </c>
      <c r="L2" s="16" t="str">
        <f>IF('MASTER DATA'!L19="","",'MASTER DATA'!L19)</f>
        <v>Y</v>
      </c>
      <c r="M2" s="16" t="str">
        <f>IF('MASTER DATA'!M19="","",'MASTER DATA'!M19)</f>
        <v>N</v>
      </c>
      <c r="N2" s="15" t="str">
        <f>IF('MASTER DATA'!N19="","",'MASTER DATA'!N19)</f>
        <v/>
      </c>
      <c r="O2" s="16" t="str">
        <f>IF('MASTER DATA'!O19="","",'MASTER DATA'!O19)</f>
        <v/>
      </c>
      <c r="P2" s="16" t="str">
        <f>IF('MASTER DATA'!P19="","",'MASTER DATA'!P19)</f>
        <v>Y</v>
      </c>
      <c r="Q2" s="16" t="str">
        <f>IF('MASTER DATA'!Q19="","",'MASTER DATA'!Q19)</f>
        <v>Surgery Requested; MSA Eligible in Next 3 Years; MMI Date Reported</v>
      </c>
      <c r="R2" s="16" t="str">
        <f>IF('MASTER DATA'!R19="","",'MASTER DATA'!R19)</f>
        <v>Specialist Consultation Requested</v>
      </c>
      <c r="S2" s="16" t="str">
        <f>IF('MASTER DATA'!S19="","",'MASTER DATA'!S19)</f>
        <v>N</v>
      </c>
      <c r="T2" s="15" t="str">
        <f>IF('MASTER DATA'!T19="","",'MASTER DATA'!T19)</f>
        <v/>
      </c>
      <c r="U2" s="16" t="str">
        <f>IF('MASTER DATA'!U19="","",'MASTER DATA'!U19)</f>
        <v>Y</v>
      </c>
      <c r="V2" s="16" t="str">
        <f>IF('MASTER DATA'!V19="","",'MASTER DATA'!V19)</f>
        <v>Y</v>
      </c>
      <c r="W2" s="16" t="str">
        <f>IF('MASTER DATA'!W19="","",'MASTER DATA'!W19)</f>
        <v>N</v>
      </c>
      <c r="X2" s="16" t="str">
        <f>IF('MASTER DATA'!X19="","",'MASTER DATA'!X19)</f>
        <v>Y</v>
      </c>
      <c r="Y2" s="16" t="str">
        <f>IF('MASTER DATA'!Y19="","",'MASTER DATA'!Y19)</f>
        <v>N</v>
      </c>
      <c r="Z2" s="16" t="str">
        <f>IF('MASTER DATA'!Z19="","",'MASTER DATA'!Z19)</f>
        <v>Y</v>
      </c>
      <c r="AA2" s="16">
        <f>IF('MASTER DATA'!AA19="","",'MASTER DATA'!AA19)</f>
        <v>2</v>
      </c>
      <c r="AB2" s="16" t="str">
        <f>IF('MASTER DATA'!AB19="","",'MASTER DATA'!AB19)</f>
        <v>MULTI-SIGNAL</v>
      </c>
      <c r="AC2" s="16" t="str">
        <f>IF('MASTER DATA'!AC19="","",'MASTER DATA'!AC19)</f>
        <v>Open Stipulation | Automated Claim Alert</v>
      </c>
    </row>
    <row r="3" spans="1:29" x14ac:dyDescent="0.45">
      <c r="A3" t="str">
        <f>IF('MASTER DATA'!A20="","",'MASTER DATA'!A20)</f>
        <v>SYN-CLM-0019</v>
      </c>
      <c r="B3" t="str">
        <f>IF('MASTER DATA'!B20="","",'MASTER DATA'!B20)</f>
        <v>Synthetic Claimant 0019</v>
      </c>
      <c r="C3" t="str">
        <f>IF('MASTER DATA'!C20="","",'MASTER DATA'!C20)</f>
        <v>Claims Analyst C</v>
      </c>
      <c r="D3" t="str">
        <f>IF('MASTER DATA'!D20="","",'MASTER DATA'!D20)</f>
        <v>Synthetic Policyholder 004, LLC</v>
      </c>
      <c r="E3" s="15">
        <f>IF('MASTER DATA'!E20="","",'MASTER DATA'!E20)</f>
        <v>44294</v>
      </c>
      <c r="F3" s="16" t="str">
        <f>IF('MASTER DATA'!F20="","",'MASTER DATA'!F20)</f>
        <v>N</v>
      </c>
      <c r="G3" s="17" t="str">
        <f>IF('MASTER DATA'!G20="","",'MASTER DATA'!G20)</f>
        <v/>
      </c>
      <c r="H3" s="16" t="str">
        <f>IF('MASTER DATA'!H20="","",'MASTER DATA'!H20)</f>
        <v/>
      </c>
      <c r="I3" s="15" t="str">
        <f>IF('MASTER DATA'!I20="","",'MASTER DATA'!I20)</f>
        <v/>
      </c>
      <c r="J3" s="16" t="str">
        <f>IF('MASTER DATA'!J20="","",'MASTER DATA'!J20)</f>
        <v>Y</v>
      </c>
      <c r="K3" s="15">
        <f>IF('MASTER DATA'!K20="","",'MASTER DATA'!K20)</f>
        <v>44425</v>
      </c>
      <c r="L3" s="16" t="str">
        <f>IF('MASTER DATA'!L20="","",'MASTER DATA'!L20)</f>
        <v>N</v>
      </c>
      <c r="M3" s="16" t="str">
        <f>IF('MASTER DATA'!M20="","",'MASTER DATA'!M20)</f>
        <v>N</v>
      </c>
      <c r="N3" s="15" t="str">
        <f>IF('MASTER DATA'!N20="","",'MASTER DATA'!N20)</f>
        <v/>
      </c>
      <c r="O3" s="16" t="str">
        <f>IF('MASTER DATA'!O20="","",'MASTER DATA'!O20)</f>
        <v/>
      </c>
      <c r="P3" s="16" t="str">
        <f>IF('MASTER DATA'!P20="","",'MASTER DATA'!P20)</f>
        <v>N</v>
      </c>
      <c r="Q3" s="16" t="str">
        <f>IF('MASTER DATA'!Q20="","",'MASTER DATA'!Q20)</f>
        <v/>
      </c>
      <c r="R3" s="16" t="str">
        <f>IF('MASTER DATA'!R20="","",'MASTER DATA'!R20)</f>
        <v/>
      </c>
      <c r="S3" s="16" t="str">
        <f>IF('MASTER DATA'!S20="","",'MASTER DATA'!S20)</f>
        <v>Y</v>
      </c>
      <c r="T3" s="15">
        <f>IF('MASTER DATA'!T20="","",'MASTER DATA'!T20)</f>
        <v>44951</v>
      </c>
      <c r="U3" s="16" t="str">
        <f>IF('MASTER DATA'!U20="","",'MASTER DATA'!U20)</f>
        <v>N</v>
      </c>
      <c r="V3" s="16" t="str">
        <f>IF('MASTER DATA'!V20="","",'MASTER DATA'!V20)</f>
        <v>N</v>
      </c>
      <c r="W3" s="16" t="str">
        <f>IF('MASTER DATA'!W20="","",'MASTER DATA'!W20)</f>
        <v>N</v>
      </c>
      <c r="X3" s="16" t="str">
        <f>IF('MASTER DATA'!X20="","",'MASTER DATA'!X20)</f>
        <v>N</v>
      </c>
      <c r="Y3" s="16" t="str">
        <f>IF('MASTER DATA'!Y20="","",'MASTER DATA'!Y20)</f>
        <v>N</v>
      </c>
      <c r="Z3" s="16" t="str">
        <f>IF('MASTER DATA'!Z20="","",'MASTER DATA'!Z20)</f>
        <v>N</v>
      </c>
      <c r="AA3" s="16">
        <f>IF('MASTER DATA'!AA20="","",'MASTER DATA'!AA20)</f>
        <v>2</v>
      </c>
      <c r="AB3" s="16" t="str">
        <f>IF('MASTER DATA'!AB20="","",'MASTER DATA'!AB20)</f>
        <v>MULTI-SIGNAL</v>
      </c>
      <c r="AC3" s="16" t="str">
        <f>IF('MASTER DATA'!AC20="","",'MASTER DATA'!AC20)</f>
        <v>Open Stipulation | Inactive Customer</v>
      </c>
    </row>
    <row r="4" spans="1:29" x14ac:dyDescent="0.45">
      <c r="A4" t="str">
        <f>IF('MASTER DATA'!A21="","",'MASTER DATA'!A21)</f>
        <v>SYN-CLM-0020</v>
      </c>
      <c r="B4" t="str">
        <f>IF('MASTER DATA'!B21="","",'MASTER DATA'!B21)</f>
        <v>Synthetic Claimant 0020</v>
      </c>
      <c r="C4" t="str">
        <f>IF('MASTER DATA'!C21="","",'MASTER DATA'!C21)</f>
        <v>Claims Analyst C</v>
      </c>
      <c r="D4" t="str">
        <f>IF('MASTER DATA'!D21="","",'MASTER DATA'!D21)</f>
        <v>Synthetic Policyholder 115, LLC</v>
      </c>
      <c r="E4" s="15">
        <f>IF('MASTER DATA'!E21="","",'MASTER DATA'!E21)</f>
        <v>43797</v>
      </c>
      <c r="F4" s="16" t="str">
        <f>IF('MASTER DATA'!F21="","",'MASTER DATA'!F21)</f>
        <v>N</v>
      </c>
      <c r="G4" s="17" t="str">
        <f>IF('MASTER DATA'!G21="","",'MASTER DATA'!G21)</f>
        <v/>
      </c>
      <c r="H4" s="16" t="str">
        <f>IF('MASTER DATA'!H21="","",'MASTER DATA'!H21)</f>
        <v/>
      </c>
      <c r="I4" s="15" t="str">
        <f>IF('MASTER DATA'!I21="","",'MASTER DATA'!I21)</f>
        <v/>
      </c>
      <c r="J4" s="16" t="str">
        <f>IF('MASTER DATA'!J21="","",'MASTER DATA'!J21)</f>
        <v>Y</v>
      </c>
      <c r="K4" s="15">
        <f>IF('MASTER DATA'!K21="","",'MASTER DATA'!K21)</f>
        <v>44459</v>
      </c>
      <c r="L4" s="16" t="str">
        <f>IF('MASTER DATA'!L21="","",'MASTER DATA'!L21)</f>
        <v>N</v>
      </c>
      <c r="M4" s="16" t="str">
        <f>IF('MASTER DATA'!M21="","",'MASTER DATA'!M21)</f>
        <v>Y</v>
      </c>
      <c r="N4" s="15">
        <f>IF('MASTER DATA'!N21="","",'MASTER DATA'!N21)</f>
        <v>44906</v>
      </c>
      <c r="O4" s="16" t="str">
        <f>IF('MASTER DATA'!O21="","",'MASTER DATA'!O21)</f>
        <v>Synthetic QME Evaluator 25</v>
      </c>
      <c r="P4" s="16" t="str">
        <f>IF('MASTER DATA'!P21="","",'MASTER DATA'!P21)</f>
        <v>N</v>
      </c>
      <c r="Q4" s="16" t="str">
        <f>IF('MASTER DATA'!Q21="","",'MASTER DATA'!Q21)</f>
        <v/>
      </c>
      <c r="R4" s="16" t="str">
        <f>IF('MASTER DATA'!R21="","",'MASTER DATA'!R21)</f>
        <v/>
      </c>
      <c r="S4" s="16" t="str">
        <f>IF('MASTER DATA'!S21="","",'MASTER DATA'!S21)</f>
        <v>Y</v>
      </c>
      <c r="T4" s="15">
        <f>IF('MASTER DATA'!T21="","",'MASTER DATA'!T21)</f>
        <v>44464</v>
      </c>
      <c r="U4" s="16" t="str">
        <f>IF('MASTER DATA'!U21="","",'MASTER DATA'!U21)</f>
        <v>N</v>
      </c>
      <c r="V4" s="16" t="str">
        <f>IF('MASTER DATA'!V21="","",'MASTER DATA'!V21)</f>
        <v>N</v>
      </c>
      <c r="W4" s="16" t="str">
        <f>IF('MASTER DATA'!W21="","",'MASTER DATA'!W21)</f>
        <v>N</v>
      </c>
      <c r="X4" s="16" t="str">
        <f>IF('MASTER DATA'!X21="","",'MASTER DATA'!X21)</f>
        <v>N</v>
      </c>
      <c r="Y4" s="16" t="str">
        <f>IF('MASTER DATA'!Y21="","",'MASTER DATA'!Y21)</f>
        <v>N</v>
      </c>
      <c r="Z4" s="16" t="str">
        <f>IF('MASTER DATA'!Z21="","",'MASTER DATA'!Z21)</f>
        <v>N</v>
      </c>
      <c r="AA4" s="16">
        <f>IF('MASTER DATA'!AA21="","",'MASTER DATA'!AA21)</f>
        <v>3</v>
      </c>
      <c r="AB4" s="16" t="str">
        <f>IF('MASTER DATA'!AB21="","",'MASTER DATA'!AB21)</f>
        <v>ELEVATED MULTI-SIGNAL</v>
      </c>
      <c r="AC4" s="16" t="str">
        <f>IF('MASTER DATA'!AC21="","",'MASTER DATA'!AC21)</f>
        <v>Open Stipulation | Pending QME | Inactive Customer</v>
      </c>
    </row>
    <row r="5" spans="1:29" x14ac:dyDescent="0.45">
      <c r="A5" t="str">
        <f>IF('MASTER DATA'!A22="","",'MASTER DATA'!A22)</f>
        <v>SYN-CLM-0021</v>
      </c>
      <c r="B5" t="str">
        <f>IF('MASTER DATA'!B22="","",'MASTER DATA'!B22)</f>
        <v>Synthetic Claimant 0021</v>
      </c>
      <c r="C5" t="str">
        <f>IF('MASTER DATA'!C22="","",'MASTER DATA'!C22)</f>
        <v>Claims Analyst C</v>
      </c>
      <c r="D5" t="str">
        <f>IF('MASTER DATA'!D22="","",'MASTER DATA'!D22)</f>
        <v>Synthetic Policyholder 090, LLC</v>
      </c>
      <c r="E5" s="15">
        <f>IF('MASTER DATA'!E22="","",'MASTER DATA'!E22)</f>
        <v>43386</v>
      </c>
      <c r="F5" s="16" t="str">
        <f>IF('MASTER DATA'!F22="","",'MASTER DATA'!F22)</f>
        <v>Y</v>
      </c>
      <c r="G5" s="17">
        <f>IF('MASTER DATA'!G22="","",'MASTER DATA'!G22)</f>
        <v>133500</v>
      </c>
      <c r="H5" s="16" t="str">
        <f>IF('MASTER DATA'!H22="","",'MASTER DATA'!H22)</f>
        <v>Synthetic Approver 12</v>
      </c>
      <c r="I5" s="15">
        <f>IF('MASTER DATA'!I22="","",'MASTER DATA'!I22)</f>
        <v>43683</v>
      </c>
      <c r="J5" s="16" t="str">
        <f>IF('MASTER DATA'!J22="","",'MASTER DATA'!J22)</f>
        <v>N</v>
      </c>
      <c r="K5" s="15" t="str">
        <f>IF('MASTER DATA'!K22="","",'MASTER DATA'!K22)</f>
        <v/>
      </c>
      <c r="L5" s="16" t="str">
        <f>IF('MASTER DATA'!L22="","",'MASTER DATA'!L22)</f>
        <v>Y</v>
      </c>
      <c r="M5" s="16" t="str">
        <f>IF('MASTER DATA'!M22="","",'MASTER DATA'!M22)</f>
        <v>N</v>
      </c>
      <c r="N5" s="15" t="str">
        <f>IF('MASTER DATA'!N22="","",'MASTER DATA'!N22)</f>
        <v/>
      </c>
      <c r="O5" s="16" t="str">
        <f>IF('MASTER DATA'!O22="","",'MASTER DATA'!O22)</f>
        <v/>
      </c>
      <c r="P5" s="16" t="str">
        <f>IF('MASTER DATA'!P22="","",'MASTER DATA'!P22)</f>
        <v>N</v>
      </c>
      <c r="Q5" s="16" t="str">
        <f>IF('MASTER DATA'!Q22="","",'MASTER DATA'!Q22)</f>
        <v/>
      </c>
      <c r="R5" s="16" t="str">
        <f>IF('MASTER DATA'!R22="","",'MASTER DATA'!R22)</f>
        <v/>
      </c>
      <c r="S5" s="16" t="str">
        <f>IF('MASTER DATA'!S22="","",'MASTER DATA'!S22)</f>
        <v>N</v>
      </c>
      <c r="T5" s="15" t="str">
        <f>IF('MASTER DATA'!T22="","",'MASTER DATA'!T22)</f>
        <v/>
      </c>
      <c r="U5" s="16" t="str">
        <f>IF('MASTER DATA'!U22="","",'MASTER DATA'!U22)</f>
        <v>N</v>
      </c>
      <c r="V5" s="16" t="str">
        <f>IF('MASTER DATA'!V22="","",'MASTER DATA'!V22)</f>
        <v>N</v>
      </c>
      <c r="W5" s="16" t="str">
        <f>IF('MASTER DATA'!W22="","",'MASTER DATA'!W22)</f>
        <v>N</v>
      </c>
      <c r="X5" s="16" t="str">
        <f>IF('MASTER DATA'!X22="","",'MASTER DATA'!X22)</f>
        <v>N</v>
      </c>
      <c r="Y5" s="16" t="str">
        <f>IF('MASTER DATA'!Y22="","",'MASTER DATA'!Y22)</f>
        <v>N</v>
      </c>
      <c r="Z5" s="16" t="str">
        <f>IF('MASTER DATA'!Z22="","",'MASTER DATA'!Z22)</f>
        <v>N</v>
      </c>
      <c r="AA5" s="16">
        <f>IF('MASTER DATA'!AA22="","",'MASTER DATA'!AA22)</f>
        <v>1</v>
      </c>
      <c r="AB5" s="16" t="str">
        <f>IF('MASTER DATA'!AB22="","",'MASTER DATA'!AB22)</f>
        <v>SINGLE-SIGNAL</v>
      </c>
      <c r="AC5" s="16" t="str">
        <f>IF('MASTER DATA'!AC22="","",'MASTER DATA'!AC22)</f>
        <v>Settlement Authorization</v>
      </c>
    </row>
    <row r="6" spans="1:29" x14ac:dyDescent="0.45">
      <c r="A6" t="str">
        <f>IF('MASTER DATA'!A23="","",'MASTER DATA'!A23)</f>
        <v>SYN-CLM-0022</v>
      </c>
      <c r="B6" t="str">
        <f>IF('MASTER DATA'!B23="","",'MASTER DATA'!B23)</f>
        <v>Synthetic Claimant 0022</v>
      </c>
      <c r="C6" t="str">
        <f>IF('MASTER DATA'!C23="","",'MASTER DATA'!C23)</f>
        <v>Claims Analyst C</v>
      </c>
      <c r="D6" t="str">
        <f>IF('MASTER DATA'!D23="","",'MASTER DATA'!D23)</f>
        <v>Synthetic Policyholder 073, LLC</v>
      </c>
      <c r="E6" s="15">
        <f>IF('MASTER DATA'!E23="","",'MASTER DATA'!E23)</f>
        <v>43350</v>
      </c>
      <c r="F6" s="16" t="str">
        <f>IF('MASTER DATA'!F23="","",'MASTER DATA'!F23)</f>
        <v>N</v>
      </c>
      <c r="G6" s="17" t="str">
        <f>IF('MASTER DATA'!G23="","",'MASTER DATA'!G23)</f>
        <v/>
      </c>
      <c r="H6" s="16" t="str">
        <f>IF('MASTER DATA'!H23="","",'MASTER DATA'!H23)</f>
        <v/>
      </c>
      <c r="I6" s="15" t="str">
        <f>IF('MASTER DATA'!I23="","",'MASTER DATA'!I23)</f>
        <v/>
      </c>
      <c r="J6" s="16" t="str">
        <f>IF('MASTER DATA'!J23="","",'MASTER DATA'!J23)</f>
        <v>Y</v>
      </c>
      <c r="K6" s="15">
        <f>IF('MASTER DATA'!K23="","",'MASTER DATA'!K23)</f>
        <v>44321</v>
      </c>
      <c r="L6" s="16" t="str">
        <f>IF('MASTER DATA'!L23="","",'MASTER DATA'!L23)</f>
        <v>N</v>
      </c>
      <c r="M6" s="16" t="str">
        <f>IF('MASTER DATA'!M23="","",'MASTER DATA'!M23)</f>
        <v>N</v>
      </c>
      <c r="N6" s="15" t="str">
        <f>IF('MASTER DATA'!N23="","",'MASTER DATA'!N23)</f>
        <v/>
      </c>
      <c r="O6" s="16" t="str">
        <f>IF('MASTER DATA'!O23="","",'MASTER DATA'!O23)</f>
        <v/>
      </c>
      <c r="P6" s="16" t="str">
        <f>IF('MASTER DATA'!P23="","",'MASTER DATA'!P23)</f>
        <v>N</v>
      </c>
      <c r="Q6" s="16" t="str">
        <f>IF('MASTER DATA'!Q23="","",'MASTER DATA'!Q23)</f>
        <v/>
      </c>
      <c r="R6" s="16" t="str">
        <f>IF('MASTER DATA'!R23="","",'MASTER DATA'!R23)</f>
        <v/>
      </c>
      <c r="S6" s="16" t="str">
        <f>IF('MASTER DATA'!S23="","",'MASTER DATA'!S23)</f>
        <v>N</v>
      </c>
      <c r="T6" s="15" t="str">
        <f>IF('MASTER DATA'!T23="","",'MASTER DATA'!T23)</f>
        <v/>
      </c>
      <c r="U6" s="16" t="str">
        <f>IF('MASTER DATA'!U23="","",'MASTER DATA'!U23)</f>
        <v>N</v>
      </c>
      <c r="V6" s="16" t="str">
        <f>IF('MASTER DATA'!V23="","",'MASTER DATA'!V23)</f>
        <v>N</v>
      </c>
      <c r="W6" s="16" t="str">
        <f>IF('MASTER DATA'!W23="","",'MASTER DATA'!W23)</f>
        <v>N</v>
      </c>
      <c r="X6" s="16" t="str">
        <f>IF('MASTER DATA'!X23="","",'MASTER DATA'!X23)</f>
        <v>N</v>
      </c>
      <c r="Y6" s="16" t="str">
        <f>IF('MASTER DATA'!Y23="","",'MASTER DATA'!Y23)</f>
        <v>N</v>
      </c>
      <c r="Z6" s="16" t="str">
        <f>IF('MASTER DATA'!Z23="","",'MASTER DATA'!Z23)</f>
        <v>N</v>
      </c>
      <c r="AA6" s="16">
        <f>IF('MASTER DATA'!AA23="","",'MASTER DATA'!AA23)</f>
        <v>1</v>
      </c>
      <c r="AB6" s="16" t="str">
        <f>IF('MASTER DATA'!AB23="","",'MASTER DATA'!AB23)</f>
        <v>SINGLE-SIGNAL</v>
      </c>
      <c r="AC6" s="16" t="str">
        <f>IF('MASTER DATA'!AC23="","",'MASTER DATA'!AC23)</f>
        <v>Open Stipulation</v>
      </c>
    </row>
    <row r="7" spans="1:29" x14ac:dyDescent="0.45">
      <c r="A7" t="str">
        <f>IF('MASTER DATA'!A24="","",'MASTER DATA'!A24)</f>
        <v>SYN-CLM-0023</v>
      </c>
      <c r="B7" t="str">
        <f>IF('MASTER DATA'!B24="","",'MASTER DATA'!B24)</f>
        <v>Synthetic Claimant 0023</v>
      </c>
      <c r="C7" t="str">
        <f>IF('MASTER DATA'!C24="","",'MASTER DATA'!C24)</f>
        <v>Claims Analyst C</v>
      </c>
      <c r="D7" t="str">
        <f>IF('MASTER DATA'!D24="","",'MASTER DATA'!D24)</f>
        <v>Synthetic Policyholder 040, LLC</v>
      </c>
      <c r="E7" s="15">
        <f>IF('MASTER DATA'!E24="","",'MASTER DATA'!E24)</f>
        <v>43869</v>
      </c>
      <c r="F7" s="16" t="str">
        <f>IF('MASTER DATA'!F24="","",'MASTER DATA'!F24)</f>
        <v>N</v>
      </c>
      <c r="G7" s="17" t="str">
        <f>IF('MASTER DATA'!G24="","",'MASTER DATA'!G24)</f>
        <v/>
      </c>
      <c r="H7" s="16" t="str">
        <f>IF('MASTER DATA'!H24="","",'MASTER DATA'!H24)</f>
        <v/>
      </c>
      <c r="I7" s="15" t="str">
        <f>IF('MASTER DATA'!I24="","",'MASTER DATA'!I24)</f>
        <v/>
      </c>
      <c r="J7" s="16" t="str">
        <f>IF('MASTER DATA'!J24="","",'MASTER DATA'!J24)</f>
        <v>N</v>
      </c>
      <c r="K7" s="15" t="str">
        <f>IF('MASTER DATA'!K24="","",'MASTER DATA'!K24)</f>
        <v/>
      </c>
      <c r="L7" s="16" t="str">
        <f>IF('MASTER DATA'!L24="","",'MASTER DATA'!L24)</f>
        <v/>
      </c>
      <c r="M7" s="16" t="str">
        <f>IF('MASTER DATA'!M24="","",'MASTER DATA'!M24)</f>
        <v>Y</v>
      </c>
      <c r="N7" s="15">
        <f>IF('MASTER DATA'!N24="","",'MASTER DATA'!N24)</f>
        <v>45391</v>
      </c>
      <c r="O7" s="16" t="str">
        <f>IF('MASTER DATA'!O24="","",'MASTER DATA'!O24)</f>
        <v>Synthetic QME Evaluator 20</v>
      </c>
      <c r="P7" s="16" t="str">
        <f>IF('MASTER DATA'!P24="","",'MASTER DATA'!P24)</f>
        <v>N</v>
      </c>
      <c r="Q7" s="16" t="str">
        <f>IF('MASTER DATA'!Q24="","",'MASTER DATA'!Q24)</f>
        <v/>
      </c>
      <c r="R7" s="16" t="str">
        <f>IF('MASTER DATA'!R24="","",'MASTER DATA'!R24)</f>
        <v/>
      </c>
      <c r="S7" s="16" t="str">
        <f>IF('MASTER DATA'!S24="","",'MASTER DATA'!S24)</f>
        <v>N</v>
      </c>
      <c r="T7" s="15" t="str">
        <f>IF('MASTER DATA'!T24="","",'MASTER DATA'!T24)</f>
        <v/>
      </c>
      <c r="U7" s="16" t="str">
        <f>IF('MASTER DATA'!U24="","",'MASTER DATA'!U24)</f>
        <v>N</v>
      </c>
      <c r="V7" s="16" t="str">
        <f>IF('MASTER DATA'!V24="","",'MASTER DATA'!V24)</f>
        <v>N</v>
      </c>
      <c r="W7" s="16" t="str">
        <f>IF('MASTER DATA'!W24="","",'MASTER DATA'!W24)</f>
        <v>N</v>
      </c>
      <c r="X7" s="16" t="str">
        <f>IF('MASTER DATA'!X24="","",'MASTER DATA'!X24)</f>
        <v>N</v>
      </c>
      <c r="Y7" s="16" t="str">
        <f>IF('MASTER DATA'!Y24="","",'MASTER DATA'!Y24)</f>
        <v>N</v>
      </c>
      <c r="Z7" s="16" t="str">
        <f>IF('MASTER DATA'!Z24="","",'MASTER DATA'!Z24)</f>
        <v>N</v>
      </c>
      <c r="AA7" s="16">
        <f>IF('MASTER DATA'!AA24="","",'MASTER DATA'!AA24)</f>
        <v>1</v>
      </c>
      <c r="AB7" s="16" t="str">
        <f>IF('MASTER DATA'!AB24="","",'MASTER DATA'!AB24)</f>
        <v>SINGLE-SIGNAL</v>
      </c>
      <c r="AC7" s="16" t="str">
        <f>IF('MASTER DATA'!AC24="","",'MASTER DATA'!AC24)</f>
        <v>Pending QME</v>
      </c>
    </row>
    <row r="8" spans="1:29" x14ac:dyDescent="0.45">
      <c r="A8" t="str">
        <f>IF('MASTER DATA'!A25="","",'MASTER DATA'!A25)</f>
        <v>SYN-CLM-0024</v>
      </c>
      <c r="B8" t="str">
        <f>IF('MASTER DATA'!B25="","",'MASTER DATA'!B25)</f>
        <v>Synthetic Claimant 0024</v>
      </c>
      <c r="C8" t="str">
        <f>IF('MASTER DATA'!C25="","",'MASTER DATA'!C25)</f>
        <v>Claims Analyst C</v>
      </c>
      <c r="D8" t="str">
        <f>IF('MASTER DATA'!D25="","",'MASTER DATA'!D25)</f>
        <v>Synthetic Policyholder 155, LLC</v>
      </c>
      <c r="E8" s="15">
        <f>IF('MASTER DATA'!E25="","",'MASTER DATA'!E25)</f>
        <v>43616</v>
      </c>
      <c r="F8" s="16" t="str">
        <f>IF('MASTER DATA'!F25="","",'MASTER DATA'!F25)</f>
        <v>N</v>
      </c>
      <c r="G8" s="17" t="str">
        <f>IF('MASTER DATA'!G25="","",'MASTER DATA'!G25)</f>
        <v/>
      </c>
      <c r="H8" s="16" t="str">
        <f>IF('MASTER DATA'!H25="","",'MASTER DATA'!H25)</f>
        <v/>
      </c>
      <c r="I8" s="15" t="str">
        <f>IF('MASTER DATA'!I25="","",'MASTER DATA'!I25)</f>
        <v/>
      </c>
      <c r="J8" s="16" t="str">
        <f>IF('MASTER DATA'!J25="","",'MASTER DATA'!J25)</f>
        <v>N</v>
      </c>
      <c r="K8" s="15" t="str">
        <f>IF('MASTER DATA'!K25="","",'MASTER DATA'!K25)</f>
        <v/>
      </c>
      <c r="L8" s="16" t="str">
        <f>IF('MASTER DATA'!L25="","",'MASTER DATA'!L25)</f>
        <v/>
      </c>
      <c r="M8" s="16" t="str">
        <f>IF('MASTER DATA'!M25="","",'MASTER DATA'!M25)</f>
        <v>N</v>
      </c>
      <c r="N8" s="15" t="str">
        <f>IF('MASTER DATA'!N25="","",'MASTER DATA'!N25)</f>
        <v/>
      </c>
      <c r="O8" s="16" t="str">
        <f>IF('MASTER DATA'!O25="","",'MASTER DATA'!O25)</f>
        <v/>
      </c>
      <c r="P8" s="16" t="str">
        <f>IF('MASTER DATA'!P25="","",'MASTER DATA'!P25)</f>
        <v>Y</v>
      </c>
      <c r="Q8" s="16" t="str">
        <f>IF('MASTER DATA'!Q25="","",'MASTER DATA'!Q25)</f>
        <v>Non-Renewed Account; MSA Eligible in Next 3 Years; Denied Treatment Requests</v>
      </c>
      <c r="R8" s="16" t="str">
        <f>IF('MASTER DATA'!R25="","",'MASTER DATA'!R25)</f>
        <v/>
      </c>
      <c r="S8" s="16" t="str">
        <f>IF('MASTER DATA'!S25="","",'MASTER DATA'!S25)</f>
        <v>N</v>
      </c>
      <c r="T8" s="15" t="str">
        <f>IF('MASTER DATA'!T25="","",'MASTER DATA'!T25)</f>
        <v/>
      </c>
      <c r="U8" s="16" t="str">
        <f>IF('MASTER DATA'!U25="","",'MASTER DATA'!U25)</f>
        <v>N</v>
      </c>
      <c r="V8" s="16" t="str">
        <f>IF('MASTER DATA'!V25="","",'MASTER DATA'!V25)</f>
        <v>N</v>
      </c>
      <c r="W8" s="16" t="str">
        <f>IF('MASTER DATA'!W25="","",'MASTER DATA'!W25)</f>
        <v>Y</v>
      </c>
      <c r="X8" s="16" t="str">
        <f>IF('MASTER DATA'!X25="","",'MASTER DATA'!X25)</f>
        <v>N</v>
      </c>
      <c r="Y8" s="16" t="str">
        <f>IF('MASTER DATA'!Y25="","",'MASTER DATA'!Y25)</f>
        <v>Y</v>
      </c>
      <c r="Z8" s="16" t="str">
        <f>IF('MASTER DATA'!Z25="","",'MASTER DATA'!Z25)</f>
        <v>Y</v>
      </c>
      <c r="AA8" s="16">
        <f>IF('MASTER DATA'!AA25="","",'MASTER DATA'!AA25)</f>
        <v>1</v>
      </c>
      <c r="AB8" s="16" t="str">
        <f>IF('MASTER DATA'!AB25="","",'MASTER DATA'!AB25)</f>
        <v>SINGLE-SIGNAL</v>
      </c>
      <c r="AC8" s="16" t="str">
        <f>IF('MASTER DATA'!AC25="","",'MASTER DATA'!AC25)</f>
        <v>Automated Claim Alert</v>
      </c>
    </row>
    <row r="9" spans="1:29" x14ac:dyDescent="0.45">
      <c r="A9" t="str">
        <f>IF('MASTER DATA'!A26="","",'MASTER DATA'!A26)</f>
        <v>SYN-CLM-0025</v>
      </c>
      <c r="B9" t="str">
        <f>IF('MASTER DATA'!B26="","",'MASTER DATA'!B26)</f>
        <v>Synthetic Claimant 0025</v>
      </c>
      <c r="C9" t="str">
        <f>IF('MASTER DATA'!C26="","",'MASTER DATA'!C26)</f>
        <v>Claims Analyst C</v>
      </c>
      <c r="D9" t="str">
        <f>IF('MASTER DATA'!D26="","",'MASTER DATA'!D26)</f>
        <v>Synthetic Policyholder 090, LLC</v>
      </c>
      <c r="E9" s="15">
        <f>IF('MASTER DATA'!E26="","",'MASTER DATA'!E26)</f>
        <v>45098</v>
      </c>
      <c r="F9" s="16" t="str">
        <f>IF('MASTER DATA'!F26="","",'MASTER DATA'!F26)</f>
        <v>Y</v>
      </c>
      <c r="G9" s="17">
        <f>IF('MASTER DATA'!G26="","",'MASTER DATA'!G26)</f>
        <v>141000</v>
      </c>
      <c r="H9" s="16" t="str">
        <f>IF('MASTER DATA'!H26="","",'MASTER DATA'!H26)</f>
        <v>Synthetic Approver 12</v>
      </c>
      <c r="I9" s="15">
        <f>IF('MASTER DATA'!I26="","",'MASTER DATA'!I26)</f>
        <v>45846</v>
      </c>
      <c r="J9" s="16" t="str">
        <f>IF('MASTER DATA'!J26="","",'MASTER DATA'!J26)</f>
        <v>N</v>
      </c>
      <c r="K9" s="15" t="str">
        <f>IF('MASTER DATA'!K26="","",'MASTER DATA'!K26)</f>
        <v/>
      </c>
      <c r="L9" s="16" t="str">
        <f>IF('MASTER DATA'!L26="","",'MASTER DATA'!L26)</f>
        <v>N</v>
      </c>
      <c r="M9" s="16" t="str">
        <f>IF('MASTER DATA'!M26="","",'MASTER DATA'!M26)</f>
        <v>N</v>
      </c>
      <c r="N9" s="15" t="str">
        <f>IF('MASTER DATA'!N26="","",'MASTER DATA'!N26)</f>
        <v/>
      </c>
      <c r="O9" s="16" t="str">
        <f>IF('MASTER DATA'!O26="","",'MASTER DATA'!O26)</f>
        <v/>
      </c>
      <c r="P9" s="16" t="str">
        <f>IF('MASTER DATA'!P26="","",'MASTER DATA'!P26)</f>
        <v>N</v>
      </c>
      <c r="Q9" s="16" t="str">
        <f>IF('MASTER DATA'!Q26="","",'MASTER DATA'!Q26)</f>
        <v/>
      </c>
      <c r="R9" s="16" t="str">
        <f>IF('MASTER DATA'!R26="","",'MASTER DATA'!R26)</f>
        <v/>
      </c>
      <c r="S9" s="16" t="str">
        <f>IF('MASTER DATA'!S26="","",'MASTER DATA'!S26)</f>
        <v>N</v>
      </c>
      <c r="T9" s="15" t="str">
        <f>IF('MASTER DATA'!T26="","",'MASTER DATA'!T26)</f>
        <v/>
      </c>
      <c r="U9" s="16" t="str">
        <f>IF('MASTER DATA'!U26="","",'MASTER DATA'!U26)</f>
        <v>N</v>
      </c>
      <c r="V9" s="16" t="str">
        <f>IF('MASTER DATA'!V26="","",'MASTER DATA'!V26)</f>
        <v>N</v>
      </c>
      <c r="W9" s="16" t="str">
        <f>IF('MASTER DATA'!W26="","",'MASTER DATA'!W26)</f>
        <v>N</v>
      </c>
      <c r="X9" s="16" t="str">
        <f>IF('MASTER DATA'!X26="","",'MASTER DATA'!X26)</f>
        <v>N</v>
      </c>
      <c r="Y9" s="16" t="str">
        <f>IF('MASTER DATA'!Y26="","",'MASTER DATA'!Y26)</f>
        <v>N</v>
      </c>
      <c r="Z9" s="16" t="str">
        <f>IF('MASTER DATA'!Z26="","",'MASTER DATA'!Z26)</f>
        <v>N</v>
      </c>
      <c r="AA9" s="16">
        <f>IF('MASTER DATA'!AA26="","",'MASTER DATA'!AA26)</f>
        <v>1</v>
      </c>
      <c r="AB9" s="16" t="str">
        <f>IF('MASTER DATA'!AB26="","",'MASTER DATA'!AB26)</f>
        <v>SINGLE-SIGNAL</v>
      </c>
      <c r="AC9" s="16" t="str">
        <f>IF('MASTER DATA'!AC26="","",'MASTER DATA'!AC26)</f>
        <v>Settlement Authorization</v>
      </c>
    </row>
    <row r="10" spans="1:29" x14ac:dyDescent="0.45">
      <c r="A10" t="str">
        <f>IF('MASTER DATA'!A27="","",'MASTER DATA'!A27)</f>
        <v>SYN-CLM-0026</v>
      </c>
      <c r="B10" t="str">
        <f>IF('MASTER DATA'!B27="","",'MASTER DATA'!B27)</f>
        <v>Synthetic Claimant 0026</v>
      </c>
      <c r="C10" t="str">
        <f>IF('MASTER DATA'!C27="","",'MASTER DATA'!C27)</f>
        <v>Claims Analyst C</v>
      </c>
      <c r="D10" t="str">
        <f>IF('MASTER DATA'!D27="","",'MASTER DATA'!D27)</f>
        <v>Synthetic Policyholder 042, LLC</v>
      </c>
      <c r="E10" s="15">
        <f>IF('MASTER DATA'!E27="","",'MASTER DATA'!E27)</f>
        <v>43998</v>
      </c>
      <c r="F10" s="16" t="str">
        <f>IF('MASTER DATA'!F27="","",'MASTER DATA'!F27)</f>
        <v>Y</v>
      </c>
      <c r="G10" s="17">
        <f>IF('MASTER DATA'!G27="","",'MASTER DATA'!G27)</f>
        <v>31750</v>
      </c>
      <c r="H10" s="16" t="str">
        <f>IF('MASTER DATA'!H27="","",'MASTER DATA'!H27)</f>
        <v>Synthetic Approver 12</v>
      </c>
      <c r="I10" s="15">
        <f>IF('MASTER DATA'!I27="","",'MASTER DATA'!I27)</f>
        <v>44620</v>
      </c>
      <c r="J10" s="16" t="str">
        <f>IF('MASTER DATA'!J27="","",'MASTER DATA'!J27)</f>
        <v>N</v>
      </c>
      <c r="K10" s="15" t="str">
        <f>IF('MASTER DATA'!K27="","",'MASTER DATA'!K27)</f>
        <v/>
      </c>
      <c r="L10" s="16" t="str">
        <f>IF('MASTER DATA'!L27="","",'MASTER DATA'!L27)</f>
        <v>N</v>
      </c>
      <c r="M10" s="16" t="str">
        <f>IF('MASTER DATA'!M27="","",'MASTER DATA'!M27)</f>
        <v>N</v>
      </c>
      <c r="N10" s="15" t="str">
        <f>IF('MASTER DATA'!N27="","",'MASTER DATA'!N27)</f>
        <v/>
      </c>
      <c r="O10" s="16" t="str">
        <f>IF('MASTER DATA'!O27="","",'MASTER DATA'!O27)</f>
        <v/>
      </c>
      <c r="P10" s="16" t="str">
        <f>IF('MASTER DATA'!P27="","",'MASTER DATA'!P27)</f>
        <v>Y</v>
      </c>
      <c r="Q10" s="16" t="str">
        <f>IF('MASTER DATA'!Q27="","",'MASTER DATA'!Q27)</f>
        <v>MSA Eligible in Next 3 Years</v>
      </c>
      <c r="R10" s="16" t="str">
        <f>IF('MASTER DATA'!R27="","",'MASTER DATA'!R27)</f>
        <v/>
      </c>
      <c r="S10" s="16" t="str">
        <f>IF('MASTER DATA'!S27="","",'MASTER DATA'!S27)</f>
        <v>N</v>
      </c>
      <c r="T10" s="15" t="str">
        <f>IF('MASTER DATA'!T27="","",'MASTER DATA'!T27)</f>
        <v/>
      </c>
      <c r="U10" s="16" t="str">
        <f>IF('MASTER DATA'!U27="","",'MASTER DATA'!U27)</f>
        <v>N</v>
      </c>
      <c r="V10" s="16" t="str">
        <f>IF('MASTER DATA'!V27="","",'MASTER DATA'!V27)</f>
        <v>N</v>
      </c>
      <c r="W10" s="16" t="str">
        <f>IF('MASTER DATA'!W27="","",'MASTER DATA'!W27)</f>
        <v>N</v>
      </c>
      <c r="X10" s="16" t="str">
        <f>IF('MASTER DATA'!X27="","",'MASTER DATA'!X27)</f>
        <v>N</v>
      </c>
      <c r="Y10" s="16" t="str">
        <f>IF('MASTER DATA'!Y27="","",'MASTER DATA'!Y27)</f>
        <v>N</v>
      </c>
      <c r="Z10" s="16" t="str">
        <f>IF('MASTER DATA'!Z27="","",'MASTER DATA'!Z27)</f>
        <v>Y</v>
      </c>
      <c r="AA10" s="16">
        <f>IF('MASTER DATA'!AA27="","",'MASTER DATA'!AA27)</f>
        <v>2</v>
      </c>
      <c r="AB10" s="16" t="str">
        <f>IF('MASTER DATA'!AB27="","",'MASTER DATA'!AB27)</f>
        <v>MULTI-SIGNAL</v>
      </c>
      <c r="AC10" s="16" t="str">
        <f>IF('MASTER DATA'!AC27="","",'MASTER DATA'!AC27)</f>
        <v>Settlement Authorization | Automated Claim Alert</v>
      </c>
    </row>
    <row r="11" spans="1:29" x14ac:dyDescent="0.45">
      <c r="A11" t="str">
        <f>IF('MASTER DATA'!A28="","",'MASTER DATA'!A28)</f>
        <v>SYN-CLM-0027</v>
      </c>
      <c r="B11" t="str">
        <f>IF('MASTER DATA'!B28="","",'MASTER DATA'!B28)</f>
        <v>Synthetic Claimant 0027</v>
      </c>
      <c r="C11" t="str">
        <f>IF('MASTER DATA'!C28="","",'MASTER DATA'!C28)</f>
        <v>Claims Analyst C</v>
      </c>
      <c r="D11" t="str">
        <f>IF('MASTER DATA'!D28="","",'MASTER DATA'!D28)</f>
        <v>Synthetic Policyholder 104, LLC</v>
      </c>
      <c r="E11" s="15">
        <f>IF('MASTER DATA'!E28="","",'MASTER DATA'!E28)</f>
        <v>44367</v>
      </c>
      <c r="F11" s="16" t="str">
        <f>IF('MASTER DATA'!F28="","",'MASTER DATA'!F28)</f>
        <v>N</v>
      </c>
      <c r="G11" s="17" t="str">
        <f>IF('MASTER DATA'!G28="","",'MASTER DATA'!G28)</f>
        <v/>
      </c>
      <c r="H11" s="16" t="str">
        <f>IF('MASTER DATA'!H28="","",'MASTER DATA'!H28)</f>
        <v/>
      </c>
      <c r="I11" s="15" t="str">
        <f>IF('MASTER DATA'!I28="","",'MASTER DATA'!I28)</f>
        <v/>
      </c>
      <c r="J11" s="16" t="str">
        <f>IF('MASTER DATA'!J28="","",'MASTER DATA'!J28)</f>
        <v>N</v>
      </c>
      <c r="K11" s="15" t="str">
        <f>IF('MASTER DATA'!K28="","",'MASTER DATA'!K28)</f>
        <v/>
      </c>
      <c r="L11" s="16" t="str">
        <f>IF('MASTER DATA'!L28="","",'MASTER DATA'!L28)</f>
        <v/>
      </c>
      <c r="M11" s="16" t="str">
        <f>IF('MASTER DATA'!M28="","",'MASTER DATA'!M28)</f>
        <v>N</v>
      </c>
      <c r="N11" s="15" t="str">
        <f>IF('MASTER DATA'!N28="","",'MASTER DATA'!N28)</f>
        <v/>
      </c>
      <c r="O11" s="16" t="str">
        <f>IF('MASTER DATA'!O28="","",'MASTER DATA'!O28)</f>
        <v/>
      </c>
      <c r="P11" s="16" t="str">
        <f>IF('MASTER DATA'!P28="","",'MASTER DATA'!P28)</f>
        <v>N</v>
      </c>
      <c r="Q11" s="16" t="str">
        <f>IF('MASTER DATA'!Q28="","",'MASTER DATA'!Q28)</f>
        <v/>
      </c>
      <c r="R11" s="16" t="str">
        <f>IF('MASTER DATA'!R28="","",'MASTER DATA'!R28)</f>
        <v/>
      </c>
      <c r="S11" s="16" t="str">
        <f>IF('MASTER DATA'!S28="","",'MASTER DATA'!S28)</f>
        <v>Y</v>
      </c>
      <c r="T11" s="15">
        <f>IF('MASTER DATA'!T28="","",'MASTER DATA'!T28)</f>
        <v>46317</v>
      </c>
      <c r="U11" s="16" t="str">
        <f>IF('MASTER DATA'!U28="","",'MASTER DATA'!U28)</f>
        <v>N</v>
      </c>
      <c r="V11" s="16" t="str">
        <f>IF('MASTER DATA'!V28="","",'MASTER DATA'!V28)</f>
        <v>N</v>
      </c>
      <c r="W11" s="16" t="str">
        <f>IF('MASTER DATA'!W28="","",'MASTER DATA'!W28)</f>
        <v>N</v>
      </c>
      <c r="X11" s="16" t="str">
        <f>IF('MASTER DATA'!X28="","",'MASTER DATA'!X28)</f>
        <v>N</v>
      </c>
      <c r="Y11" s="16" t="str">
        <f>IF('MASTER DATA'!Y28="","",'MASTER DATA'!Y28)</f>
        <v>N</v>
      </c>
      <c r="Z11" s="16" t="str">
        <f>IF('MASTER DATA'!Z28="","",'MASTER DATA'!Z28)</f>
        <v>N</v>
      </c>
      <c r="AA11" s="16">
        <f>IF('MASTER DATA'!AA28="","",'MASTER DATA'!AA28)</f>
        <v>1</v>
      </c>
      <c r="AB11" s="16" t="str">
        <f>IF('MASTER DATA'!AB28="","",'MASTER DATA'!AB28)</f>
        <v>SINGLE-SIGNAL</v>
      </c>
      <c r="AC11" s="16" t="str">
        <f>IF('MASTER DATA'!AC28="","",'MASTER DATA'!AC28)</f>
        <v>Inactive Customer</v>
      </c>
    </row>
    <row r="12" spans="1:29" x14ac:dyDescent="0.45">
      <c r="A12" t="str">
        <f>IF('MASTER DATA'!A29="","",'MASTER DATA'!A29)</f>
        <v>SYN-CLM-0028</v>
      </c>
      <c r="B12" t="str">
        <f>IF('MASTER DATA'!B29="","",'MASTER DATA'!B29)</f>
        <v>Synthetic Claimant 0028</v>
      </c>
      <c r="C12" t="str">
        <f>IF('MASTER DATA'!C29="","",'MASTER DATA'!C29)</f>
        <v>Claims Analyst C</v>
      </c>
      <c r="D12" t="str">
        <f>IF('MASTER DATA'!D29="","",'MASTER DATA'!D29)</f>
        <v>Synthetic Policyholder 096, LLC</v>
      </c>
      <c r="E12" s="15">
        <f>IF('MASTER DATA'!E29="","",'MASTER DATA'!E29)</f>
        <v>44646</v>
      </c>
      <c r="F12" s="16" t="str">
        <f>IF('MASTER DATA'!F29="","",'MASTER DATA'!F29)</f>
        <v>N</v>
      </c>
      <c r="G12" s="17" t="str">
        <f>IF('MASTER DATA'!G29="","",'MASTER DATA'!G29)</f>
        <v/>
      </c>
      <c r="H12" s="16" t="str">
        <f>IF('MASTER DATA'!H29="","",'MASTER DATA'!H29)</f>
        <v/>
      </c>
      <c r="I12" s="15" t="str">
        <f>IF('MASTER DATA'!I29="","",'MASTER DATA'!I29)</f>
        <v/>
      </c>
      <c r="J12" s="16" t="str">
        <f>IF('MASTER DATA'!J29="","",'MASTER DATA'!J29)</f>
        <v>Y</v>
      </c>
      <c r="K12" s="15">
        <f>IF('MASTER DATA'!K29="","",'MASTER DATA'!K29)</f>
        <v>45828</v>
      </c>
      <c r="L12" s="16" t="str">
        <f>IF('MASTER DATA'!L29="","",'MASTER DATA'!L29)</f>
        <v>N</v>
      </c>
      <c r="M12" s="16" t="str">
        <f>IF('MASTER DATA'!M29="","",'MASTER DATA'!M29)</f>
        <v>N</v>
      </c>
      <c r="N12" s="15" t="str">
        <f>IF('MASTER DATA'!N29="","",'MASTER DATA'!N29)</f>
        <v/>
      </c>
      <c r="O12" s="16" t="str">
        <f>IF('MASTER DATA'!O29="","",'MASTER DATA'!O29)</f>
        <v/>
      </c>
      <c r="P12" s="16" t="str">
        <f>IF('MASTER DATA'!P29="","",'MASTER DATA'!P29)</f>
        <v>N</v>
      </c>
      <c r="Q12" s="16" t="str">
        <f>IF('MASTER DATA'!Q29="","",'MASTER DATA'!Q29)</f>
        <v/>
      </c>
      <c r="R12" s="16" t="str">
        <f>IF('MASTER DATA'!R29="","",'MASTER DATA'!R29)</f>
        <v/>
      </c>
      <c r="S12" s="16" t="str">
        <f>IF('MASTER DATA'!S29="","",'MASTER DATA'!S29)</f>
        <v>N</v>
      </c>
      <c r="T12" s="15" t="str">
        <f>IF('MASTER DATA'!T29="","",'MASTER DATA'!T29)</f>
        <v/>
      </c>
      <c r="U12" s="16" t="str">
        <f>IF('MASTER DATA'!U29="","",'MASTER DATA'!U29)</f>
        <v>N</v>
      </c>
      <c r="V12" s="16" t="str">
        <f>IF('MASTER DATA'!V29="","",'MASTER DATA'!V29)</f>
        <v>N</v>
      </c>
      <c r="W12" s="16" t="str">
        <f>IF('MASTER DATA'!W29="","",'MASTER DATA'!W29)</f>
        <v>N</v>
      </c>
      <c r="X12" s="16" t="str">
        <f>IF('MASTER DATA'!X29="","",'MASTER DATA'!X29)</f>
        <v>N</v>
      </c>
      <c r="Y12" s="16" t="str">
        <f>IF('MASTER DATA'!Y29="","",'MASTER DATA'!Y29)</f>
        <v>N</v>
      </c>
      <c r="Z12" s="16" t="str">
        <f>IF('MASTER DATA'!Z29="","",'MASTER DATA'!Z29)</f>
        <v>N</v>
      </c>
      <c r="AA12" s="16">
        <f>IF('MASTER DATA'!AA29="","",'MASTER DATA'!AA29)</f>
        <v>1</v>
      </c>
      <c r="AB12" s="16" t="str">
        <f>IF('MASTER DATA'!AB29="","",'MASTER DATA'!AB29)</f>
        <v>SINGLE-SIGNAL</v>
      </c>
      <c r="AC12" s="16" t="str">
        <f>IF('MASTER DATA'!AC29="","",'MASTER DATA'!AC29)</f>
        <v>Open Stipulation</v>
      </c>
    </row>
    <row r="13" spans="1:29" x14ac:dyDescent="0.45">
      <c r="A13" t="str">
        <f>IF('MASTER DATA'!A30="","",'MASTER DATA'!A30)</f>
        <v>SYN-CLM-0029</v>
      </c>
      <c r="B13" t="str">
        <f>IF('MASTER DATA'!B30="","",'MASTER DATA'!B30)</f>
        <v>Synthetic Claimant 0029</v>
      </c>
      <c r="C13" t="str">
        <f>IF('MASTER DATA'!C30="","",'MASTER DATA'!C30)</f>
        <v>Claims Analyst C</v>
      </c>
      <c r="D13" t="str">
        <f>IF('MASTER DATA'!D30="","",'MASTER DATA'!D30)</f>
        <v>Synthetic Policyholder 089, LLC</v>
      </c>
      <c r="E13" s="15">
        <f>IF('MASTER DATA'!E30="","",'MASTER DATA'!E30)</f>
        <v>43270</v>
      </c>
      <c r="F13" s="16" t="str">
        <f>IF('MASTER DATA'!F30="","",'MASTER DATA'!F30)</f>
        <v>Y</v>
      </c>
      <c r="G13" s="17">
        <f>IF('MASTER DATA'!G30="","",'MASTER DATA'!G30)</f>
        <v>115750</v>
      </c>
      <c r="H13" s="16" t="str">
        <f>IF('MASTER DATA'!H30="","",'MASTER DATA'!H30)</f>
        <v>Synthetic Approver 12</v>
      </c>
      <c r="I13" s="15">
        <f>IF('MASTER DATA'!I30="","",'MASTER DATA'!I30)</f>
        <v>43606</v>
      </c>
      <c r="J13" s="16" t="str">
        <f>IF('MASTER DATA'!J30="","",'MASTER DATA'!J30)</f>
        <v>N</v>
      </c>
      <c r="K13" s="15" t="str">
        <f>IF('MASTER DATA'!K30="","",'MASTER DATA'!K30)</f>
        <v/>
      </c>
      <c r="L13" s="16" t="str">
        <f>IF('MASTER DATA'!L30="","",'MASTER DATA'!L30)</f>
        <v>Y</v>
      </c>
      <c r="M13" s="16" t="str">
        <f>IF('MASTER DATA'!M30="","",'MASTER DATA'!M30)</f>
        <v>N</v>
      </c>
      <c r="N13" s="15" t="str">
        <f>IF('MASTER DATA'!N30="","",'MASTER DATA'!N30)</f>
        <v/>
      </c>
      <c r="O13" s="16" t="str">
        <f>IF('MASTER DATA'!O30="","",'MASTER DATA'!O30)</f>
        <v/>
      </c>
      <c r="P13" s="16" t="str">
        <f>IF('MASTER DATA'!P30="","",'MASTER DATA'!P30)</f>
        <v>Y</v>
      </c>
      <c r="Q13" s="16" t="str">
        <f>IF('MASTER DATA'!Q30="","",'MASTER DATA'!Q30)</f>
        <v>MSA Eligible in Next 3 Years</v>
      </c>
      <c r="R13" s="16" t="str">
        <f>IF('MASTER DATA'!R30="","",'MASTER DATA'!R30)</f>
        <v/>
      </c>
      <c r="S13" s="16" t="str">
        <f>IF('MASTER DATA'!S30="","",'MASTER DATA'!S30)</f>
        <v>Y</v>
      </c>
      <c r="T13" s="15">
        <f>IF('MASTER DATA'!T30="","",'MASTER DATA'!T30)</f>
        <v>45018</v>
      </c>
      <c r="U13" s="16" t="str">
        <f>IF('MASTER DATA'!U30="","",'MASTER DATA'!U30)</f>
        <v>N</v>
      </c>
      <c r="V13" s="16" t="str">
        <f>IF('MASTER DATA'!V30="","",'MASTER DATA'!V30)</f>
        <v>N</v>
      </c>
      <c r="W13" s="16" t="str">
        <f>IF('MASTER DATA'!W30="","",'MASTER DATA'!W30)</f>
        <v>N</v>
      </c>
      <c r="X13" s="16" t="str">
        <f>IF('MASTER DATA'!X30="","",'MASTER DATA'!X30)</f>
        <v>N</v>
      </c>
      <c r="Y13" s="16" t="str">
        <f>IF('MASTER DATA'!Y30="","",'MASTER DATA'!Y30)</f>
        <v>N</v>
      </c>
      <c r="Z13" s="16" t="str">
        <f>IF('MASTER DATA'!Z30="","",'MASTER DATA'!Z30)</f>
        <v>Y</v>
      </c>
      <c r="AA13" s="16">
        <f>IF('MASTER DATA'!AA30="","",'MASTER DATA'!AA30)</f>
        <v>3</v>
      </c>
      <c r="AB13" s="16" t="str">
        <f>IF('MASTER DATA'!AB30="","",'MASTER DATA'!AB30)</f>
        <v>ELEVATED MULTI-SIGNAL</v>
      </c>
      <c r="AC13" s="16" t="str">
        <f>IF('MASTER DATA'!AC30="","",'MASTER DATA'!AC30)</f>
        <v>Settlement Authorization | Automated Claim Alert | Inactive Customer</v>
      </c>
    </row>
    <row r="14" spans="1:29" x14ac:dyDescent="0.45">
      <c r="A14" t="str">
        <f>IF('MASTER DATA'!A31="","",'MASTER DATA'!A31)</f>
        <v>SYN-CLM-0030</v>
      </c>
      <c r="B14" t="str">
        <f>IF('MASTER DATA'!B31="","",'MASTER DATA'!B31)</f>
        <v>Synthetic Claimant 0030</v>
      </c>
      <c r="C14" t="str">
        <f>IF('MASTER DATA'!C31="","",'MASTER DATA'!C31)</f>
        <v>Claims Analyst C</v>
      </c>
      <c r="D14" t="str">
        <f>IF('MASTER DATA'!D31="","",'MASTER DATA'!D31)</f>
        <v>Synthetic Policyholder 085, LLC</v>
      </c>
      <c r="E14" s="15">
        <f>IF('MASTER DATA'!E31="","",'MASTER DATA'!E31)</f>
        <v>43230</v>
      </c>
      <c r="F14" s="16" t="str">
        <f>IF('MASTER DATA'!F31="","",'MASTER DATA'!F31)</f>
        <v>Y</v>
      </c>
      <c r="G14" s="17">
        <f>IF('MASTER DATA'!G31="","",'MASTER DATA'!G31)</f>
        <v>155750</v>
      </c>
      <c r="H14" s="16" t="str">
        <f>IF('MASTER DATA'!H31="","",'MASTER DATA'!H31)</f>
        <v>Synthetic Approver 02</v>
      </c>
      <c r="I14" s="15">
        <f>IF('MASTER DATA'!I31="","",'MASTER DATA'!I31)</f>
        <v>43559</v>
      </c>
      <c r="J14" s="16" t="str">
        <f>IF('MASTER DATA'!J31="","",'MASTER DATA'!J31)</f>
        <v>N</v>
      </c>
      <c r="K14" s="15" t="str">
        <f>IF('MASTER DATA'!K31="","",'MASTER DATA'!K31)</f>
        <v/>
      </c>
      <c r="L14" s="16" t="str">
        <f>IF('MASTER DATA'!L31="","",'MASTER DATA'!L31)</f>
        <v>N</v>
      </c>
      <c r="M14" s="16" t="str">
        <f>IF('MASTER DATA'!M31="","",'MASTER DATA'!M31)</f>
        <v>N</v>
      </c>
      <c r="N14" s="15" t="str">
        <f>IF('MASTER DATA'!N31="","",'MASTER DATA'!N31)</f>
        <v/>
      </c>
      <c r="O14" s="16" t="str">
        <f>IF('MASTER DATA'!O31="","",'MASTER DATA'!O31)</f>
        <v/>
      </c>
      <c r="P14" s="16" t="str">
        <f>IF('MASTER DATA'!P31="","",'MASTER DATA'!P31)</f>
        <v>N</v>
      </c>
      <c r="Q14" s="16" t="str">
        <f>IF('MASTER DATA'!Q31="","",'MASTER DATA'!Q31)</f>
        <v/>
      </c>
      <c r="R14" s="16" t="str">
        <f>IF('MASTER DATA'!R31="","",'MASTER DATA'!R31)</f>
        <v/>
      </c>
      <c r="S14" s="16" t="str">
        <f>IF('MASTER DATA'!S31="","",'MASTER DATA'!S31)</f>
        <v>Y</v>
      </c>
      <c r="T14" s="15">
        <f>IF('MASTER DATA'!T31="","",'MASTER DATA'!T31)</f>
        <v>44589</v>
      </c>
      <c r="U14" s="16" t="str">
        <f>IF('MASTER DATA'!U31="","",'MASTER DATA'!U31)</f>
        <v>N</v>
      </c>
      <c r="V14" s="16" t="str">
        <f>IF('MASTER DATA'!V31="","",'MASTER DATA'!V31)</f>
        <v>N</v>
      </c>
      <c r="W14" s="16" t="str">
        <f>IF('MASTER DATA'!W31="","",'MASTER DATA'!W31)</f>
        <v>N</v>
      </c>
      <c r="X14" s="16" t="str">
        <f>IF('MASTER DATA'!X31="","",'MASTER DATA'!X31)</f>
        <v>N</v>
      </c>
      <c r="Y14" s="16" t="str">
        <f>IF('MASTER DATA'!Y31="","",'MASTER DATA'!Y31)</f>
        <v>N</v>
      </c>
      <c r="Z14" s="16" t="str">
        <f>IF('MASTER DATA'!Z31="","",'MASTER DATA'!Z31)</f>
        <v>N</v>
      </c>
      <c r="AA14" s="16">
        <f>IF('MASTER DATA'!AA31="","",'MASTER DATA'!AA31)</f>
        <v>2</v>
      </c>
      <c r="AB14" s="16" t="str">
        <f>IF('MASTER DATA'!AB31="","",'MASTER DATA'!AB31)</f>
        <v>MULTI-SIGNAL</v>
      </c>
      <c r="AC14" s="16" t="str">
        <f>IF('MASTER DATA'!AC31="","",'MASTER DATA'!AC31)</f>
        <v>Settlement Authorization | Inactive Customer</v>
      </c>
    </row>
    <row r="15" spans="1:29" x14ac:dyDescent="0.45">
      <c r="A15" t="str">
        <f>IF('MASTER DATA'!A32="","",'MASTER DATA'!A32)</f>
        <v>SYN-CLM-0031</v>
      </c>
      <c r="B15" t="str">
        <f>IF('MASTER DATA'!B32="","",'MASTER DATA'!B32)</f>
        <v>Synthetic Claimant 0031</v>
      </c>
      <c r="C15" t="str">
        <f>IF('MASTER DATA'!C32="","",'MASTER DATA'!C32)</f>
        <v>Claims Analyst C</v>
      </c>
      <c r="D15" t="str">
        <f>IF('MASTER DATA'!D32="","",'MASTER DATA'!D32)</f>
        <v>Synthetic Policyholder 048, LLC</v>
      </c>
      <c r="E15" s="15">
        <f>IF('MASTER DATA'!E32="","",'MASTER DATA'!E32)</f>
        <v>43595</v>
      </c>
      <c r="F15" s="16" t="str">
        <f>IF('MASTER DATA'!F32="","",'MASTER DATA'!F32)</f>
        <v>Y</v>
      </c>
      <c r="G15" s="17">
        <f>IF('MASTER DATA'!G32="","",'MASTER DATA'!G32)</f>
        <v>170500</v>
      </c>
      <c r="H15" s="16" t="str">
        <f>IF('MASTER DATA'!H32="","",'MASTER DATA'!H32)</f>
        <v>Synthetic Approver 06</v>
      </c>
      <c r="I15" s="15">
        <f>IF('MASTER DATA'!I32="","",'MASTER DATA'!I32)</f>
        <v>44131</v>
      </c>
      <c r="J15" s="16" t="str">
        <f>IF('MASTER DATA'!J32="","",'MASTER DATA'!J32)</f>
        <v>N</v>
      </c>
      <c r="K15" s="15" t="str">
        <f>IF('MASTER DATA'!K32="","",'MASTER DATA'!K32)</f>
        <v/>
      </c>
      <c r="L15" s="16" t="str">
        <f>IF('MASTER DATA'!L32="","",'MASTER DATA'!L32)</f>
        <v>N</v>
      </c>
      <c r="M15" s="16" t="str">
        <f>IF('MASTER DATA'!M32="","",'MASTER DATA'!M32)</f>
        <v>N</v>
      </c>
      <c r="N15" s="15" t="str">
        <f>IF('MASTER DATA'!N32="","",'MASTER DATA'!N32)</f>
        <v/>
      </c>
      <c r="O15" s="16" t="str">
        <f>IF('MASTER DATA'!O32="","",'MASTER DATA'!O32)</f>
        <v/>
      </c>
      <c r="P15" s="16" t="str">
        <f>IF('MASTER DATA'!P32="","",'MASTER DATA'!P32)</f>
        <v>N</v>
      </c>
      <c r="Q15" s="16" t="str">
        <f>IF('MASTER DATA'!Q32="","",'MASTER DATA'!Q32)</f>
        <v/>
      </c>
      <c r="R15" s="16" t="str">
        <f>IF('MASTER DATA'!R32="","",'MASTER DATA'!R32)</f>
        <v/>
      </c>
      <c r="S15" s="16" t="str">
        <f>IF('MASTER DATA'!S32="","",'MASTER DATA'!S32)</f>
        <v>Y</v>
      </c>
      <c r="T15" s="15">
        <f>IF('MASTER DATA'!T32="","",'MASTER DATA'!T32)</f>
        <v>45135</v>
      </c>
      <c r="U15" s="16" t="str">
        <f>IF('MASTER DATA'!U32="","",'MASTER DATA'!U32)</f>
        <v>N</v>
      </c>
      <c r="V15" s="16" t="str">
        <f>IF('MASTER DATA'!V32="","",'MASTER DATA'!V32)</f>
        <v>N</v>
      </c>
      <c r="W15" s="16" t="str">
        <f>IF('MASTER DATA'!W32="","",'MASTER DATA'!W32)</f>
        <v>N</v>
      </c>
      <c r="X15" s="16" t="str">
        <f>IF('MASTER DATA'!X32="","",'MASTER DATA'!X32)</f>
        <v>N</v>
      </c>
      <c r="Y15" s="16" t="str">
        <f>IF('MASTER DATA'!Y32="","",'MASTER DATA'!Y32)</f>
        <v>N</v>
      </c>
      <c r="Z15" s="16" t="str">
        <f>IF('MASTER DATA'!Z32="","",'MASTER DATA'!Z32)</f>
        <v>N</v>
      </c>
      <c r="AA15" s="16">
        <f>IF('MASTER DATA'!AA32="","",'MASTER DATA'!AA32)</f>
        <v>2</v>
      </c>
      <c r="AB15" s="16" t="str">
        <f>IF('MASTER DATA'!AB32="","",'MASTER DATA'!AB32)</f>
        <v>MULTI-SIGNAL</v>
      </c>
      <c r="AC15" s="16" t="str">
        <f>IF('MASTER DATA'!AC32="","",'MASTER DATA'!AC32)</f>
        <v>Settlement Authorization | Inactive Customer</v>
      </c>
    </row>
    <row r="16" spans="1:29" x14ac:dyDescent="0.45">
      <c r="A16" t="str">
        <f>IF('MASTER DATA'!A178="","",'MASTER DATA'!A178)</f>
        <v>SYN-CLM-0177</v>
      </c>
      <c r="B16" t="str">
        <f>IF('MASTER DATA'!B178="","",'MASTER DATA'!B178)</f>
        <v>Synthetic Claimant 0177</v>
      </c>
      <c r="C16" t="str">
        <f>IF('MASTER DATA'!C178="","",'MASTER DATA'!C178)</f>
        <v>Claims Analyst C</v>
      </c>
      <c r="D16" t="str">
        <f>IF('MASTER DATA'!D178="","",'MASTER DATA'!D178)</f>
        <v>Synthetic Policyholder 151, LLC</v>
      </c>
      <c r="E16" s="15">
        <f>IF('MASTER DATA'!E178="","",'MASTER DATA'!E178)</f>
        <v>43181</v>
      </c>
      <c r="F16" s="16" t="str">
        <f>IF('MASTER DATA'!F178="","",'MASTER DATA'!F178)</f>
        <v>N</v>
      </c>
      <c r="G16" s="17" t="str">
        <f>IF('MASTER DATA'!G178="","",'MASTER DATA'!G178)</f>
        <v/>
      </c>
      <c r="H16" s="16" t="str">
        <f>IF('MASTER DATA'!H178="","",'MASTER DATA'!H178)</f>
        <v/>
      </c>
      <c r="I16" s="15" t="str">
        <f>IF('MASTER DATA'!I178="","",'MASTER DATA'!I178)</f>
        <v/>
      </c>
      <c r="J16" s="16" t="str">
        <f>IF('MASTER DATA'!J178="","",'MASTER DATA'!J178)</f>
        <v>N</v>
      </c>
      <c r="K16" s="15" t="str">
        <f>IF('MASTER DATA'!K178="","",'MASTER DATA'!K178)</f>
        <v/>
      </c>
      <c r="L16" s="16" t="str">
        <f>IF('MASTER DATA'!L178="","",'MASTER DATA'!L178)</f>
        <v/>
      </c>
      <c r="M16" s="16" t="str">
        <f>IF('MASTER DATA'!M178="","",'MASTER DATA'!M178)</f>
        <v>N</v>
      </c>
      <c r="N16" s="15" t="str">
        <f>IF('MASTER DATA'!N178="","",'MASTER DATA'!N178)</f>
        <v/>
      </c>
      <c r="O16" s="16" t="str">
        <f>IF('MASTER DATA'!O178="","",'MASTER DATA'!O178)</f>
        <v/>
      </c>
      <c r="P16" s="16" t="str">
        <f>IF('MASTER DATA'!P178="","",'MASTER DATA'!P178)</f>
        <v>N</v>
      </c>
      <c r="Q16" s="16" t="str">
        <f>IF('MASTER DATA'!Q178="","",'MASTER DATA'!Q178)</f>
        <v/>
      </c>
      <c r="R16" s="16" t="str">
        <f>IF('MASTER DATA'!R178="","",'MASTER DATA'!R178)</f>
        <v/>
      </c>
      <c r="S16" s="16" t="str">
        <f>IF('MASTER DATA'!S178="","",'MASTER DATA'!S178)</f>
        <v>Y</v>
      </c>
      <c r="T16" s="15">
        <f>IF('MASTER DATA'!T178="","",'MASTER DATA'!T178)</f>
        <v>44058</v>
      </c>
      <c r="U16" s="16" t="str">
        <f>IF('MASTER DATA'!U178="","",'MASTER DATA'!U178)</f>
        <v>N</v>
      </c>
      <c r="V16" s="16" t="str">
        <f>IF('MASTER DATA'!V178="","",'MASTER DATA'!V178)</f>
        <v>N</v>
      </c>
      <c r="W16" s="16" t="str">
        <f>IF('MASTER DATA'!W178="","",'MASTER DATA'!W178)</f>
        <v>N</v>
      </c>
      <c r="X16" s="16" t="str">
        <f>IF('MASTER DATA'!X178="","",'MASTER DATA'!X178)</f>
        <v>N</v>
      </c>
      <c r="Y16" s="16" t="str">
        <f>IF('MASTER DATA'!Y178="","",'MASTER DATA'!Y178)</f>
        <v>N</v>
      </c>
      <c r="Z16" s="16" t="str">
        <f>IF('MASTER DATA'!Z178="","",'MASTER DATA'!Z178)</f>
        <v>N</v>
      </c>
      <c r="AA16" s="16">
        <f>IF('MASTER DATA'!AA178="","",'MASTER DATA'!AA178)</f>
        <v>1</v>
      </c>
      <c r="AB16" s="16" t="str">
        <f>IF('MASTER DATA'!AB178="","",'MASTER DATA'!AB178)</f>
        <v>SINGLE-SIGNAL</v>
      </c>
      <c r="AC16" s="16" t="str">
        <f>IF('MASTER DATA'!AC178="","",'MASTER DATA'!AC178)</f>
        <v>Inactive Customer</v>
      </c>
    </row>
    <row r="17" spans="1:29" x14ac:dyDescent="0.45">
      <c r="A17" t="str">
        <f>IF('MASTER DATA'!A179="","",'MASTER DATA'!A179)</f>
        <v>SYN-CLM-0178</v>
      </c>
      <c r="B17" t="str">
        <f>IF('MASTER DATA'!B179="","",'MASTER DATA'!B179)</f>
        <v>Synthetic Claimant 0178</v>
      </c>
      <c r="C17" t="str">
        <f>IF('MASTER DATA'!C179="","",'MASTER DATA'!C179)</f>
        <v>Claims Analyst C</v>
      </c>
      <c r="D17" t="str">
        <f>IF('MASTER DATA'!D179="","",'MASTER DATA'!D179)</f>
        <v>Synthetic Policyholder 135, LLC</v>
      </c>
      <c r="E17" s="15">
        <f>IF('MASTER DATA'!E179="","",'MASTER DATA'!E179)</f>
        <v>43903</v>
      </c>
      <c r="F17" s="16" t="str">
        <f>IF('MASTER DATA'!F179="","",'MASTER DATA'!F179)</f>
        <v>Y</v>
      </c>
      <c r="G17" s="17">
        <f>IF('MASTER DATA'!G179="","",'MASTER DATA'!G179)</f>
        <v>166500</v>
      </c>
      <c r="H17" s="16" t="str">
        <f>IF('MASTER DATA'!H179="","",'MASTER DATA'!H179)</f>
        <v>Synthetic Approver 08</v>
      </c>
      <c r="I17" s="15">
        <f>IF('MASTER DATA'!I179="","",'MASTER DATA'!I179)</f>
        <v>44979</v>
      </c>
      <c r="J17" s="16" t="str">
        <f>IF('MASTER DATA'!J179="","",'MASTER DATA'!J179)</f>
        <v>Y</v>
      </c>
      <c r="K17" s="15">
        <f>IF('MASTER DATA'!K179="","",'MASTER DATA'!K179)</f>
        <v>44189</v>
      </c>
      <c r="L17" s="16" t="str">
        <f>IF('MASTER DATA'!L179="","",'MASTER DATA'!L179)</f>
        <v>N</v>
      </c>
      <c r="M17" s="16" t="str">
        <f>IF('MASTER DATA'!M179="","",'MASTER DATA'!M179)</f>
        <v>N</v>
      </c>
      <c r="N17" s="15" t="str">
        <f>IF('MASTER DATA'!N179="","",'MASTER DATA'!N179)</f>
        <v/>
      </c>
      <c r="O17" s="16" t="str">
        <f>IF('MASTER DATA'!O179="","",'MASTER DATA'!O179)</f>
        <v/>
      </c>
      <c r="P17" s="16" t="str">
        <f>IF('MASTER DATA'!P179="","",'MASTER DATA'!P179)</f>
        <v>N</v>
      </c>
      <c r="Q17" s="16" t="str">
        <f>IF('MASTER DATA'!Q179="","",'MASTER DATA'!Q179)</f>
        <v/>
      </c>
      <c r="R17" s="16" t="str">
        <f>IF('MASTER DATA'!R179="","",'MASTER DATA'!R179)</f>
        <v/>
      </c>
      <c r="S17" s="16" t="str">
        <f>IF('MASTER DATA'!S179="","",'MASTER DATA'!S179)</f>
        <v>N</v>
      </c>
      <c r="T17" s="15" t="str">
        <f>IF('MASTER DATA'!T179="","",'MASTER DATA'!T179)</f>
        <v/>
      </c>
      <c r="U17" s="16" t="str">
        <f>IF('MASTER DATA'!U179="","",'MASTER DATA'!U179)</f>
        <v>N</v>
      </c>
      <c r="V17" s="16" t="str">
        <f>IF('MASTER DATA'!V179="","",'MASTER DATA'!V179)</f>
        <v>N</v>
      </c>
      <c r="W17" s="16" t="str">
        <f>IF('MASTER DATA'!W179="","",'MASTER DATA'!W179)</f>
        <v>N</v>
      </c>
      <c r="X17" s="16" t="str">
        <f>IF('MASTER DATA'!X179="","",'MASTER DATA'!X179)</f>
        <v>N</v>
      </c>
      <c r="Y17" s="16" t="str">
        <f>IF('MASTER DATA'!Y179="","",'MASTER DATA'!Y179)</f>
        <v>N</v>
      </c>
      <c r="Z17" s="16" t="str">
        <f>IF('MASTER DATA'!Z179="","",'MASTER DATA'!Z179)</f>
        <v>N</v>
      </c>
      <c r="AA17" s="16">
        <f>IF('MASTER DATA'!AA179="","",'MASTER DATA'!AA179)</f>
        <v>2</v>
      </c>
      <c r="AB17" s="16" t="str">
        <f>IF('MASTER DATA'!AB179="","",'MASTER DATA'!AB179)</f>
        <v>MULTI-SIGNAL</v>
      </c>
      <c r="AC17" s="16" t="str">
        <f>IF('MASTER DATA'!AC179="","",'MASTER DATA'!AC179)</f>
        <v>Settlement Authorization | Open Stipulation</v>
      </c>
    </row>
    <row r="18" spans="1:29" x14ac:dyDescent="0.45">
      <c r="A18" t="str">
        <f>IF('MASTER DATA'!A180="","",'MASTER DATA'!A180)</f>
        <v>SYN-CLM-0179</v>
      </c>
      <c r="B18" t="str">
        <f>IF('MASTER DATA'!B180="","",'MASTER DATA'!B180)</f>
        <v>Synthetic Claimant 0179</v>
      </c>
      <c r="C18" t="str">
        <f>IF('MASTER DATA'!C180="","",'MASTER DATA'!C180)</f>
        <v>Claims Analyst C</v>
      </c>
      <c r="D18" t="str">
        <f>IF('MASTER DATA'!D180="","",'MASTER DATA'!D180)</f>
        <v>Synthetic Policyholder 135, LLC</v>
      </c>
      <c r="E18" s="15">
        <f>IF('MASTER DATA'!E180="","",'MASTER DATA'!E180)</f>
        <v>45947</v>
      </c>
      <c r="F18" s="16" t="str">
        <f>IF('MASTER DATA'!F180="","",'MASTER DATA'!F180)</f>
        <v>Y</v>
      </c>
      <c r="G18" s="17">
        <f>IF('MASTER DATA'!G180="","",'MASTER DATA'!G180)</f>
        <v>107000</v>
      </c>
      <c r="H18" s="16" t="str">
        <f>IF('MASTER DATA'!H180="","",'MASTER DATA'!H180)</f>
        <v>Synthetic Approver 03</v>
      </c>
      <c r="I18" s="15">
        <f>IF('MASTER DATA'!I180="","",'MASTER DATA'!I180)</f>
        <v>46732</v>
      </c>
      <c r="J18" s="16" t="str">
        <f>IF('MASTER DATA'!J180="","",'MASTER DATA'!J180)</f>
        <v>N</v>
      </c>
      <c r="K18" s="15" t="str">
        <f>IF('MASTER DATA'!K180="","",'MASTER DATA'!K180)</f>
        <v/>
      </c>
      <c r="L18" s="16" t="str">
        <f>IF('MASTER DATA'!L180="","",'MASTER DATA'!L180)</f>
        <v>N</v>
      </c>
      <c r="M18" s="16" t="str">
        <f>IF('MASTER DATA'!M180="","",'MASTER DATA'!M180)</f>
        <v>N</v>
      </c>
      <c r="N18" s="15" t="str">
        <f>IF('MASTER DATA'!N180="","",'MASTER DATA'!N180)</f>
        <v/>
      </c>
      <c r="O18" s="16" t="str">
        <f>IF('MASTER DATA'!O180="","",'MASTER DATA'!O180)</f>
        <v/>
      </c>
      <c r="P18" s="16" t="str">
        <f>IF('MASTER DATA'!P180="","",'MASTER DATA'!P180)</f>
        <v>N</v>
      </c>
      <c r="Q18" s="16" t="str">
        <f>IF('MASTER DATA'!Q180="","",'MASTER DATA'!Q180)</f>
        <v/>
      </c>
      <c r="R18" s="16" t="str">
        <f>IF('MASTER DATA'!R180="","",'MASTER DATA'!R180)</f>
        <v/>
      </c>
      <c r="S18" s="16" t="str">
        <f>IF('MASTER DATA'!S180="","",'MASTER DATA'!S180)</f>
        <v>Y</v>
      </c>
      <c r="T18" s="15">
        <f>IF('MASTER DATA'!T180="","",'MASTER DATA'!T180)</f>
        <v>46942</v>
      </c>
      <c r="U18" s="16" t="str">
        <f>IF('MASTER DATA'!U180="","",'MASTER DATA'!U180)</f>
        <v>N</v>
      </c>
      <c r="V18" s="16" t="str">
        <f>IF('MASTER DATA'!V180="","",'MASTER DATA'!V180)</f>
        <v>N</v>
      </c>
      <c r="W18" s="16" t="str">
        <f>IF('MASTER DATA'!W180="","",'MASTER DATA'!W180)</f>
        <v>N</v>
      </c>
      <c r="X18" s="16" t="str">
        <f>IF('MASTER DATA'!X180="","",'MASTER DATA'!X180)</f>
        <v>N</v>
      </c>
      <c r="Y18" s="16" t="str">
        <f>IF('MASTER DATA'!Y180="","",'MASTER DATA'!Y180)</f>
        <v>N</v>
      </c>
      <c r="Z18" s="16" t="str">
        <f>IF('MASTER DATA'!Z180="","",'MASTER DATA'!Z180)</f>
        <v>N</v>
      </c>
      <c r="AA18" s="16">
        <f>IF('MASTER DATA'!AA180="","",'MASTER DATA'!AA180)</f>
        <v>2</v>
      </c>
      <c r="AB18" s="16" t="str">
        <f>IF('MASTER DATA'!AB180="","",'MASTER DATA'!AB180)</f>
        <v>MULTI-SIGNAL</v>
      </c>
      <c r="AC18" s="16" t="str">
        <f>IF('MASTER DATA'!AC180="","",'MASTER DATA'!AC180)</f>
        <v>Settlement Authorization | Inactive Customer</v>
      </c>
    </row>
    <row r="19" spans="1:29" x14ac:dyDescent="0.45">
      <c r="A19" t="str">
        <f>IF('MASTER DATA'!A181="","",'MASTER DATA'!A181)</f>
        <v>SYN-CLM-0180</v>
      </c>
      <c r="B19" t="str">
        <f>IF('MASTER DATA'!B181="","",'MASTER DATA'!B181)</f>
        <v>Synthetic Claimant 0180</v>
      </c>
      <c r="C19" t="str">
        <f>IF('MASTER DATA'!C181="","",'MASTER DATA'!C181)</f>
        <v>Claims Analyst C</v>
      </c>
      <c r="D19" t="str">
        <f>IF('MASTER DATA'!D181="","",'MASTER DATA'!D181)</f>
        <v>Synthetic Policyholder 091, LLC</v>
      </c>
      <c r="E19" s="15">
        <f>IF('MASTER DATA'!E181="","",'MASTER DATA'!E181)</f>
        <v>44181</v>
      </c>
      <c r="F19" s="16" t="str">
        <f>IF('MASTER DATA'!F181="","",'MASTER DATA'!F181)</f>
        <v>N</v>
      </c>
      <c r="G19" s="17" t="str">
        <f>IF('MASTER DATA'!G181="","",'MASTER DATA'!G181)</f>
        <v/>
      </c>
      <c r="H19" s="16" t="str">
        <f>IF('MASTER DATA'!H181="","",'MASTER DATA'!H181)</f>
        <v/>
      </c>
      <c r="I19" s="15" t="str">
        <f>IF('MASTER DATA'!I181="","",'MASTER DATA'!I181)</f>
        <v/>
      </c>
      <c r="J19" s="16" t="str">
        <f>IF('MASTER DATA'!J181="","",'MASTER DATA'!J181)</f>
        <v>N</v>
      </c>
      <c r="K19" s="15" t="str">
        <f>IF('MASTER DATA'!K181="","",'MASTER DATA'!K181)</f>
        <v/>
      </c>
      <c r="L19" s="16" t="str">
        <f>IF('MASTER DATA'!L181="","",'MASTER DATA'!L181)</f>
        <v/>
      </c>
      <c r="M19" s="16" t="str">
        <f>IF('MASTER DATA'!M181="","",'MASTER DATA'!M181)</f>
        <v>N</v>
      </c>
      <c r="N19" s="15" t="str">
        <f>IF('MASTER DATA'!N181="","",'MASTER DATA'!N181)</f>
        <v/>
      </c>
      <c r="O19" s="16" t="str">
        <f>IF('MASTER DATA'!O181="","",'MASTER DATA'!O181)</f>
        <v/>
      </c>
      <c r="P19" s="16" t="str">
        <f>IF('MASTER DATA'!P181="","",'MASTER DATA'!P181)</f>
        <v>Y</v>
      </c>
      <c r="Q19" s="16" t="str">
        <f>IF('MASTER DATA'!Q181="","",'MASTER DATA'!Q181)</f>
        <v>MMI Date Reported</v>
      </c>
      <c r="R19" s="16" t="str">
        <f>IF('MASTER DATA'!R181="","",'MASTER DATA'!R181)</f>
        <v>Non-Renewed Account; Denied Treatment Requests</v>
      </c>
      <c r="S19" s="16" t="str">
        <f>IF('MASTER DATA'!S181="","",'MASTER DATA'!S181)</f>
        <v>N</v>
      </c>
      <c r="T19" s="15" t="str">
        <f>IF('MASTER DATA'!T181="","",'MASTER DATA'!T181)</f>
        <v/>
      </c>
      <c r="U19" s="16" t="str">
        <f>IF('MASTER DATA'!U181="","",'MASTER DATA'!U181)</f>
        <v>N</v>
      </c>
      <c r="V19" s="16" t="str">
        <f>IF('MASTER DATA'!V181="","",'MASTER DATA'!V181)</f>
        <v>Y</v>
      </c>
      <c r="W19" s="16" t="str">
        <f>IF('MASTER DATA'!W181="","",'MASTER DATA'!W181)</f>
        <v>Y</v>
      </c>
      <c r="X19" s="16" t="str">
        <f>IF('MASTER DATA'!X181="","",'MASTER DATA'!X181)</f>
        <v>N</v>
      </c>
      <c r="Y19" s="16" t="str">
        <f>IF('MASTER DATA'!Y181="","",'MASTER DATA'!Y181)</f>
        <v>Y</v>
      </c>
      <c r="Z19" s="16" t="str">
        <f>IF('MASTER DATA'!Z181="","",'MASTER DATA'!Z181)</f>
        <v>N</v>
      </c>
      <c r="AA19" s="16">
        <f>IF('MASTER DATA'!AA181="","",'MASTER DATA'!AA181)</f>
        <v>1</v>
      </c>
      <c r="AB19" s="16" t="str">
        <f>IF('MASTER DATA'!AB181="","",'MASTER DATA'!AB181)</f>
        <v>SINGLE-SIGNAL</v>
      </c>
      <c r="AC19" s="16" t="str">
        <f>IF('MASTER DATA'!AC181="","",'MASTER DATA'!AC181)</f>
        <v>Automated Claim Alert</v>
      </c>
    </row>
    <row r="20" spans="1:29" x14ac:dyDescent="0.45">
      <c r="A20" t="str">
        <f>IF('MASTER DATA'!A182="","",'MASTER DATA'!A182)</f>
        <v>SYN-CLM-0181</v>
      </c>
      <c r="B20" t="str">
        <f>IF('MASTER DATA'!B182="","",'MASTER DATA'!B182)</f>
        <v>Synthetic Claimant 0181</v>
      </c>
      <c r="C20" t="str">
        <f>IF('MASTER DATA'!C182="","",'MASTER DATA'!C182)</f>
        <v>Claims Analyst C</v>
      </c>
      <c r="D20" t="str">
        <f>IF('MASTER DATA'!D182="","",'MASTER DATA'!D182)</f>
        <v>Synthetic Policyholder 055, LLC</v>
      </c>
      <c r="E20" s="15">
        <f>IF('MASTER DATA'!E182="","",'MASTER DATA'!E182)</f>
        <v>46019</v>
      </c>
      <c r="F20" s="16" t="str">
        <f>IF('MASTER DATA'!F182="","",'MASTER DATA'!F182)</f>
        <v>Y</v>
      </c>
      <c r="G20" s="17">
        <f>IF('MASTER DATA'!G182="","",'MASTER DATA'!G182)</f>
        <v>146250</v>
      </c>
      <c r="H20" s="16" t="str">
        <f>IF('MASTER DATA'!H182="","",'MASTER DATA'!H182)</f>
        <v>Synthetic Approver 12</v>
      </c>
      <c r="I20" s="15">
        <f>IF('MASTER DATA'!I182="","",'MASTER DATA'!I182)</f>
        <v>47036</v>
      </c>
      <c r="J20" s="16" t="str">
        <f>IF('MASTER DATA'!J182="","",'MASTER DATA'!J182)</f>
        <v>N</v>
      </c>
      <c r="K20" s="15" t="str">
        <f>IF('MASTER DATA'!K182="","",'MASTER DATA'!K182)</f>
        <v/>
      </c>
      <c r="L20" s="16" t="str">
        <f>IF('MASTER DATA'!L182="","",'MASTER DATA'!L182)</f>
        <v>N</v>
      </c>
      <c r="M20" s="16" t="str">
        <f>IF('MASTER DATA'!M182="","",'MASTER DATA'!M182)</f>
        <v>N</v>
      </c>
      <c r="N20" s="15" t="str">
        <f>IF('MASTER DATA'!N182="","",'MASTER DATA'!N182)</f>
        <v/>
      </c>
      <c r="O20" s="16" t="str">
        <f>IF('MASTER DATA'!O182="","",'MASTER DATA'!O182)</f>
        <v/>
      </c>
      <c r="P20" s="16" t="str">
        <f>IF('MASTER DATA'!P182="","",'MASTER DATA'!P182)</f>
        <v>N</v>
      </c>
      <c r="Q20" s="16" t="str">
        <f>IF('MASTER DATA'!Q182="","",'MASTER DATA'!Q182)</f>
        <v/>
      </c>
      <c r="R20" s="16" t="str">
        <f>IF('MASTER DATA'!R182="","",'MASTER DATA'!R182)</f>
        <v/>
      </c>
      <c r="S20" s="16" t="str">
        <f>IF('MASTER DATA'!S182="","",'MASTER DATA'!S182)</f>
        <v>N</v>
      </c>
      <c r="T20" s="15" t="str">
        <f>IF('MASTER DATA'!T182="","",'MASTER DATA'!T182)</f>
        <v/>
      </c>
      <c r="U20" s="16" t="str">
        <f>IF('MASTER DATA'!U182="","",'MASTER DATA'!U182)</f>
        <v>N</v>
      </c>
      <c r="V20" s="16" t="str">
        <f>IF('MASTER DATA'!V182="","",'MASTER DATA'!V182)</f>
        <v>N</v>
      </c>
      <c r="W20" s="16" t="str">
        <f>IF('MASTER DATA'!W182="","",'MASTER DATA'!W182)</f>
        <v>N</v>
      </c>
      <c r="X20" s="16" t="str">
        <f>IF('MASTER DATA'!X182="","",'MASTER DATA'!X182)</f>
        <v>N</v>
      </c>
      <c r="Y20" s="16" t="str">
        <f>IF('MASTER DATA'!Y182="","",'MASTER DATA'!Y182)</f>
        <v>N</v>
      </c>
      <c r="Z20" s="16" t="str">
        <f>IF('MASTER DATA'!Z182="","",'MASTER DATA'!Z182)</f>
        <v>N</v>
      </c>
      <c r="AA20" s="16">
        <f>IF('MASTER DATA'!AA182="","",'MASTER DATA'!AA182)</f>
        <v>1</v>
      </c>
      <c r="AB20" s="16" t="str">
        <f>IF('MASTER DATA'!AB182="","",'MASTER DATA'!AB182)</f>
        <v>SINGLE-SIGNAL</v>
      </c>
      <c r="AC20" s="16" t="str">
        <f>IF('MASTER DATA'!AC182="","",'MASTER DATA'!AC182)</f>
        <v>Settlement Authorization</v>
      </c>
    </row>
    <row r="21" spans="1:29" x14ac:dyDescent="0.45">
      <c r="A21" t="str">
        <f>IF('MASTER DATA'!A183="","",'MASTER DATA'!A183)</f>
        <v>SYN-CLM-0182</v>
      </c>
      <c r="B21" t="str">
        <f>IF('MASTER DATA'!B183="","",'MASTER DATA'!B183)</f>
        <v>Synthetic Claimant 0182</v>
      </c>
      <c r="C21" t="str">
        <f>IF('MASTER DATA'!C183="","",'MASTER DATA'!C183)</f>
        <v>Claims Analyst C</v>
      </c>
      <c r="D21" t="str">
        <f>IF('MASTER DATA'!D183="","",'MASTER DATA'!D183)</f>
        <v>Synthetic Policyholder 170, LLC</v>
      </c>
      <c r="E21" s="15">
        <f>IF('MASTER DATA'!E183="","",'MASTER DATA'!E183)</f>
        <v>45492</v>
      </c>
      <c r="F21" s="16" t="str">
        <f>IF('MASTER DATA'!F183="","",'MASTER DATA'!F183)</f>
        <v>N</v>
      </c>
      <c r="G21" s="17" t="str">
        <f>IF('MASTER DATA'!G183="","",'MASTER DATA'!G183)</f>
        <v/>
      </c>
      <c r="H21" s="16" t="str">
        <f>IF('MASTER DATA'!H183="","",'MASTER DATA'!H183)</f>
        <v/>
      </c>
      <c r="I21" s="15" t="str">
        <f>IF('MASTER DATA'!I183="","",'MASTER DATA'!I183)</f>
        <v/>
      </c>
      <c r="J21" s="16" t="str">
        <f>IF('MASTER DATA'!J183="","",'MASTER DATA'!J183)</f>
        <v>N</v>
      </c>
      <c r="K21" s="15" t="str">
        <f>IF('MASTER DATA'!K183="","",'MASTER DATA'!K183)</f>
        <v/>
      </c>
      <c r="L21" s="16" t="str">
        <f>IF('MASTER DATA'!L183="","",'MASTER DATA'!L183)</f>
        <v/>
      </c>
      <c r="M21" s="16" t="str">
        <f>IF('MASTER DATA'!M183="","",'MASTER DATA'!M183)</f>
        <v>N</v>
      </c>
      <c r="N21" s="15" t="str">
        <f>IF('MASTER DATA'!N183="","",'MASTER DATA'!N183)</f>
        <v/>
      </c>
      <c r="O21" s="16" t="str">
        <f>IF('MASTER DATA'!O183="","",'MASTER DATA'!O183)</f>
        <v/>
      </c>
      <c r="P21" s="16" t="str">
        <f>IF('MASTER DATA'!P183="","",'MASTER DATA'!P183)</f>
        <v>N</v>
      </c>
      <c r="Q21" s="16" t="str">
        <f>IF('MASTER DATA'!Q183="","",'MASTER DATA'!Q183)</f>
        <v/>
      </c>
      <c r="R21" s="16" t="str">
        <f>IF('MASTER DATA'!R183="","",'MASTER DATA'!R183)</f>
        <v/>
      </c>
      <c r="S21" s="16" t="str">
        <f>IF('MASTER DATA'!S183="","",'MASTER DATA'!S183)</f>
        <v>Y</v>
      </c>
      <c r="T21" s="15">
        <f>IF('MASTER DATA'!T183="","",'MASTER DATA'!T183)</f>
        <v>47440</v>
      </c>
      <c r="U21" s="16" t="str">
        <f>IF('MASTER DATA'!U183="","",'MASTER DATA'!U183)</f>
        <v>N</v>
      </c>
      <c r="V21" s="16" t="str">
        <f>IF('MASTER DATA'!V183="","",'MASTER DATA'!V183)</f>
        <v>N</v>
      </c>
      <c r="W21" s="16" t="str">
        <f>IF('MASTER DATA'!W183="","",'MASTER DATA'!W183)</f>
        <v>N</v>
      </c>
      <c r="X21" s="16" t="str">
        <f>IF('MASTER DATA'!X183="","",'MASTER DATA'!X183)</f>
        <v>N</v>
      </c>
      <c r="Y21" s="16" t="str">
        <f>IF('MASTER DATA'!Y183="","",'MASTER DATA'!Y183)</f>
        <v>N</v>
      </c>
      <c r="Z21" s="16" t="str">
        <f>IF('MASTER DATA'!Z183="","",'MASTER DATA'!Z183)</f>
        <v>N</v>
      </c>
      <c r="AA21" s="16">
        <f>IF('MASTER DATA'!AA183="","",'MASTER DATA'!AA183)</f>
        <v>1</v>
      </c>
      <c r="AB21" s="16" t="str">
        <f>IF('MASTER DATA'!AB183="","",'MASTER DATA'!AB183)</f>
        <v>SINGLE-SIGNAL</v>
      </c>
      <c r="AC21" s="16" t="str">
        <f>IF('MASTER DATA'!AC183="","",'MASTER DATA'!AC183)</f>
        <v>Inactive Customer</v>
      </c>
    </row>
    <row r="22" spans="1:29" x14ac:dyDescent="0.45">
      <c r="A22" t="str">
        <f>IF('MASTER DATA'!A184="","",'MASTER DATA'!A184)</f>
        <v>SYN-CLM-0183</v>
      </c>
      <c r="B22" t="str">
        <f>IF('MASTER DATA'!B184="","",'MASTER DATA'!B184)</f>
        <v>Synthetic Claimant 0183</v>
      </c>
      <c r="C22" t="str">
        <f>IF('MASTER DATA'!C184="","",'MASTER DATA'!C184)</f>
        <v>Claims Analyst C</v>
      </c>
      <c r="D22" t="str">
        <f>IF('MASTER DATA'!D184="","",'MASTER DATA'!D184)</f>
        <v>Synthetic Policyholder 036, LLC</v>
      </c>
      <c r="E22" s="15">
        <f>IF('MASTER DATA'!E184="","",'MASTER DATA'!E184)</f>
        <v>44253</v>
      </c>
      <c r="F22" s="16" t="str">
        <f>IF('MASTER DATA'!F184="","",'MASTER DATA'!F184)</f>
        <v>Y</v>
      </c>
      <c r="G22" s="17">
        <f>IF('MASTER DATA'!G184="","",'MASTER DATA'!G184)</f>
        <v>25250</v>
      </c>
      <c r="H22" s="16" t="str">
        <f>IF('MASTER DATA'!H184="","",'MASTER DATA'!H184)</f>
        <v>Synthetic Approver 04</v>
      </c>
      <c r="I22" s="15">
        <f>IF('MASTER DATA'!I184="","",'MASTER DATA'!I184)</f>
        <v>45656</v>
      </c>
      <c r="J22" s="16" t="str">
        <f>IF('MASTER DATA'!J184="","",'MASTER DATA'!J184)</f>
        <v>Y</v>
      </c>
      <c r="K22" s="15">
        <f>IF('MASTER DATA'!K184="","",'MASTER DATA'!K184)</f>
        <v>44687</v>
      </c>
      <c r="L22" s="16" t="str">
        <f>IF('MASTER DATA'!L184="","",'MASTER DATA'!L184)</f>
        <v>N</v>
      </c>
      <c r="M22" s="16" t="str">
        <f>IF('MASTER DATA'!M184="","",'MASTER DATA'!M184)</f>
        <v>N</v>
      </c>
      <c r="N22" s="15" t="str">
        <f>IF('MASTER DATA'!N184="","",'MASTER DATA'!N184)</f>
        <v/>
      </c>
      <c r="O22" s="16" t="str">
        <f>IF('MASTER DATA'!O184="","",'MASTER DATA'!O184)</f>
        <v/>
      </c>
      <c r="P22" s="16" t="str">
        <f>IF('MASTER DATA'!P184="","",'MASTER DATA'!P184)</f>
        <v>N</v>
      </c>
      <c r="Q22" s="16" t="str">
        <f>IF('MASTER DATA'!Q184="","",'MASTER DATA'!Q184)</f>
        <v/>
      </c>
      <c r="R22" s="16" t="str">
        <f>IF('MASTER DATA'!R184="","",'MASTER DATA'!R184)</f>
        <v/>
      </c>
      <c r="S22" s="16" t="str">
        <f>IF('MASTER DATA'!S184="","",'MASTER DATA'!S184)</f>
        <v>N</v>
      </c>
      <c r="T22" s="15" t="str">
        <f>IF('MASTER DATA'!T184="","",'MASTER DATA'!T184)</f>
        <v/>
      </c>
      <c r="U22" s="16" t="str">
        <f>IF('MASTER DATA'!U184="","",'MASTER DATA'!U184)</f>
        <v>N</v>
      </c>
      <c r="V22" s="16" t="str">
        <f>IF('MASTER DATA'!V184="","",'MASTER DATA'!V184)</f>
        <v>N</v>
      </c>
      <c r="W22" s="16" t="str">
        <f>IF('MASTER DATA'!W184="","",'MASTER DATA'!W184)</f>
        <v>N</v>
      </c>
      <c r="X22" s="16" t="str">
        <f>IF('MASTER DATA'!X184="","",'MASTER DATA'!X184)</f>
        <v>N</v>
      </c>
      <c r="Y22" s="16" t="str">
        <f>IF('MASTER DATA'!Y184="","",'MASTER DATA'!Y184)</f>
        <v>N</v>
      </c>
      <c r="Z22" s="16" t="str">
        <f>IF('MASTER DATA'!Z184="","",'MASTER DATA'!Z184)</f>
        <v>N</v>
      </c>
      <c r="AA22" s="16">
        <f>IF('MASTER DATA'!AA184="","",'MASTER DATA'!AA184)</f>
        <v>2</v>
      </c>
      <c r="AB22" s="16" t="str">
        <f>IF('MASTER DATA'!AB184="","",'MASTER DATA'!AB184)</f>
        <v>MULTI-SIGNAL</v>
      </c>
      <c r="AC22" s="16" t="str">
        <f>IF('MASTER DATA'!AC184="","",'MASTER DATA'!AC184)</f>
        <v>Settlement Authorization | Open Stipulation</v>
      </c>
    </row>
    <row r="23" spans="1:29" x14ac:dyDescent="0.45">
      <c r="A23" t="str">
        <f>IF('MASTER DATA'!A185="","",'MASTER DATA'!A185)</f>
        <v>SYN-CLM-0184</v>
      </c>
      <c r="B23" t="str">
        <f>IF('MASTER DATA'!B185="","",'MASTER DATA'!B185)</f>
        <v>Synthetic Claimant 0184</v>
      </c>
      <c r="C23" t="str">
        <f>IF('MASTER DATA'!C185="","",'MASTER DATA'!C185)</f>
        <v>Claims Analyst C</v>
      </c>
      <c r="D23" t="str">
        <f>IF('MASTER DATA'!D185="","",'MASTER DATA'!D185)</f>
        <v>Synthetic Policyholder 063, LLC</v>
      </c>
      <c r="E23" s="15">
        <f>IF('MASTER DATA'!E185="","",'MASTER DATA'!E185)</f>
        <v>43104</v>
      </c>
      <c r="F23" s="16" t="str">
        <f>IF('MASTER DATA'!F185="","",'MASTER DATA'!F185)</f>
        <v>Y</v>
      </c>
      <c r="G23" s="17">
        <f>IF('MASTER DATA'!G185="","",'MASTER DATA'!G185)</f>
        <v>169500</v>
      </c>
      <c r="H23" s="16" t="str">
        <f>IF('MASTER DATA'!H185="","",'MASTER DATA'!H185)</f>
        <v>Synthetic Approver 02</v>
      </c>
      <c r="I23" s="15">
        <f>IF('MASTER DATA'!I185="","",'MASTER DATA'!I185)</f>
        <v>44588</v>
      </c>
      <c r="J23" s="16" t="str">
        <f>IF('MASTER DATA'!J185="","",'MASTER DATA'!J185)</f>
        <v>N</v>
      </c>
      <c r="K23" s="15" t="str">
        <f>IF('MASTER DATA'!K185="","",'MASTER DATA'!K185)</f>
        <v/>
      </c>
      <c r="L23" s="16" t="str">
        <f>IF('MASTER DATA'!L185="","",'MASTER DATA'!L185)</f>
        <v>Y</v>
      </c>
      <c r="M23" s="16" t="str">
        <f>IF('MASTER DATA'!M185="","",'MASTER DATA'!M185)</f>
        <v>N</v>
      </c>
      <c r="N23" s="15" t="str">
        <f>IF('MASTER DATA'!N185="","",'MASTER DATA'!N185)</f>
        <v/>
      </c>
      <c r="O23" s="16" t="str">
        <f>IF('MASTER DATA'!O185="","",'MASTER DATA'!O185)</f>
        <v/>
      </c>
      <c r="P23" s="16" t="str">
        <f>IF('MASTER DATA'!P185="","",'MASTER DATA'!P185)</f>
        <v>Y</v>
      </c>
      <c r="Q23" s="16" t="str">
        <f>IF('MASTER DATA'!Q185="","",'MASTER DATA'!Q185)</f>
        <v>Surgery Requested; MMI Date Reported; Specialist Consultation Requested</v>
      </c>
      <c r="R23" s="16" t="str">
        <f>IF('MASTER DATA'!R185="","",'MASTER DATA'!R185)</f>
        <v/>
      </c>
      <c r="S23" s="16" t="str">
        <f>IF('MASTER DATA'!S185="","",'MASTER DATA'!S185)</f>
        <v>Y</v>
      </c>
      <c r="T23" s="15">
        <f>IF('MASTER DATA'!T185="","",'MASTER DATA'!T185)</f>
        <v>45161</v>
      </c>
      <c r="U23" s="16" t="str">
        <f>IF('MASTER DATA'!U185="","",'MASTER DATA'!U185)</f>
        <v>Y</v>
      </c>
      <c r="V23" s="16" t="str">
        <f>IF('MASTER DATA'!V185="","",'MASTER DATA'!V185)</f>
        <v>Y</v>
      </c>
      <c r="W23" s="16" t="str">
        <f>IF('MASTER DATA'!W185="","",'MASTER DATA'!W185)</f>
        <v>N</v>
      </c>
      <c r="X23" s="16" t="str">
        <f>IF('MASTER DATA'!X185="","",'MASTER DATA'!X185)</f>
        <v>Y</v>
      </c>
      <c r="Y23" s="16" t="str">
        <f>IF('MASTER DATA'!Y185="","",'MASTER DATA'!Y185)</f>
        <v>N</v>
      </c>
      <c r="Z23" s="16" t="str">
        <f>IF('MASTER DATA'!Z185="","",'MASTER DATA'!Z185)</f>
        <v>N</v>
      </c>
      <c r="AA23" s="16">
        <f>IF('MASTER DATA'!AA185="","",'MASTER DATA'!AA185)</f>
        <v>3</v>
      </c>
      <c r="AB23" s="16" t="str">
        <f>IF('MASTER DATA'!AB185="","",'MASTER DATA'!AB185)</f>
        <v>ELEVATED MULTI-SIGNAL</v>
      </c>
      <c r="AC23" s="16" t="str">
        <f>IF('MASTER DATA'!AC185="","",'MASTER DATA'!AC185)</f>
        <v>Settlement Authorization | Automated Claim Alert | Inactive Customer</v>
      </c>
    </row>
    <row r="24" spans="1:29" x14ac:dyDescent="0.45">
      <c r="A24" t="str">
        <f>IF('MASTER DATA'!A186="","",'MASTER DATA'!A186)</f>
        <v>SYN-CLM-0185</v>
      </c>
      <c r="B24" t="str">
        <f>IF('MASTER DATA'!B186="","",'MASTER DATA'!B186)</f>
        <v>Synthetic Claimant 0185</v>
      </c>
      <c r="C24" t="str">
        <f>IF('MASTER DATA'!C186="","",'MASTER DATA'!C186)</f>
        <v>Claims Analyst C</v>
      </c>
      <c r="D24" t="str">
        <f>IF('MASTER DATA'!D186="","",'MASTER DATA'!D186)</f>
        <v>Synthetic Policyholder 112, LLC</v>
      </c>
      <c r="E24" s="15">
        <f>IF('MASTER DATA'!E186="","",'MASTER DATA'!E186)</f>
        <v>44856</v>
      </c>
      <c r="F24" s="16" t="str">
        <f>IF('MASTER DATA'!F186="","",'MASTER DATA'!F186)</f>
        <v>Y</v>
      </c>
      <c r="G24" s="17">
        <f>IF('MASTER DATA'!G186="","",'MASTER DATA'!G186)</f>
        <v>147500</v>
      </c>
      <c r="H24" s="16" t="str">
        <f>IF('MASTER DATA'!H186="","",'MASTER DATA'!H186)</f>
        <v>Synthetic Approver 01</v>
      </c>
      <c r="I24" s="15">
        <f>IF('MASTER DATA'!I186="","",'MASTER DATA'!I186)</f>
        <v>45812</v>
      </c>
      <c r="J24" s="16" t="str">
        <f>IF('MASTER DATA'!J186="","",'MASTER DATA'!J186)</f>
        <v>N</v>
      </c>
      <c r="K24" s="15" t="str">
        <f>IF('MASTER DATA'!K186="","",'MASTER DATA'!K186)</f>
        <v/>
      </c>
      <c r="L24" s="16" t="str">
        <f>IF('MASTER DATA'!L186="","",'MASTER DATA'!L186)</f>
        <v>Y</v>
      </c>
      <c r="M24" s="16" t="str">
        <f>IF('MASTER DATA'!M186="","",'MASTER DATA'!M186)</f>
        <v>Y</v>
      </c>
      <c r="N24" s="15">
        <f>IF('MASTER DATA'!N186="","",'MASTER DATA'!N186)</f>
        <v>45626</v>
      </c>
      <c r="O24" s="16" t="str">
        <f>IF('MASTER DATA'!O186="","",'MASTER DATA'!O186)</f>
        <v>Synthetic QME Evaluator 10</v>
      </c>
      <c r="P24" s="16" t="str">
        <f>IF('MASTER DATA'!P186="","",'MASTER DATA'!P186)</f>
        <v>N</v>
      </c>
      <c r="Q24" s="16" t="str">
        <f>IF('MASTER DATA'!Q186="","",'MASTER DATA'!Q186)</f>
        <v/>
      </c>
      <c r="R24" s="16" t="str">
        <f>IF('MASTER DATA'!R186="","",'MASTER DATA'!R186)</f>
        <v/>
      </c>
      <c r="S24" s="16" t="str">
        <f>IF('MASTER DATA'!S186="","",'MASTER DATA'!S186)</f>
        <v>N</v>
      </c>
      <c r="T24" s="15" t="str">
        <f>IF('MASTER DATA'!T186="","",'MASTER DATA'!T186)</f>
        <v/>
      </c>
      <c r="U24" s="16" t="str">
        <f>IF('MASTER DATA'!U186="","",'MASTER DATA'!U186)</f>
        <v>N</v>
      </c>
      <c r="V24" s="16" t="str">
        <f>IF('MASTER DATA'!V186="","",'MASTER DATA'!V186)</f>
        <v>N</v>
      </c>
      <c r="W24" s="16" t="str">
        <f>IF('MASTER DATA'!W186="","",'MASTER DATA'!W186)</f>
        <v>N</v>
      </c>
      <c r="X24" s="16" t="str">
        <f>IF('MASTER DATA'!X186="","",'MASTER DATA'!X186)</f>
        <v>N</v>
      </c>
      <c r="Y24" s="16" t="str">
        <f>IF('MASTER DATA'!Y186="","",'MASTER DATA'!Y186)</f>
        <v>N</v>
      </c>
      <c r="Z24" s="16" t="str">
        <f>IF('MASTER DATA'!Z186="","",'MASTER DATA'!Z186)</f>
        <v>N</v>
      </c>
      <c r="AA24" s="16">
        <f>IF('MASTER DATA'!AA186="","",'MASTER DATA'!AA186)</f>
        <v>2</v>
      </c>
      <c r="AB24" s="16" t="str">
        <f>IF('MASTER DATA'!AB186="","",'MASTER DATA'!AB186)</f>
        <v>MULTI-SIGNAL</v>
      </c>
      <c r="AC24" s="16" t="str">
        <f>IF('MASTER DATA'!AC186="","",'MASTER DATA'!AC186)</f>
        <v>Settlement Authorization | Pending QME</v>
      </c>
    </row>
    <row r="25" spans="1:29" x14ac:dyDescent="0.45">
      <c r="A25" t="str">
        <f>IF('MASTER DATA'!A187="","",'MASTER DATA'!A187)</f>
        <v>SYN-CLM-0186</v>
      </c>
      <c r="B25" t="str">
        <f>IF('MASTER DATA'!B187="","",'MASTER DATA'!B187)</f>
        <v>Synthetic Claimant 0186</v>
      </c>
      <c r="C25" t="str">
        <f>IF('MASTER DATA'!C187="","",'MASTER DATA'!C187)</f>
        <v>Claims Analyst C</v>
      </c>
      <c r="D25" t="str">
        <f>IF('MASTER DATA'!D187="","",'MASTER DATA'!D187)</f>
        <v>Synthetic Policyholder 100, LLC</v>
      </c>
      <c r="E25" s="15">
        <f>IF('MASTER DATA'!E187="","",'MASTER DATA'!E187)</f>
        <v>45882</v>
      </c>
      <c r="F25" s="16" t="str">
        <f>IF('MASTER DATA'!F187="","",'MASTER DATA'!F187)</f>
        <v>Y</v>
      </c>
      <c r="G25" s="17">
        <f>IF('MASTER DATA'!G187="","",'MASTER DATA'!G187)</f>
        <v>105000</v>
      </c>
      <c r="H25" s="16" t="str">
        <f>IF('MASTER DATA'!H187="","",'MASTER DATA'!H187)</f>
        <v>Synthetic Approver 04</v>
      </c>
      <c r="I25" s="15">
        <f>IF('MASTER DATA'!I187="","",'MASTER DATA'!I187)</f>
        <v>47306</v>
      </c>
      <c r="J25" s="16" t="str">
        <f>IF('MASTER DATA'!J187="","",'MASTER DATA'!J187)</f>
        <v>N</v>
      </c>
      <c r="K25" s="15" t="str">
        <f>IF('MASTER DATA'!K187="","",'MASTER DATA'!K187)</f>
        <v/>
      </c>
      <c r="L25" s="16" t="str">
        <f>IF('MASTER DATA'!L187="","",'MASTER DATA'!L187)</f>
        <v>Y</v>
      </c>
      <c r="M25" s="16" t="str">
        <f>IF('MASTER DATA'!M187="","",'MASTER DATA'!M187)</f>
        <v>N</v>
      </c>
      <c r="N25" s="15" t="str">
        <f>IF('MASTER DATA'!N187="","",'MASTER DATA'!N187)</f>
        <v/>
      </c>
      <c r="O25" s="16" t="str">
        <f>IF('MASTER DATA'!O187="","",'MASTER DATA'!O187)</f>
        <v/>
      </c>
      <c r="P25" s="16" t="str">
        <f>IF('MASTER DATA'!P187="","",'MASTER DATA'!P187)</f>
        <v>N</v>
      </c>
      <c r="Q25" s="16" t="str">
        <f>IF('MASTER DATA'!Q187="","",'MASTER DATA'!Q187)</f>
        <v/>
      </c>
      <c r="R25" s="16" t="str">
        <f>IF('MASTER DATA'!R187="","",'MASTER DATA'!R187)</f>
        <v/>
      </c>
      <c r="S25" s="16" t="str">
        <f>IF('MASTER DATA'!S187="","",'MASTER DATA'!S187)</f>
        <v>N</v>
      </c>
      <c r="T25" s="15" t="str">
        <f>IF('MASTER DATA'!T187="","",'MASTER DATA'!T187)</f>
        <v/>
      </c>
      <c r="U25" s="16" t="str">
        <f>IF('MASTER DATA'!U187="","",'MASTER DATA'!U187)</f>
        <v>N</v>
      </c>
      <c r="V25" s="16" t="str">
        <f>IF('MASTER DATA'!V187="","",'MASTER DATA'!V187)</f>
        <v>N</v>
      </c>
      <c r="W25" s="16" t="str">
        <f>IF('MASTER DATA'!W187="","",'MASTER DATA'!W187)</f>
        <v>N</v>
      </c>
      <c r="X25" s="16" t="str">
        <f>IF('MASTER DATA'!X187="","",'MASTER DATA'!X187)</f>
        <v>N</v>
      </c>
      <c r="Y25" s="16" t="str">
        <f>IF('MASTER DATA'!Y187="","",'MASTER DATA'!Y187)</f>
        <v>N</v>
      </c>
      <c r="Z25" s="16" t="str">
        <f>IF('MASTER DATA'!Z187="","",'MASTER DATA'!Z187)</f>
        <v>N</v>
      </c>
      <c r="AA25" s="16">
        <f>IF('MASTER DATA'!AA187="","",'MASTER DATA'!AA187)</f>
        <v>1</v>
      </c>
      <c r="AB25" s="16" t="str">
        <f>IF('MASTER DATA'!AB187="","",'MASTER DATA'!AB187)</f>
        <v>SINGLE-SIGNAL</v>
      </c>
      <c r="AC25" s="16" t="str">
        <f>IF('MASTER DATA'!AC187="","",'MASTER DATA'!AC187)</f>
        <v>Settlement Authorization</v>
      </c>
    </row>
    <row r="26" spans="1:29" x14ac:dyDescent="0.45">
      <c r="A26" t="str">
        <f>IF('MASTER DATA'!A188="","",'MASTER DATA'!A188)</f>
        <v>SYN-CLM-0187</v>
      </c>
      <c r="B26" t="str">
        <f>IF('MASTER DATA'!B188="","",'MASTER DATA'!B188)</f>
        <v>Synthetic Claimant 0187</v>
      </c>
      <c r="C26" t="str">
        <f>IF('MASTER DATA'!C188="","",'MASTER DATA'!C188)</f>
        <v>Claims Analyst C</v>
      </c>
      <c r="D26" t="str">
        <f>IF('MASTER DATA'!D188="","",'MASTER DATA'!D188)</f>
        <v>Synthetic Policyholder 151, LLC</v>
      </c>
      <c r="E26" s="15">
        <f>IF('MASTER DATA'!E188="","",'MASTER DATA'!E188)</f>
        <v>43899</v>
      </c>
      <c r="F26" s="16" t="str">
        <f>IF('MASTER DATA'!F188="","",'MASTER DATA'!F188)</f>
        <v>Y</v>
      </c>
      <c r="G26" s="17">
        <f>IF('MASTER DATA'!G188="","",'MASTER DATA'!G188)</f>
        <v>64250</v>
      </c>
      <c r="H26" s="16" t="str">
        <f>IF('MASTER DATA'!H188="","",'MASTER DATA'!H188)</f>
        <v>Synthetic Approver 05</v>
      </c>
      <c r="I26" s="15">
        <f>IF('MASTER DATA'!I188="","",'MASTER DATA'!I188)</f>
        <v>45073</v>
      </c>
      <c r="J26" s="16" t="str">
        <f>IF('MASTER DATA'!J188="","",'MASTER DATA'!J188)</f>
        <v>N</v>
      </c>
      <c r="K26" s="15" t="str">
        <f>IF('MASTER DATA'!K188="","",'MASTER DATA'!K188)</f>
        <v/>
      </c>
      <c r="L26" s="16" t="str">
        <f>IF('MASTER DATA'!L188="","",'MASTER DATA'!L188)</f>
        <v>N</v>
      </c>
      <c r="M26" s="16" t="str">
        <f>IF('MASTER DATA'!M188="","",'MASTER DATA'!M188)</f>
        <v>N</v>
      </c>
      <c r="N26" s="15" t="str">
        <f>IF('MASTER DATA'!N188="","",'MASTER DATA'!N188)</f>
        <v/>
      </c>
      <c r="O26" s="16" t="str">
        <f>IF('MASTER DATA'!O188="","",'MASTER DATA'!O188)</f>
        <v/>
      </c>
      <c r="P26" s="16" t="str">
        <f>IF('MASTER DATA'!P188="","",'MASTER DATA'!P188)</f>
        <v>N</v>
      </c>
      <c r="Q26" s="16" t="str">
        <f>IF('MASTER DATA'!Q188="","",'MASTER DATA'!Q188)</f>
        <v/>
      </c>
      <c r="R26" s="16" t="str">
        <f>IF('MASTER DATA'!R188="","",'MASTER DATA'!R188)</f>
        <v/>
      </c>
      <c r="S26" s="16" t="str">
        <f>IF('MASTER DATA'!S188="","",'MASTER DATA'!S188)</f>
        <v>N</v>
      </c>
      <c r="T26" s="15" t="str">
        <f>IF('MASTER DATA'!T188="","",'MASTER DATA'!T188)</f>
        <v/>
      </c>
      <c r="U26" s="16" t="str">
        <f>IF('MASTER DATA'!U188="","",'MASTER DATA'!U188)</f>
        <v>N</v>
      </c>
      <c r="V26" s="16" t="str">
        <f>IF('MASTER DATA'!V188="","",'MASTER DATA'!V188)</f>
        <v>N</v>
      </c>
      <c r="W26" s="16" t="str">
        <f>IF('MASTER DATA'!W188="","",'MASTER DATA'!W188)</f>
        <v>N</v>
      </c>
      <c r="X26" s="16" t="str">
        <f>IF('MASTER DATA'!X188="","",'MASTER DATA'!X188)</f>
        <v>N</v>
      </c>
      <c r="Y26" s="16" t="str">
        <f>IF('MASTER DATA'!Y188="","",'MASTER DATA'!Y188)</f>
        <v>N</v>
      </c>
      <c r="Z26" s="16" t="str">
        <f>IF('MASTER DATA'!Z188="","",'MASTER DATA'!Z188)</f>
        <v>N</v>
      </c>
      <c r="AA26" s="16">
        <f>IF('MASTER DATA'!AA188="","",'MASTER DATA'!AA188)</f>
        <v>1</v>
      </c>
      <c r="AB26" s="16" t="str">
        <f>IF('MASTER DATA'!AB188="","",'MASTER DATA'!AB188)</f>
        <v>SINGLE-SIGNAL</v>
      </c>
      <c r="AC26" s="16" t="str">
        <f>IF('MASTER DATA'!AC188="","",'MASTER DATA'!AC188)</f>
        <v>Settlement Authorization</v>
      </c>
    </row>
    <row r="27" spans="1:29" x14ac:dyDescent="0.45">
      <c r="A27" t="str">
        <f>IF('MASTER DATA'!A189="","",'MASTER DATA'!A189)</f>
        <v>SYN-CLM-0188</v>
      </c>
      <c r="B27" t="str">
        <f>IF('MASTER DATA'!B189="","",'MASTER DATA'!B189)</f>
        <v>Synthetic Claimant 0188</v>
      </c>
      <c r="C27" t="str">
        <f>IF('MASTER DATA'!C189="","",'MASTER DATA'!C189)</f>
        <v>Claims Analyst C</v>
      </c>
      <c r="D27" t="str">
        <f>IF('MASTER DATA'!D189="","",'MASTER DATA'!D189)</f>
        <v>Synthetic Policyholder 148, LLC</v>
      </c>
      <c r="E27" s="15">
        <f>IF('MASTER DATA'!E189="","",'MASTER DATA'!E189)</f>
        <v>43944</v>
      </c>
      <c r="F27" s="16" t="str">
        <f>IF('MASTER DATA'!F189="","",'MASTER DATA'!F189)</f>
        <v>N</v>
      </c>
      <c r="G27" s="17" t="str">
        <f>IF('MASTER DATA'!G189="","",'MASTER DATA'!G189)</f>
        <v/>
      </c>
      <c r="H27" s="16" t="str">
        <f>IF('MASTER DATA'!H189="","",'MASTER DATA'!H189)</f>
        <v/>
      </c>
      <c r="I27" s="15" t="str">
        <f>IF('MASTER DATA'!I189="","",'MASTER DATA'!I189)</f>
        <v/>
      </c>
      <c r="J27" s="16" t="str">
        <f>IF('MASTER DATA'!J189="","",'MASTER DATA'!J189)</f>
        <v>N</v>
      </c>
      <c r="K27" s="15" t="str">
        <f>IF('MASTER DATA'!K189="","",'MASTER DATA'!K189)</f>
        <v/>
      </c>
      <c r="L27" s="16" t="str">
        <f>IF('MASTER DATA'!L189="","",'MASTER DATA'!L189)</f>
        <v/>
      </c>
      <c r="M27" s="16" t="str">
        <f>IF('MASTER DATA'!M189="","",'MASTER DATA'!M189)</f>
        <v>N</v>
      </c>
      <c r="N27" s="15" t="str">
        <f>IF('MASTER DATA'!N189="","",'MASTER DATA'!N189)</f>
        <v/>
      </c>
      <c r="O27" s="16" t="str">
        <f>IF('MASTER DATA'!O189="","",'MASTER DATA'!O189)</f>
        <v/>
      </c>
      <c r="P27" s="16" t="str">
        <f>IF('MASTER DATA'!P189="","",'MASTER DATA'!P189)</f>
        <v>N</v>
      </c>
      <c r="Q27" s="16" t="str">
        <f>IF('MASTER DATA'!Q189="","",'MASTER DATA'!Q189)</f>
        <v/>
      </c>
      <c r="R27" s="16" t="str">
        <f>IF('MASTER DATA'!R189="","",'MASTER DATA'!R189)</f>
        <v/>
      </c>
      <c r="S27" s="16" t="str">
        <f>IF('MASTER DATA'!S189="","",'MASTER DATA'!S189)</f>
        <v>Y</v>
      </c>
      <c r="T27" s="15">
        <f>IF('MASTER DATA'!T189="","",'MASTER DATA'!T189)</f>
        <v>45982</v>
      </c>
      <c r="U27" s="16" t="str">
        <f>IF('MASTER DATA'!U189="","",'MASTER DATA'!U189)</f>
        <v>N</v>
      </c>
      <c r="V27" s="16" t="str">
        <f>IF('MASTER DATA'!V189="","",'MASTER DATA'!V189)</f>
        <v>N</v>
      </c>
      <c r="W27" s="16" t="str">
        <f>IF('MASTER DATA'!W189="","",'MASTER DATA'!W189)</f>
        <v>N</v>
      </c>
      <c r="X27" s="16" t="str">
        <f>IF('MASTER DATA'!X189="","",'MASTER DATA'!X189)</f>
        <v>N</v>
      </c>
      <c r="Y27" s="16" t="str">
        <f>IF('MASTER DATA'!Y189="","",'MASTER DATA'!Y189)</f>
        <v>N</v>
      </c>
      <c r="Z27" s="16" t="str">
        <f>IF('MASTER DATA'!Z189="","",'MASTER DATA'!Z189)</f>
        <v>N</v>
      </c>
      <c r="AA27" s="16">
        <f>IF('MASTER DATA'!AA189="","",'MASTER DATA'!AA189)</f>
        <v>1</v>
      </c>
      <c r="AB27" s="16" t="str">
        <f>IF('MASTER DATA'!AB189="","",'MASTER DATA'!AB189)</f>
        <v>SINGLE-SIGNAL</v>
      </c>
      <c r="AC27" s="16" t="str">
        <f>IF('MASTER DATA'!AC189="","",'MASTER DATA'!AC189)</f>
        <v>Inactive Customer</v>
      </c>
    </row>
    <row r="28" spans="1:29" x14ac:dyDescent="0.45">
      <c r="A28" t="str">
        <f>IF('MASTER DATA'!A190="","",'MASTER DATA'!A190)</f>
        <v>SYN-CLM-0189</v>
      </c>
      <c r="B28" t="str">
        <f>IF('MASTER DATA'!B190="","",'MASTER DATA'!B190)</f>
        <v>Synthetic Claimant 0189</v>
      </c>
      <c r="C28" t="str">
        <f>IF('MASTER DATA'!C190="","",'MASTER DATA'!C190)</f>
        <v>Claims Analyst C</v>
      </c>
      <c r="D28" t="str">
        <f>IF('MASTER DATA'!D190="","",'MASTER DATA'!D190)</f>
        <v>Synthetic Policyholder 132, LLC</v>
      </c>
      <c r="E28" s="15">
        <f>IF('MASTER DATA'!E190="","",'MASTER DATA'!E190)</f>
        <v>43827</v>
      </c>
      <c r="F28" s="16" t="str">
        <f>IF('MASTER DATA'!F190="","",'MASTER DATA'!F190)</f>
        <v>N</v>
      </c>
      <c r="G28" s="17" t="str">
        <f>IF('MASTER DATA'!G190="","",'MASTER DATA'!G190)</f>
        <v/>
      </c>
      <c r="H28" s="16" t="str">
        <f>IF('MASTER DATA'!H190="","",'MASTER DATA'!H190)</f>
        <v/>
      </c>
      <c r="I28" s="15" t="str">
        <f>IF('MASTER DATA'!I190="","",'MASTER DATA'!I190)</f>
        <v/>
      </c>
      <c r="J28" s="16" t="str">
        <f>IF('MASTER DATA'!J190="","",'MASTER DATA'!J190)</f>
        <v>N</v>
      </c>
      <c r="K28" s="15" t="str">
        <f>IF('MASTER DATA'!K190="","",'MASTER DATA'!K190)</f>
        <v/>
      </c>
      <c r="L28" s="16" t="str">
        <f>IF('MASTER DATA'!L190="","",'MASTER DATA'!L190)</f>
        <v/>
      </c>
      <c r="M28" s="16" t="str">
        <f>IF('MASTER DATA'!M190="","",'MASTER DATA'!M190)</f>
        <v>N</v>
      </c>
      <c r="N28" s="15" t="str">
        <f>IF('MASTER DATA'!N190="","",'MASTER DATA'!N190)</f>
        <v/>
      </c>
      <c r="O28" s="16" t="str">
        <f>IF('MASTER DATA'!O190="","",'MASTER DATA'!O190)</f>
        <v/>
      </c>
      <c r="P28" s="16" t="str">
        <f>IF('MASTER DATA'!P190="","",'MASTER DATA'!P190)</f>
        <v>Y</v>
      </c>
      <c r="Q28" s="16" t="str">
        <f>IF('MASTER DATA'!Q190="","",'MASTER DATA'!Q190)</f>
        <v>MSA Eligible in Next 3 Years</v>
      </c>
      <c r="R28" s="16" t="str">
        <f>IF('MASTER DATA'!R190="","",'MASTER DATA'!R190)</f>
        <v>Denied Treatment Requests</v>
      </c>
      <c r="S28" s="16" t="str">
        <f>IF('MASTER DATA'!S190="","",'MASTER DATA'!S190)</f>
        <v>N</v>
      </c>
      <c r="T28" s="15" t="str">
        <f>IF('MASTER DATA'!T190="","",'MASTER DATA'!T190)</f>
        <v/>
      </c>
      <c r="U28" s="16" t="str">
        <f>IF('MASTER DATA'!U190="","",'MASTER DATA'!U190)</f>
        <v>N</v>
      </c>
      <c r="V28" s="16" t="str">
        <f>IF('MASTER DATA'!V190="","",'MASTER DATA'!V190)</f>
        <v>N</v>
      </c>
      <c r="W28" s="16" t="str">
        <f>IF('MASTER DATA'!W190="","",'MASTER DATA'!W190)</f>
        <v>Y</v>
      </c>
      <c r="X28" s="16" t="str">
        <f>IF('MASTER DATA'!X190="","",'MASTER DATA'!X190)</f>
        <v>N</v>
      </c>
      <c r="Y28" s="16" t="str">
        <f>IF('MASTER DATA'!Y190="","",'MASTER DATA'!Y190)</f>
        <v>N</v>
      </c>
      <c r="Z28" s="16" t="str">
        <f>IF('MASTER DATA'!Z190="","",'MASTER DATA'!Z190)</f>
        <v>Y</v>
      </c>
      <c r="AA28" s="16">
        <f>IF('MASTER DATA'!AA190="","",'MASTER DATA'!AA190)</f>
        <v>1</v>
      </c>
      <c r="AB28" s="16" t="str">
        <f>IF('MASTER DATA'!AB190="","",'MASTER DATA'!AB190)</f>
        <v>SINGLE-SIGNAL</v>
      </c>
      <c r="AC28" s="16" t="str">
        <f>IF('MASTER DATA'!AC190="","",'MASTER DATA'!AC190)</f>
        <v>Automated Claim Alert</v>
      </c>
    </row>
    <row r="29" spans="1:29" x14ac:dyDescent="0.45">
      <c r="A29" t="str">
        <f>IF('MASTER DATA'!A191="","",'MASTER DATA'!A191)</f>
        <v>SYN-CLM-0190</v>
      </c>
      <c r="B29" t="str">
        <f>IF('MASTER DATA'!B191="","",'MASTER DATA'!B191)</f>
        <v>Synthetic Claimant 0190</v>
      </c>
      <c r="C29" t="str">
        <f>IF('MASTER DATA'!C191="","",'MASTER DATA'!C191)</f>
        <v>Claims Analyst C</v>
      </c>
      <c r="D29" t="str">
        <f>IF('MASTER DATA'!D191="","",'MASTER DATA'!D191)</f>
        <v>Synthetic Policyholder 137, LLC</v>
      </c>
      <c r="E29" s="15">
        <f>IF('MASTER DATA'!E191="","",'MASTER DATA'!E191)</f>
        <v>44453</v>
      </c>
      <c r="F29" s="16" t="str">
        <f>IF('MASTER DATA'!F191="","",'MASTER DATA'!F191)</f>
        <v>Y</v>
      </c>
      <c r="G29" s="17">
        <f>IF('MASTER DATA'!G191="","",'MASTER DATA'!G191)</f>
        <v>114250</v>
      </c>
      <c r="H29" s="16" t="str">
        <f>IF('MASTER DATA'!H191="","",'MASTER DATA'!H191)</f>
        <v>Synthetic Approver 01</v>
      </c>
      <c r="I29" s="15">
        <f>IF('MASTER DATA'!I191="","",'MASTER DATA'!I191)</f>
        <v>45138</v>
      </c>
      <c r="J29" s="16" t="str">
        <f>IF('MASTER DATA'!J191="","",'MASTER DATA'!J191)</f>
        <v>N</v>
      </c>
      <c r="K29" s="15" t="str">
        <f>IF('MASTER DATA'!K191="","",'MASTER DATA'!K191)</f>
        <v/>
      </c>
      <c r="L29" s="16" t="str">
        <f>IF('MASTER DATA'!L191="","",'MASTER DATA'!L191)</f>
        <v>Y</v>
      </c>
      <c r="M29" s="16" t="str">
        <f>IF('MASTER DATA'!M191="","",'MASTER DATA'!M191)</f>
        <v>N</v>
      </c>
      <c r="N29" s="15" t="str">
        <f>IF('MASTER DATA'!N191="","",'MASTER DATA'!N191)</f>
        <v/>
      </c>
      <c r="O29" s="16" t="str">
        <f>IF('MASTER DATA'!O191="","",'MASTER DATA'!O191)</f>
        <v/>
      </c>
      <c r="P29" s="16" t="str">
        <f>IF('MASTER DATA'!P191="","",'MASTER DATA'!P191)</f>
        <v>N</v>
      </c>
      <c r="Q29" s="16" t="str">
        <f>IF('MASTER DATA'!Q191="","",'MASTER DATA'!Q191)</f>
        <v/>
      </c>
      <c r="R29" s="16" t="str">
        <f>IF('MASTER DATA'!R191="","",'MASTER DATA'!R191)</f>
        <v/>
      </c>
      <c r="S29" s="16" t="str">
        <f>IF('MASTER DATA'!S191="","",'MASTER DATA'!S191)</f>
        <v>N</v>
      </c>
      <c r="T29" s="15" t="str">
        <f>IF('MASTER DATA'!T191="","",'MASTER DATA'!T191)</f>
        <v/>
      </c>
      <c r="U29" s="16" t="str">
        <f>IF('MASTER DATA'!U191="","",'MASTER DATA'!U191)</f>
        <v>N</v>
      </c>
      <c r="V29" s="16" t="str">
        <f>IF('MASTER DATA'!V191="","",'MASTER DATA'!V191)</f>
        <v>N</v>
      </c>
      <c r="W29" s="16" t="str">
        <f>IF('MASTER DATA'!W191="","",'MASTER DATA'!W191)</f>
        <v>N</v>
      </c>
      <c r="X29" s="16" t="str">
        <f>IF('MASTER DATA'!X191="","",'MASTER DATA'!X191)</f>
        <v>N</v>
      </c>
      <c r="Y29" s="16" t="str">
        <f>IF('MASTER DATA'!Y191="","",'MASTER DATA'!Y191)</f>
        <v>N</v>
      </c>
      <c r="Z29" s="16" t="str">
        <f>IF('MASTER DATA'!Z191="","",'MASTER DATA'!Z191)</f>
        <v>N</v>
      </c>
      <c r="AA29" s="16">
        <f>IF('MASTER DATA'!AA191="","",'MASTER DATA'!AA191)</f>
        <v>1</v>
      </c>
      <c r="AB29" s="16" t="str">
        <f>IF('MASTER DATA'!AB191="","",'MASTER DATA'!AB191)</f>
        <v>SINGLE-SIGNAL</v>
      </c>
      <c r="AC29" s="16" t="str">
        <f>IF('MASTER DATA'!AC191="","",'MASTER DATA'!AC191)</f>
        <v>Settlement Authorization</v>
      </c>
    </row>
    <row r="30" spans="1:29" x14ac:dyDescent="0.45">
      <c r="A30" t="str">
        <f>IF('MASTER DATA'!A192="","",'MASTER DATA'!A192)</f>
        <v>SYN-CLM-0191</v>
      </c>
      <c r="B30" t="str">
        <f>IF('MASTER DATA'!B192="","",'MASTER DATA'!B192)</f>
        <v>Synthetic Claimant 0191</v>
      </c>
      <c r="C30" t="str">
        <f>IF('MASTER DATA'!C192="","",'MASTER DATA'!C192)</f>
        <v>Claims Analyst C</v>
      </c>
      <c r="D30" t="str">
        <f>IF('MASTER DATA'!D192="","",'MASTER DATA'!D192)</f>
        <v>Synthetic Policyholder 056, LLC</v>
      </c>
      <c r="E30" s="15">
        <f>IF('MASTER DATA'!E192="","",'MASTER DATA'!E192)</f>
        <v>44916</v>
      </c>
      <c r="F30" s="16" t="str">
        <f>IF('MASTER DATA'!F192="","",'MASTER DATA'!F192)</f>
        <v>Y</v>
      </c>
      <c r="G30" s="17">
        <f>IF('MASTER DATA'!G192="","",'MASTER DATA'!G192)</f>
        <v>53750</v>
      </c>
      <c r="H30" s="16" t="str">
        <f>IF('MASTER DATA'!H192="","",'MASTER DATA'!H192)</f>
        <v>Synthetic Approver 12</v>
      </c>
      <c r="I30" s="15">
        <f>IF('MASTER DATA'!I192="","",'MASTER DATA'!I192)</f>
        <v>45053</v>
      </c>
      <c r="J30" s="16" t="str">
        <f>IF('MASTER DATA'!J192="","",'MASTER DATA'!J192)</f>
        <v>Y</v>
      </c>
      <c r="K30" s="15">
        <f>IF('MASTER DATA'!K192="","",'MASTER DATA'!K192)</f>
        <v>46128</v>
      </c>
      <c r="L30" s="16" t="str">
        <f>IF('MASTER DATA'!L192="","",'MASTER DATA'!L192)</f>
        <v>Y</v>
      </c>
      <c r="M30" s="16" t="str">
        <f>IF('MASTER DATA'!M192="","",'MASTER DATA'!M192)</f>
        <v>N</v>
      </c>
      <c r="N30" s="15" t="str">
        <f>IF('MASTER DATA'!N192="","",'MASTER DATA'!N192)</f>
        <v/>
      </c>
      <c r="O30" s="16" t="str">
        <f>IF('MASTER DATA'!O192="","",'MASTER DATA'!O192)</f>
        <v/>
      </c>
      <c r="P30" s="16" t="str">
        <f>IF('MASTER DATA'!P192="","",'MASTER DATA'!P192)</f>
        <v>N</v>
      </c>
      <c r="Q30" s="16" t="str">
        <f>IF('MASTER DATA'!Q192="","",'MASTER DATA'!Q192)</f>
        <v/>
      </c>
      <c r="R30" s="16" t="str">
        <f>IF('MASTER DATA'!R192="","",'MASTER DATA'!R192)</f>
        <v/>
      </c>
      <c r="S30" s="16" t="str">
        <f>IF('MASTER DATA'!S192="","",'MASTER DATA'!S192)</f>
        <v>Y</v>
      </c>
      <c r="T30" s="15">
        <f>IF('MASTER DATA'!T192="","",'MASTER DATA'!T192)</f>
        <v>45917</v>
      </c>
      <c r="U30" s="16" t="str">
        <f>IF('MASTER DATA'!U192="","",'MASTER DATA'!U192)</f>
        <v>N</v>
      </c>
      <c r="V30" s="16" t="str">
        <f>IF('MASTER DATA'!V192="","",'MASTER DATA'!V192)</f>
        <v>N</v>
      </c>
      <c r="W30" s="16" t="str">
        <f>IF('MASTER DATA'!W192="","",'MASTER DATA'!W192)</f>
        <v>N</v>
      </c>
      <c r="X30" s="16" t="str">
        <f>IF('MASTER DATA'!X192="","",'MASTER DATA'!X192)</f>
        <v>N</v>
      </c>
      <c r="Y30" s="16" t="str">
        <f>IF('MASTER DATA'!Y192="","",'MASTER DATA'!Y192)</f>
        <v>N</v>
      </c>
      <c r="Z30" s="16" t="str">
        <f>IF('MASTER DATA'!Z192="","",'MASTER DATA'!Z192)</f>
        <v>N</v>
      </c>
      <c r="AA30" s="16">
        <f>IF('MASTER DATA'!AA192="","",'MASTER DATA'!AA192)</f>
        <v>3</v>
      </c>
      <c r="AB30" s="16" t="str">
        <f>IF('MASTER DATA'!AB192="","",'MASTER DATA'!AB192)</f>
        <v>ELEVATED MULTI-SIGNAL</v>
      </c>
      <c r="AC30" s="16" t="str">
        <f>IF('MASTER DATA'!AC192="","",'MASTER DATA'!AC192)</f>
        <v>Settlement Authorization | Open Stipulation | Inactive Customer</v>
      </c>
    </row>
    <row r="31" spans="1:29" x14ac:dyDescent="0.45">
      <c r="A31" t="str">
        <f>IF('MASTER DATA'!A193="","",'MASTER DATA'!A193)</f>
        <v>SYN-CLM-0192</v>
      </c>
      <c r="B31" t="str">
        <f>IF('MASTER DATA'!B193="","",'MASTER DATA'!B193)</f>
        <v>Synthetic Claimant 0192</v>
      </c>
      <c r="C31" t="str">
        <f>IF('MASTER DATA'!C193="","",'MASTER DATA'!C193)</f>
        <v>Claims Analyst C</v>
      </c>
      <c r="D31" t="str">
        <f>IF('MASTER DATA'!D193="","",'MASTER DATA'!D193)</f>
        <v>Synthetic Policyholder 008, LLC</v>
      </c>
      <c r="E31" s="15">
        <f>IF('MASTER DATA'!E193="","",'MASTER DATA'!E193)</f>
        <v>43212</v>
      </c>
      <c r="F31" s="16" t="str">
        <f>IF('MASTER DATA'!F193="","",'MASTER DATA'!F193)</f>
        <v>Y</v>
      </c>
      <c r="G31" s="17">
        <f>IF('MASTER DATA'!G193="","",'MASTER DATA'!G193)</f>
        <v>126250</v>
      </c>
      <c r="H31" s="16" t="str">
        <f>IF('MASTER DATA'!H193="","",'MASTER DATA'!H193)</f>
        <v>Synthetic Approver 02</v>
      </c>
      <c r="I31" s="15">
        <f>IF('MASTER DATA'!I193="","",'MASTER DATA'!I193)</f>
        <v>43826</v>
      </c>
      <c r="J31" s="16" t="str">
        <f>IF('MASTER DATA'!J193="","",'MASTER DATA'!J193)</f>
        <v>N</v>
      </c>
      <c r="K31" s="15" t="str">
        <f>IF('MASTER DATA'!K193="","",'MASTER DATA'!K193)</f>
        <v/>
      </c>
      <c r="L31" s="16" t="str">
        <f>IF('MASTER DATA'!L193="","",'MASTER DATA'!L193)</f>
        <v>N</v>
      </c>
      <c r="M31" s="16" t="str">
        <f>IF('MASTER DATA'!M193="","",'MASTER DATA'!M193)</f>
        <v>Y</v>
      </c>
      <c r="N31" s="15">
        <f>IF('MASTER DATA'!N193="","",'MASTER DATA'!N193)</f>
        <v>45084</v>
      </c>
      <c r="O31" s="16" t="str">
        <f>IF('MASTER DATA'!O193="","",'MASTER DATA'!O193)</f>
        <v>Synthetic QME Evaluator 06</v>
      </c>
      <c r="P31" s="16" t="str">
        <f>IF('MASTER DATA'!P193="","",'MASTER DATA'!P193)</f>
        <v>N</v>
      </c>
      <c r="Q31" s="16" t="str">
        <f>IF('MASTER DATA'!Q193="","",'MASTER DATA'!Q193)</f>
        <v/>
      </c>
      <c r="R31" s="16" t="str">
        <f>IF('MASTER DATA'!R193="","",'MASTER DATA'!R193)</f>
        <v/>
      </c>
      <c r="S31" s="16" t="str">
        <f>IF('MASTER DATA'!S193="","",'MASTER DATA'!S193)</f>
        <v>N</v>
      </c>
      <c r="T31" s="15" t="str">
        <f>IF('MASTER DATA'!T193="","",'MASTER DATA'!T193)</f>
        <v/>
      </c>
      <c r="U31" s="16" t="str">
        <f>IF('MASTER DATA'!U193="","",'MASTER DATA'!U193)</f>
        <v>N</v>
      </c>
      <c r="V31" s="16" t="str">
        <f>IF('MASTER DATA'!V193="","",'MASTER DATA'!V193)</f>
        <v>N</v>
      </c>
      <c r="W31" s="16" t="str">
        <f>IF('MASTER DATA'!W193="","",'MASTER DATA'!W193)</f>
        <v>N</v>
      </c>
      <c r="X31" s="16" t="str">
        <f>IF('MASTER DATA'!X193="","",'MASTER DATA'!X193)</f>
        <v>N</v>
      </c>
      <c r="Y31" s="16" t="str">
        <f>IF('MASTER DATA'!Y193="","",'MASTER DATA'!Y193)</f>
        <v>N</v>
      </c>
      <c r="Z31" s="16" t="str">
        <f>IF('MASTER DATA'!Z193="","",'MASTER DATA'!Z193)</f>
        <v>N</v>
      </c>
      <c r="AA31" s="16">
        <f>IF('MASTER DATA'!AA193="","",'MASTER DATA'!AA193)</f>
        <v>2</v>
      </c>
      <c r="AB31" s="16" t="str">
        <f>IF('MASTER DATA'!AB193="","",'MASTER DATA'!AB193)</f>
        <v>MULTI-SIGNAL</v>
      </c>
      <c r="AC31" s="16" t="str">
        <f>IF('MASTER DATA'!AC193="","",'MASTER DATA'!AC193)</f>
        <v>Settlement Authorization | Pending QME</v>
      </c>
    </row>
    <row r="32" spans="1:29" x14ac:dyDescent="0.45">
      <c r="A32" t="str">
        <f>IF('MASTER DATA'!A194="","",'MASTER DATA'!A194)</f>
        <v>SYN-CLM-0193</v>
      </c>
      <c r="B32" t="str">
        <f>IF('MASTER DATA'!B194="","",'MASTER DATA'!B194)</f>
        <v>Synthetic Claimant 0193</v>
      </c>
      <c r="C32" t="str">
        <f>IF('MASTER DATA'!C194="","",'MASTER DATA'!C194)</f>
        <v>Claims Analyst C</v>
      </c>
      <c r="D32" t="str">
        <f>IF('MASTER DATA'!D194="","",'MASTER DATA'!D194)</f>
        <v>Synthetic Policyholder 051, LLC</v>
      </c>
      <c r="E32" s="15">
        <f>IF('MASTER DATA'!E194="","",'MASTER DATA'!E194)</f>
        <v>45068</v>
      </c>
      <c r="F32" s="16" t="str">
        <f>IF('MASTER DATA'!F194="","",'MASTER DATA'!F194)</f>
        <v>Y</v>
      </c>
      <c r="G32" s="17">
        <f>IF('MASTER DATA'!G194="","",'MASTER DATA'!G194)</f>
        <v>68250</v>
      </c>
      <c r="H32" s="16" t="str">
        <f>IF('MASTER DATA'!H194="","",'MASTER DATA'!H194)</f>
        <v>Synthetic Approver 10</v>
      </c>
      <c r="I32" s="15">
        <f>IF('MASTER DATA'!I194="","",'MASTER DATA'!I194)</f>
        <v>45749</v>
      </c>
      <c r="J32" s="16" t="str">
        <f>IF('MASTER DATA'!J194="","",'MASTER DATA'!J194)</f>
        <v>N</v>
      </c>
      <c r="K32" s="15" t="str">
        <f>IF('MASTER DATA'!K194="","",'MASTER DATA'!K194)</f>
        <v/>
      </c>
      <c r="L32" s="16" t="str">
        <f>IF('MASTER DATA'!L194="","",'MASTER DATA'!L194)</f>
        <v>Y</v>
      </c>
      <c r="M32" s="16" t="str">
        <f>IF('MASTER DATA'!M194="","",'MASTER DATA'!M194)</f>
        <v>N</v>
      </c>
      <c r="N32" s="15" t="str">
        <f>IF('MASTER DATA'!N194="","",'MASTER DATA'!N194)</f>
        <v/>
      </c>
      <c r="O32" s="16" t="str">
        <f>IF('MASTER DATA'!O194="","",'MASTER DATA'!O194)</f>
        <v/>
      </c>
      <c r="P32" s="16" t="str">
        <f>IF('MASTER DATA'!P194="","",'MASTER DATA'!P194)</f>
        <v>Y</v>
      </c>
      <c r="Q32" s="16" t="str">
        <f>IF('MASTER DATA'!Q194="","",'MASTER DATA'!Q194)</f>
        <v>Surgery Requested; Denied Treatment Requests; MMI Date Reported</v>
      </c>
      <c r="R32" s="16" t="str">
        <f>IF('MASTER DATA'!R194="","",'MASTER DATA'!R194)</f>
        <v>MSA Eligible in Next 3 Years</v>
      </c>
      <c r="S32" s="16" t="str">
        <f>IF('MASTER DATA'!S194="","",'MASTER DATA'!S194)</f>
        <v>N</v>
      </c>
      <c r="T32" s="15" t="str">
        <f>IF('MASTER DATA'!T194="","",'MASTER DATA'!T194)</f>
        <v/>
      </c>
      <c r="U32" s="16" t="str">
        <f>IF('MASTER DATA'!U194="","",'MASTER DATA'!U194)</f>
        <v>Y</v>
      </c>
      <c r="V32" s="16" t="str">
        <f>IF('MASTER DATA'!V194="","",'MASTER DATA'!V194)</f>
        <v>Y</v>
      </c>
      <c r="W32" s="16" t="str">
        <f>IF('MASTER DATA'!W194="","",'MASTER DATA'!W194)</f>
        <v>Y</v>
      </c>
      <c r="X32" s="16" t="str">
        <f>IF('MASTER DATA'!X194="","",'MASTER DATA'!X194)</f>
        <v>N</v>
      </c>
      <c r="Y32" s="16" t="str">
        <f>IF('MASTER DATA'!Y194="","",'MASTER DATA'!Y194)</f>
        <v>N</v>
      </c>
      <c r="Z32" s="16" t="str">
        <f>IF('MASTER DATA'!Z194="","",'MASTER DATA'!Z194)</f>
        <v>Y</v>
      </c>
      <c r="AA32" s="16">
        <f>IF('MASTER DATA'!AA194="","",'MASTER DATA'!AA194)</f>
        <v>2</v>
      </c>
      <c r="AB32" s="16" t="str">
        <f>IF('MASTER DATA'!AB194="","",'MASTER DATA'!AB194)</f>
        <v>MULTI-SIGNAL</v>
      </c>
      <c r="AC32" s="16" t="str">
        <f>IF('MASTER DATA'!AC194="","",'MASTER DATA'!AC194)</f>
        <v>Settlement Authorization | Automated Claim Alert</v>
      </c>
    </row>
    <row r="33" spans="1:29" x14ac:dyDescent="0.45">
      <c r="A33" t="str">
        <f>IF('MASTER DATA'!A195="","",'MASTER DATA'!A195)</f>
        <v>SYN-CLM-0194</v>
      </c>
      <c r="B33" t="str">
        <f>IF('MASTER DATA'!B195="","",'MASTER DATA'!B195)</f>
        <v>Synthetic Claimant 0194</v>
      </c>
      <c r="C33" t="str">
        <f>IF('MASTER DATA'!C195="","",'MASTER DATA'!C195)</f>
        <v>Claims Analyst C</v>
      </c>
      <c r="D33" t="str">
        <f>IF('MASTER DATA'!D195="","",'MASTER DATA'!D195)</f>
        <v>Synthetic Policyholder 047, LLC</v>
      </c>
      <c r="E33" s="15">
        <f>IF('MASTER DATA'!E195="","",'MASTER DATA'!E195)</f>
        <v>45174</v>
      </c>
      <c r="F33" s="16" t="str">
        <f>IF('MASTER DATA'!F195="","",'MASTER DATA'!F195)</f>
        <v>N</v>
      </c>
      <c r="G33" s="17" t="str">
        <f>IF('MASTER DATA'!G195="","",'MASTER DATA'!G195)</f>
        <v/>
      </c>
      <c r="H33" s="16" t="str">
        <f>IF('MASTER DATA'!H195="","",'MASTER DATA'!H195)</f>
        <v/>
      </c>
      <c r="I33" s="15" t="str">
        <f>IF('MASTER DATA'!I195="","",'MASTER DATA'!I195)</f>
        <v/>
      </c>
      <c r="J33" s="16" t="str">
        <f>IF('MASTER DATA'!J195="","",'MASTER DATA'!J195)</f>
        <v>N</v>
      </c>
      <c r="K33" s="15" t="str">
        <f>IF('MASTER DATA'!K195="","",'MASTER DATA'!K195)</f>
        <v/>
      </c>
      <c r="L33" s="16" t="str">
        <f>IF('MASTER DATA'!L195="","",'MASTER DATA'!L195)</f>
        <v/>
      </c>
      <c r="M33" s="16" t="str">
        <f>IF('MASTER DATA'!M195="","",'MASTER DATA'!M195)</f>
        <v>N</v>
      </c>
      <c r="N33" s="15" t="str">
        <f>IF('MASTER DATA'!N195="","",'MASTER DATA'!N195)</f>
        <v/>
      </c>
      <c r="O33" s="16" t="str">
        <f>IF('MASTER DATA'!O195="","",'MASTER DATA'!O195)</f>
        <v/>
      </c>
      <c r="P33" s="16" t="str">
        <f>IF('MASTER DATA'!P195="","",'MASTER DATA'!P195)</f>
        <v>N</v>
      </c>
      <c r="Q33" s="16" t="str">
        <f>IF('MASTER DATA'!Q195="","",'MASTER DATA'!Q195)</f>
        <v/>
      </c>
      <c r="R33" s="16" t="str">
        <f>IF('MASTER DATA'!R195="","",'MASTER DATA'!R195)</f>
        <v/>
      </c>
      <c r="S33" s="16" t="str">
        <f>IF('MASTER DATA'!S195="","",'MASTER DATA'!S195)</f>
        <v>Y</v>
      </c>
      <c r="T33" s="15">
        <f>IF('MASTER DATA'!T195="","",'MASTER DATA'!T195)</f>
        <v>45679</v>
      </c>
      <c r="U33" s="16" t="str">
        <f>IF('MASTER DATA'!U195="","",'MASTER DATA'!U195)</f>
        <v>N</v>
      </c>
      <c r="V33" s="16" t="str">
        <f>IF('MASTER DATA'!V195="","",'MASTER DATA'!V195)</f>
        <v>N</v>
      </c>
      <c r="W33" s="16" t="str">
        <f>IF('MASTER DATA'!W195="","",'MASTER DATA'!W195)</f>
        <v>N</v>
      </c>
      <c r="X33" s="16" t="str">
        <f>IF('MASTER DATA'!X195="","",'MASTER DATA'!X195)</f>
        <v>N</v>
      </c>
      <c r="Y33" s="16" t="str">
        <f>IF('MASTER DATA'!Y195="","",'MASTER DATA'!Y195)</f>
        <v>N</v>
      </c>
      <c r="Z33" s="16" t="str">
        <f>IF('MASTER DATA'!Z195="","",'MASTER DATA'!Z195)</f>
        <v>N</v>
      </c>
      <c r="AA33" s="16">
        <f>IF('MASTER DATA'!AA195="","",'MASTER DATA'!AA195)</f>
        <v>1</v>
      </c>
      <c r="AB33" s="16" t="str">
        <f>IF('MASTER DATA'!AB195="","",'MASTER DATA'!AB195)</f>
        <v>SINGLE-SIGNAL</v>
      </c>
      <c r="AC33" s="16" t="str">
        <f>IF('MASTER DATA'!AC195="","",'MASTER DATA'!AC195)</f>
        <v>Inactive Customer</v>
      </c>
    </row>
    <row r="34" spans="1:29" x14ac:dyDescent="0.45">
      <c r="A34" t="str">
        <f>IF('MASTER DATA'!A196="","",'MASTER DATA'!A196)</f>
        <v>SYN-CLM-0195</v>
      </c>
      <c r="B34" t="str">
        <f>IF('MASTER DATA'!B196="","",'MASTER DATA'!B196)</f>
        <v>Synthetic Claimant 0195</v>
      </c>
      <c r="C34" t="str">
        <f>IF('MASTER DATA'!C196="","",'MASTER DATA'!C196)</f>
        <v>Claims Analyst C</v>
      </c>
      <c r="D34" t="str">
        <f>IF('MASTER DATA'!D196="","",'MASTER DATA'!D196)</f>
        <v>Synthetic Policyholder 065, LLC</v>
      </c>
      <c r="E34" s="15">
        <f>IF('MASTER DATA'!E196="","",'MASTER DATA'!E196)</f>
        <v>45898</v>
      </c>
      <c r="F34" s="16" t="str">
        <f>IF('MASTER DATA'!F196="","",'MASTER DATA'!F196)</f>
        <v>N</v>
      </c>
      <c r="G34" s="17" t="str">
        <f>IF('MASTER DATA'!G196="","",'MASTER DATA'!G196)</f>
        <v/>
      </c>
      <c r="H34" s="16" t="str">
        <f>IF('MASTER DATA'!H196="","",'MASTER DATA'!H196)</f>
        <v/>
      </c>
      <c r="I34" s="15" t="str">
        <f>IF('MASTER DATA'!I196="","",'MASTER DATA'!I196)</f>
        <v/>
      </c>
      <c r="J34" s="16" t="str">
        <f>IF('MASTER DATA'!J196="","",'MASTER DATA'!J196)</f>
        <v>Y</v>
      </c>
      <c r="K34" s="15">
        <f>IF('MASTER DATA'!K196="","",'MASTER DATA'!K196)</f>
        <v>47133</v>
      </c>
      <c r="L34" s="16" t="str">
        <f>IF('MASTER DATA'!L196="","",'MASTER DATA'!L196)</f>
        <v>Y</v>
      </c>
      <c r="M34" s="16" t="str">
        <f>IF('MASTER DATA'!M196="","",'MASTER DATA'!M196)</f>
        <v>N</v>
      </c>
      <c r="N34" s="15" t="str">
        <f>IF('MASTER DATA'!N196="","",'MASTER DATA'!N196)</f>
        <v/>
      </c>
      <c r="O34" s="16" t="str">
        <f>IF('MASTER DATA'!O196="","",'MASTER DATA'!O196)</f>
        <v/>
      </c>
      <c r="P34" s="16" t="str">
        <f>IF('MASTER DATA'!P196="","",'MASTER DATA'!P196)</f>
        <v>N</v>
      </c>
      <c r="Q34" s="16" t="str">
        <f>IF('MASTER DATA'!Q196="","",'MASTER DATA'!Q196)</f>
        <v/>
      </c>
      <c r="R34" s="16" t="str">
        <f>IF('MASTER DATA'!R196="","",'MASTER DATA'!R196)</f>
        <v/>
      </c>
      <c r="S34" s="16" t="str">
        <f>IF('MASTER DATA'!S196="","",'MASTER DATA'!S196)</f>
        <v>N</v>
      </c>
      <c r="T34" s="15" t="str">
        <f>IF('MASTER DATA'!T196="","",'MASTER DATA'!T196)</f>
        <v/>
      </c>
      <c r="U34" s="16" t="str">
        <f>IF('MASTER DATA'!U196="","",'MASTER DATA'!U196)</f>
        <v>N</v>
      </c>
      <c r="V34" s="16" t="str">
        <f>IF('MASTER DATA'!V196="","",'MASTER DATA'!V196)</f>
        <v>N</v>
      </c>
      <c r="W34" s="16" t="str">
        <f>IF('MASTER DATA'!W196="","",'MASTER DATA'!W196)</f>
        <v>N</v>
      </c>
      <c r="X34" s="16" t="str">
        <f>IF('MASTER DATA'!X196="","",'MASTER DATA'!X196)</f>
        <v>N</v>
      </c>
      <c r="Y34" s="16" t="str">
        <f>IF('MASTER DATA'!Y196="","",'MASTER DATA'!Y196)</f>
        <v>N</v>
      </c>
      <c r="Z34" s="16" t="str">
        <f>IF('MASTER DATA'!Z196="","",'MASTER DATA'!Z196)</f>
        <v>N</v>
      </c>
      <c r="AA34" s="16">
        <f>IF('MASTER DATA'!AA196="","",'MASTER DATA'!AA196)</f>
        <v>1</v>
      </c>
      <c r="AB34" s="16" t="str">
        <f>IF('MASTER DATA'!AB196="","",'MASTER DATA'!AB196)</f>
        <v>SINGLE-SIGNAL</v>
      </c>
      <c r="AC34" s="16" t="str">
        <f>IF('MASTER DATA'!AC196="","",'MASTER DATA'!AC196)</f>
        <v>Open Stipulation</v>
      </c>
    </row>
    <row r="35" spans="1:29" x14ac:dyDescent="0.45">
      <c r="A35" t="str">
        <f>IF('MASTER DATA'!A197="","",'MASTER DATA'!A197)</f>
        <v>SYN-CLM-0196</v>
      </c>
      <c r="B35" t="str">
        <f>IF('MASTER DATA'!B197="","",'MASTER DATA'!B197)</f>
        <v>Synthetic Claimant 0196</v>
      </c>
      <c r="C35" t="str">
        <f>IF('MASTER DATA'!C197="","",'MASTER DATA'!C197)</f>
        <v>Claims Analyst C</v>
      </c>
      <c r="D35" t="str">
        <f>IF('MASTER DATA'!D197="","",'MASTER DATA'!D197)</f>
        <v>Synthetic Policyholder 067, LLC</v>
      </c>
      <c r="E35" s="15">
        <f>IF('MASTER DATA'!E197="","",'MASTER DATA'!E197)</f>
        <v>44141</v>
      </c>
      <c r="F35" s="16" t="str">
        <f>IF('MASTER DATA'!F197="","",'MASTER DATA'!F197)</f>
        <v>N</v>
      </c>
      <c r="G35" s="17" t="str">
        <f>IF('MASTER DATA'!G197="","",'MASTER DATA'!G197)</f>
        <v/>
      </c>
      <c r="H35" s="16" t="str">
        <f>IF('MASTER DATA'!H197="","",'MASTER DATA'!H197)</f>
        <v/>
      </c>
      <c r="I35" s="15" t="str">
        <f>IF('MASTER DATA'!I197="","",'MASTER DATA'!I197)</f>
        <v/>
      </c>
      <c r="J35" s="16" t="str">
        <f>IF('MASTER DATA'!J197="","",'MASTER DATA'!J197)</f>
        <v>N</v>
      </c>
      <c r="K35" s="15" t="str">
        <f>IF('MASTER DATA'!K197="","",'MASTER DATA'!K197)</f>
        <v/>
      </c>
      <c r="L35" s="16" t="str">
        <f>IF('MASTER DATA'!L197="","",'MASTER DATA'!L197)</f>
        <v/>
      </c>
      <c r="M35" s="16" t="str">
        <f>IF('MASTER DATA'!M197="","",'MASTER DATA'!M197)</f>
        <v>N</v>
      </c>
      <c r="N35" s="15" t="str">
        <f>IF('MASTER DATA'!N197="","",'MASTER DATA'!N197)</f>
        <v/>
      </c>
      <c r="O35" s="16" t="str">
        <f>IF('MASTER DATA'!O197="","",'MASTER DATA'!O197)</f>
        <v/>
      </c>
      <c r="P35" s="16" t="str">
        <f>IF('MASTER DATA'!P197="","",'MASTER DATA'!P197)</f>
        <v>Y</v>
      </c>
      <c r="Q35" s="16" t="str">
        <f>IF('MASTER DATA'!Q197="","",'MASTER DATA'!Q197)</f>
        <v>MSA Eligible in Next 3 Years</v>
      </c>
      <c r="R35" s="16" t="str">
        <f>IF('MASTER DATA'!R197="","",'MASTER DATA'!R197)</f>
        <v/>
      </c>
      <c r="S35" s="16" t="str">
        <f>IF('MASTER DATA'!S197="","",'MASTER DATA'!S197)</f>
        <v>N</v>
      </c>
      <c r="T35" s="15" t="str">
        <f>IF('MASTER DATA'!T197="","",'MASTER DATA'!T197)</f>
        <v/>
      </c>
      <c r="U35" s="16" t="str">
        <f>IF('MASTER DATA'!U197="","",'MASTER DATA'!U197)</f>
        <v>N</v>
      </c>
      <c r="V35" s="16" t="str">
        <f>IF('MASTER DATA'!V197="","",'MASTER DATA'!V197)</f>
        <v>N</v>
      </c>
      <c r="W35" s="16" t="str">
        <f>IF('MASTER DATA'!W197="","",'MASTER DATA'!W197)</f>
        <v>N</v>
      </c>
      <c r="X35" s="16" t="str">
        <f>IF('MASTER DATA'!X197="","",'MASTER DATA'!X197)</f>
        <v>N</v>
      </c>
      <c r="Y35" s="16" t="str">
        <f>IF('MASTER DATA'!Y197="","",'MASTER DATA'!Y197)</f>
        <v>N</v>
      </c>
      <c r="Z35" s="16" t="str">
        <f>IF('MASTER DATA'!Z197="","",'MASTER DATA'!Z197)</f>
        <v>Y</v>
      </c>
      <c r="AA35" s="16">
        <f>IF('MASTER DATA'!AA197="","",'MASTER DATA'!AA197)</f>
        <v>1</v>
      </c>
      <c r="AB35" s="16" t="str">
        <f>IF('MASTER DATA'!AB197="","",'MASTER DATA'!AB197)</f>
        <v>SINGLE-SIGNAL</v>
      </c>
      <c r="AC35" s="16" t="str">
        <f>IF('MASTER DATA'!AC197="","",'MASTER DATA'!AC197)</f>
        <v>Automated Claim Alert</v>
      </c>
    </row>
    <row r="36" spans="1:29" x14ac:dyDescent="0.45">
      <c r="A36" t="str">
        <f>IF('MASTER DATA'!A198="","",'MASTER DATA'!A198)</f>
        <v>SYN-CLM-0197</v>
      </c>
      <c r="B36" t="str">
        <f>IF('MASTER DATA'!B198="","",'MASTER DATA'!B198)</f>
        <v>Synthetic Claimant 0197</v>
      </c>
      <c r="C36" t="str">
        <f>IF('MASTER DATA'!C198="","",'MASTER DATA'!C198)</f>
        <v>Claims Analyst C</v>
      </c>
      <c r="D36" t="str">
        <f>IF('MASTER DATA'!D198="","",'MASTER DATA'!D198)</f>
        <v>Synthetic Policyholder 091, LLC</v>
      </c>
      <c r="E36" s="15">
        <f>IF('MASTER DATA'!E198="","",'MASTER DATA'!E198)</f>
        <v>43218</v>
      </c>
      <c r="F36" s="16" t="str">
        <f>IF('MASTER DATA'!F198="","",'MASTER DATA'!F198)</f>
        <v>N</v>
      </c>
      <c r="G36" s="17" t="str">
        <f>IF('MASTER DATA'!G198="","",'MASTER DATA'!G198)</f>
        <v/>
      </c>
      <c r="H36" s="16" t="str">
        <f>IF('MASTER DATA'!H198="","",'MASTER DATA'!H198)</f>
        <v/>
      </c>
      <c r="I36" s="15" t="str">
        <f>IF('MASTER DATA'!I198="","",'MASTER DATA'!I198)</f>
        <v/>
      </c>
      <c r="J36" s="16" t="str">
        <f>IF('MASTER DATA'!J198="","",'MASTER DATA'!J198)</f>
        <v>N</v>
      </c>
      <c r="K36" s="15" t="str">
        <f>IF('MASTER DATA'!K198="","",'MASTER DATA'!K198)</f>
        <v/>
      </c>
      <c r="L36" s="16" t="str">
        <f>IF('MASTER DATA'!L198="","",'MASTER DATA'!L198)</f>
        <v/>
      </c>
      <c r="M36" s="16" t="str">
        <f>IF('MASTER DATA'!M198="","",'MASTER DATA'!M198)</f>
        <v>N</v>
      </c>
      <c r="N36" s="15" t="str">
        <f>IF('MASTER DATA'!N198="","",'MASTER DATA'!N198)</f>
        <v/>
      </c>
      <c r="O36" s="16" t="str">
        <f>IF('MASTER DATA'!O198="","",'MASTER DATA'!O198)</f>
        <v/>
      </c>
      <c r="P36" s="16" t="str">
        <f>IF('MASTER DATA'!P198="","",'MASTER DATA'!P198)</f>
        <v>Y</v>
      </c>
      <c r="Q36" s="16" t="str">
        <f>IF('MASTER DATA'!Q198="","",'MASTER DATA'!Q198)</f>
        <v>Denied Treatment Requests; Surgery Requested; MMI Date Reported</v>
      </c>
      <c r="R36" s="16" t="str">
        <f>IF('MASTER DATA'!R198="","",'MASTER DATA'!R198)</f>
        <v/>
      </c>
      <c r="S36" s="16" t="str">
        <f>IF('MASTER DATA'!S198="","",'MASTER DATA'!S198)</f>
        <v>Y</v>
      </c>
      <c r="T36" s="15">
        <f>IF('MASTER DATA'!T198="","",'MASTER DATA'!T198)</f>
        <v>43848</v>
      </c>
      <c r="U36" s="16" t="str">
        <f>IF('MASTER DATA'!U198="","",'MASTER DATA'!U198)</f>
        <v>Y</v>
      </c>
      <c r="V36" s="16" t="str">
        <f>IF('MASTER DATA'!V198="","",'MASTER DATA'!V198)</f>
        <v>Y</v>
      </c>
      <c r="W36" s="16" t="str">
        <f>IF('MASTER DATA'!W198="","",'MASTER DATA'!W198)</f>
        <v>Y</v>
      </c>
      <c r="X36" s="16" t="str">
        <f>IF('MASTER DATA'!X198="","",'MASTER DATA'!X198)</f>
        <v>N</v>
      </c>
      <c r="Y36" s="16" t="str">
        <f>IF('MASTER DATA'!Y198="","",'MASTER DATA'!Y198)</f>
        <v>N</v>
      </c>
      <c r="Z36" s="16" t="str">
        <f>IF('MASTER DATA'!Z198="","",'MASTER DATA'!Z198)</f>
        <v>N</v>
      </c>
      <c r="AA36" s="16">
        <f>IF('MASTER DATA'!AA198="","",'MASTER DATA'!AA198)</f>
        <v>2</v>
      </c>
      <c r="AB36" s="16" t="str">
        <f>IF('MASTER DATA'!AB198="","",'MASTER DATA'!AB198)</f>
        <v>MULTI-SIGNAL</v>
      </c>
      <c r="AC36" s="16" t="str">
        <f>IF('MASTER DATA'!AC198="","",'MASTER DATA'!AC198)</f>
        <v>Automated Claim Alert | Inactive Customer</v>
      </c>
    </row>
    <row r="37" spans="1:29" x14ac:dyDescent="0.45">
      <c r="A37" t="str">
        <f>IF('MASTER DATA'!A199="","",'MASTER DATA'!A199)</f>
        <v>SYN-CLM-0198</v>
      </c>
      <c r="B37" t="str">
        <f>IF('MASTER DATA'!B199="","",'MASTER DATA'!B199)</f>
        <v>Synthetic Claimant 0198</v>
      </c>
      <c r="C37" t="str">
        <f>IF('MASTER DATA'!C199="","",'MASTER DATA'!C199)</f>
        <v>Claims Analyst C</v>
      </c>
      <c r="D37" t="str">
        <f>IF('MASTER DATA'!D199="","",'MASTER DATA'!D199)</f>
        <v>Synthetic Policyholder 131, LLC</v>
      </c>
      <c r="E37" s="15">
        <f>IF('MASTER DATA'!E199="","",'MASTER DATA'!E199)</f>
        <v>44779</v>
      </c>
      <c r="F37" s="16" t="str">
        <f>IF('MASTER DATA'!F199="","",'MASTER DATA'!F199)</f>
        <v>Y</v>
      </c>
      <c r="G37" s="17">
        <f>IF('MASTER DATA'!G199="","",'MASTER DATA'!G199)</f>
        <v>115500</v>
      </c>
      <c r="H37" s="16" t="str">
        <f>IF('MASTER DATA'!H199="","",'MASTER DATA'!H199)</f>
        <v>Synthetic Approver 06</v>
      </c>
      <c r="I37" s="15">
        <f>IF('MASTER DATA'!I199="","",'MASTER DATA'!I199)</f>
        <v>45356</v>
      </c>
      <c r="J37" s="16" t="str">
        <f>IF('MASTER DATA'!J199="","",'MASTER DATA'!J199)</f>
        <v>Y</v>
      </c>
      <c r="K37" s="15">
        <f>IF('MASTER DATA'!K199="","",'MASTER DATA'!K199)</f>
        <v>45912</v>
      </c>
      <c r="L37" s="16" t="str">
        <f>IF('MASTER DATA'!L199="","",'MASTER DATA'!L199)</f>
        <v>Y</v>
      </c>
      <c r="M37" s="16" t="str">
        <f>IF('MASTER DATA'!M199="","",'MASTER DATA'!M199)</f>
        <v>N</v>
      </c>
      <c r="N37" s="15" t="str">
        <f>IF('MASTER DATA'!N199="","",'MASTER DATA'!N199)</f>
        <v/>
      </c>
      <c r="O37" s="16" t="str">
        <f>IF('MASTER DATA'!O199="","",'MASTER DATA'!O199)</f>
        <v/>
      </c>
      <c r="P37" s="16" t="str">
        <f>IF('MASTER DATA'!P199="","",'MASTER DATA'!P199)</f>
        <v>N</v>
      </c>
      <c r="Q37" s="16" t="str">
        <f>IF('MASTER DATA'!Q199="","",'MASTER DATA'!Q199)</f>
        <v/>
      </c>
      <c r="R37" s="16" t="str">
        <f>IF('MASTER DATA'!R199="","",'MASTER DATA'!R199)</f>
        <v/>
      </c>
      <c r="S37" s="16" t="str">
        <f>IF('MASTER DATA'!S199="","",'MASTER DATA'!S199)</f>
        <v>N</v>
      </c>
      <c r="T37" s="15" t="str">
        <f>IF('MASTER DATA'!T199="","",'MASTER DATA'!T199)</f>
        <v/>
      </c>
      <c r="U37" s="16" t="str">
        <f>IF('MASTER DATA'!U199="","",'MASTER DATA'!U199)</f>
        <v>N</v>
      </c>
      <c r="V37" s="16" t="str">
        <f>IF('MASTER DATA'!V199="","",'MASTER DATA'!V199)</f>
        <v>N</v>
      </c>
      <c r="W37" s="16" t="str">
        <f>IF('MASTER DATA'!W199="","",'MASTER DATA'!W199)</f>
        <v>N</v>
      </c>
      <c r="X37" s="16" t="str">
        <f>IF('MASTER DATA'!X199="","",'MASTER DATA'!X199)</f>
        <v>N</v>
      </c>
      <c r="Y37" s="16" t="str">
        <f>IF('MASTER DATA'!Y199="","",'MASTER DATA'!Y199)</f>
        <v>N</v>
      </c>
      <c r="Z37" s="16" t="str">
        <f>IF('MASTER DATA'!Z199="","",'MASTER DATA'!Z199)</f>
        <v>N</v>
      </c>
      <c r="AA37" s="16">
        <f>IF('MASTER DATA'!AA199="","",'MASTER DATA'!AA199)</f>
        <v>2</v>
      </c>
      <c r="AB37" s="16" t="str">
        <f>IF('MASTER DATA'!AB199="","",'MASTER DATA'!AB199)</f>
        <v>MULTI-SIGNAL</v>
      </c>
      <c r="AC37" s="16" t="str">
        <f>IF('MASTER DATA'!AC199="","",'MASTER DATA'!AC199)</f>
        <v>Settlement Authorization | Open Stipulation</v>
      </c>
    </row>
    <row r="38" spans="1:29" x14ac:dyDescent="0.45">
      <c r="A38" t="str">
        <f>IF('MASTER DATA'!A200="","",'MASTER DATA'!A200)</f>
        <v>SYN-CLM-0199</v>
      </c>
      <c r="B38" t="str">
        <f>IF('MASTER DATA'!B200="","",'MASTER DATA'!B200)</f>
        <v>Synthetic Claimant 0199</v>
      </c>
      <c r="C38" t="str">
        <f>IF('MASTER DATA'!C200="","",'MASTER DATA'!C200)</f>
        <v>Claims Analyst C</v>
      </c>
      <c r="D38" t="str">
        <f>IF('MASTER DATA'!D200="","",'MASTER DATA'!D200)</f>
        <v>Synthetic Policyholder 086, LLC</v>
      </c>
      <c r="E38" s="15">
        <f>IF('MASTER DATA'!E200="","",'MASTER DATA'!E200)</f>
        <v>45233</v>
      </c>
      <c r="F38" s="16" t="str">
        <f>IF('MASTER DATA'!F200="","",'MASTER DATA'!F200)</f>
        <v>Y</v>
      </c>
      <c r="G38" s="17">
        <f>IF('MASTER DATA'!G200="","",'MASTER DATA'!G200)</f>
        <v>166750</v>
      </c>
      <c r="H38" s="16" t="str">
        <f>IF('MASTER DATA'!H200="","",'MASTER DATA'!H200)</f>
        <v>Synthetic Approver 11</v>
      </c>
      <c r="I38" s="15">
        <f>IF('MASTER DATA'!I200="","",'MASTER DATA'!I200)</f>
        <v>46898</v>
      </c>
      <c r="J38" s="16" t="str">
        <f>IF('MASTER DATA'!J200="","",'MASTER DATA'!J200)</f>
        <v>N</v>
      </c>
      <c r="K38" s="15" t="str">
        <f>IF('MASTER DATA'!K200="","",'MASTER DATA'!K200)</f>
        <v/>
      </c>
      <c r="L38" s="16" t="str">
        <f>IF('MASTER DATA'!L200="","",'MASTER DATA'!L200)</f>
        <v>N</v>
      </c>
      <c r="M38" s="16" t="str">
        <f>IF('MASTER DATA'!M200="","",'MASTER DATA'!M200)</f>
        <v>Y</v>
      </c>
      <c r="N38" s="15">
        <f>IF('MASTER DATA'!N200="","",'MASTER DATA'!N200)</f>
        <v>46473</v>
      </c>
      <c r="O38" s="16" t="str">
        <f>IF('MASTER DATA'!O200="","",'MASTER DATA'!O200)</f>
        <v>Synthetic QME Evaluator 17</v>
      </c>
      <c r="P38" s="16" t="str">
        <f>IF('MASTER DATA'!P200="","",'MASTER DATA'!P200)</f>
        <v>N</v>
      </c>
      <c r="Q38" s="16" t="str">
        <f>IF('MASTER DATA'!Q200="","",'MASTER DATA'!Q200)</f>
        <v/>
      </c>
      <c r="R38" s="16" t="str">
        <f>IF('MASTER DATA'!R200="","",'MASTER DATA'!R200)</f>
        <v/>
      </c>
      <c r="S38" s="16" t="str">
        <f>IF('MASTER DATA'!S200="","",'MASTER DATA'!S200)</f>
        <v>Y</v>
      </c>
      <c r="T38" s="15">
        <f>IF('MASTER DATA'!T200="","",'MASTER DATA'!T200)</f>
        <v>46651</v>
      </c>
      <c r="U38" s="16" t="str">
        <f>IF('MASTER DATA'!U200="","",'MASTER DATA'!U200)</f>
        <v>N</v>
      </c>
      <c r="V38" s="16" t="str">
        <f>IF('MASTER DATA'!V200="","",'MASTER DATA'!V200)</f>
        <v>N</v>
      </c>
      <c r="W38" s="16" t="str">
        <f>IF('MASTER DATA'!W200="","",'MASTER DATA'!W200)</f>
        <v>N</v>
      </c>
      <c r="X38" s="16" t="str">
        <f>IF('MASTER DATA'!X200="","",'MASTER DATA'!X200)</f>
        <v>N</v>
      </c>
      <c r="Y38" s="16" t="str">
        <f>IF('MASTER DATA'!Y200="","",'MASTER DATA'!Y200)</f>
        <v>N</v>
      </c>
      <c r="Z38" s="16" t="str">
        <f>IF('MASTER DATA'!Z200="","",'MASTER DATA'!Z200)</f>
        <v>N</v>
      </c>
      <c r="AA38" s="16">
        <f>IF('MASTER DATA'!AA200="","",'MASTER DATA'!AA200)</f>
        <v>3</v>
      </c>
      <c r="AB38" s="16" t="str">
        <f>IF('MASTER DATA'!AB200="","",'MASTER DATA'!AB200)</f>
        <v>ELEVATED MULTI-SIGNAL</v>
      </c>
      <c r="AC38" s="16" t="str">
        <f>IF('MASTER DATA'!AC200="","",'MASTER DATA'!AC200)</f>
        <v>Settlement Authorization | Pending QME | Inactive Customer</v>
      </c>
    </row>
    <row r="39" spans="1:29" x14ac:dyDescent="0.45">
      <c r="A39" t="str">
        <f>IF('MASTER DATA'!A201="","",'MASTER DATA'!A201)</f>
        <v>SYN-CLM-0200</v>
      </c>
      <c r="B39" t="str">
        <f>IF('MASTER DATA'!B201="","",'MASTER DATA'!B201)</f>
        <v>Synthetic Claimant 0200</v>
      </c>
      <c r="C39" t="str">
        <f>IF('MASTER DATA'!C201="","",'MASTER DATA'!C201)</f>
        <v>Claims Analyst C</v>
      </c>
      <c r="D39" t="str">
        <f>IF('MASTER DATA'!D201="","",'MASTER DATA'!D201)</f>
        <v>Synthetic Policyholder 078, LLC</v>
      </c>
      <c r="E39" s="15">
        <f>IF('MASTER DATA'!E201="","",'MASTER DATA'!E201)</f>
        <v>44518</v>
      </c>
      <c r="F39" s="16" t="str">
        <f>IF('MASTER DATA'!F201="","",'MASTER DATA'!F201)</f>
        <v>Y</v>
      </c>
      <c r="G39" s="17">
        <f>IF('MASTER DATA'!G201="","",'MASTER DATA'!G201)</f>
        <v>50500</v>
      </c>
      <c r="H39" s="16" t="str">
        <f>IF('MASTER DATA'!H201="","",'MASTER DATA'!H201)</f>
        <v>Synthetic Approver 07</v>
      </c>
      <c r="I39" s="15">
        <f>IF('MASTER DATA'!I201="","",'MASTER DATA'!I201)</f>
        <v>46175</v>
      </c>
      <c r="J39" s="16" t="str">
        <f>IF('MASTER DATA'!J201="","",'MASTER DATA'!J201)</f>
        <v>N</v>
      </c>
      <c r="K39" s="15" t="str">
        <f>IF('MASTER DATA'!K201="","",'MASTER DATA'!K201)</f>
        <v/>
      </c>
      <c r="L39" s="16" t="str">
        <f>IF('MASTER DATA'!L201="","",'MASTER DATA'!L201)</f>
        <v>N</v>
      </c>
      <c r="M39" s="16" t="str">
        <f>IF('MASTER DATA'!M201="","",'MASTER DATA'!M201)</f>
        <v>N</v>
      </c>
      <c r="N39" s="15" t="str">
        <f>IF('MASTER DATA'!N201="","",'MASTER DATA'!N201)</f>
        <v/>
      </c>
      <c r="O39" s="16" t="str">
        <f>IF('MASTER DATA'!O201="","",'MASTER DATA'!O201)</f>
        <v/>
      </c>
      <c r="P39" s="16" t="str">
        <f>IF('MASTER DATA'!P201="","",'MASTER DATA'!P201)</f>
        <v>N</v>
      </c>
      <c r="Q39" s="16" t="str">
        <f>IF('MASTER DATA'!Q201="","",'MASTER DATA'!Q201)</f>
        <v/>
      </c>
      <c r="R39" s="16" t="str">
        <f>IF('MASTER DATA'!R201="","",'MASTER DATA'!R201)</f>
        <v/>
      </c>
      <c r="S39" s="16" t="str">
        <f>IF('MASTER DATA'!S201="","",'MASTER DATA'!S201)</f>
        <v>N</v>
      </c>
      <c r="T39" s="15" t="str">
        <f>IF('MASTER DATA'!T201="","",'MASTER DATA'!T201)</f>
        <v/>
      </c>
      <c r="U39" s="16" t="str">
        <f>IF('MASTER DATA'!U201="","",'MASTER DATA'!U201)</f>
        <v>N</v>
      </c>
      <c r="V39" s="16" t="str">
        <f>IF('MASTER DATA'!V201="","",'MASTER DATA'!V201)</f>
        <v>N</v>
      </c>
      <c r="W39" s="16" t="str">
        <f>IF('MASTER DATA'!W201="","",'MASTER DATA'!W201)</f>
        <v>N</v>
      </c>
      <c r="X39" s="16" t="str">
        <f>IF('MASTER DATA'!X201="","",'MASTER DATA'!X201)</f>
        <v>N</v>
      </c>
      <c r="Y39" s="16" t="str">
        <f>IF('MASTER DATA'!Y201="","",'MASTER DATA'!Y201)</f>
        <v>N</v>
      </c>
      <c r="Z39" s="16" t="str">
        <f>IF('MASTER DATA'!Z201="","",'MASTER DATA'!Z201)</f>
        <v>N</v>
      </c>
      <c r="AA39" s="16">
        <f>IF('MASTER DATA'!AA201="","",'MASTER DATA'!AA201)</f>
        <v>1</v>
      </c>
      <c r="AB39" s="16" t="str">
        <f>IF('MASTER DATA'!AB201="","",'MASTER DATA'!AB201)</f>
        <v>SINGLE-SIGNAL</v>
      </c>
      <c r="AC39" s="16" t="str">
        <f>IF('MASTER DATA'!AC201="","",'MASTER DATA'!AC201)</f>
        <v>Settlement Authorization</v>
      </c>
    </row>
    <row r="40" spans="1:29" x14ac:dyDescent="0.45">
      <c r="A40" t="str">
        <f>IF('MASTER DATA'!A202="","",'MASTER DATA'!A202)</f>
        <v>SYN-CLM-0201</v>
      </c>
      <c r="B40" t="str">
        <f>IF('MASTER DATA'!B202="","",'MASTER DATA'!B202)</f>
        <v>Synthetic Claimant 0201</v>
      </c>
      <c r="C40" t="str">
        <f>IF('MASTER DATA'!C202="","",'MASTER DATA'!C202)</f>
        <v>Claims Analyst C</v>
      </c>
      <c r="D40" t="str">
        <f>IF('MASTER DATA'!D202="","",'MASTER DATA'!D202)</f>
        <v>Synthetic Policyholder 007, LLC</v>
      </c>
      <c r="E40" s="15">
        <f>IF('MASTER DATA'!E202="","",'MASTER DATA'!E202)</f>
        <v>44588</v>
      </c>
      <c r="F40" s="16" t="str">
        <f>IF('MASTER DATA'!F202="","",'MASTER DATA'!F202)</f>
        <v>N</v>
      </c>
      <c r="G40" s="17" t="str">
        <f>IF('MASTER DATA'!G202="","",'MASTER DATA'!G202)</f>
        <v/>
      </c>
      <c r="H40" s="16" t="str">
        <f>IF('MASTER DATA'!H202="","",'MASTER DATA'!H202)</f>
        <v/>
      </c>
      <c r="I40" s="15" t="str">
        <f>IF('MASTER DATA'!I202="","",'MASTER DATA'!I202)</f>
        <v/>
      </c>
      <c r="J40" s="16" t="str">
        <f>IF('MASTER DATA'!J202="","",'MASTER DATA'!J202)</f>
        <v>N</v>
      </c>
      <c r="K40" s="15" t="str">
        <f>IF('MASTER DATA'!K202="","",'MASTER DATA'!K202)</f>
        <v/>
      </c>
      <c r="L40" s="16" t="str">
        <f>IF('MASTER DATA'!L202="","",'MASTER DATA'!L202)</f>
        <v/>
      </c>
      <c r="M40" s="16" t="str">
        <f>IF('MASTER DATA'!M202="","",'MASTER DATA'!M202)</f>
        <v>N</v>
      </c>
      <c r="N40" s="15" t="str">
        <f>IF('MASTER DATA'!N202="","",'MASTER DATA'!N202)</f>
        <v/>
      </c>
      <c r="O40" s="16" t="str">
        <f>IF('MASTER DATA'!O202="","",'MASTER DATA'!O202)</f>
        <v/>
      </c>
      <c r="P40" s="16" t="str">
        <f>IF('MASTER DATA'!P202="","",'MASTER DATA'!P202)</f>
        <v>N</v>
      </c>
      <c r="Q40" s="16" t="str">
        <f>IF('MASTER DATA'!Q202="","",'MASTER DATA'!Q202)</f>
        <v/>
      </c>
      <c r="R40" s="16" t="str">
        <f>IF('MASTER DATA'!R202="","",'MASTER DATA'!R202)</f>
        <v/>
      </c>
      <c r="S40" s="16" t="str">
        <f>IF('MASTER DATA'!S202="","",'MASTER DATA'!S202)</f>
        <v>Y</v>
      </c>
      <c r="T40" s="15">
        <f>IF('MASTER DATA'!T202="","",'MASTER DATA'!T202)</f>
        <v>45651</v>
      </c>
      <c r="U40" s="16" t="str">
        <f>IF('MASTER DATA'!U202="","",'MASTER DATA'!U202)</f>
        <v>N</v>
      </c>
      <c r="V40" s="16" t="str">
        <f>IF('MASTER DATA'!V202="","",'MASTER DATA'!V202)</f>
        <v>N</v>
      </c>
      <c r="W40" s="16" t="str">
        <f>IF('MASTER DATA'!W202="","",'MASTER DATA'!W202)</f>
        <v>N</v>
      </c>
      <c r="X40" s="16" t="str">
        <f>IF('MASTER DATA'!X202="","",'MASTER DATA'!X202)</f>
        <v>N</v>
      </c>
      <c r="Y40" s="16" t="str">
        <f>IF('MASTER DATA'!Y202="","",'MASTER DATA'!Y202)</f>
        <v>N</v>
      </c>
      <c r="Z40" s="16" t="str">
        <f>IF('MASTER DATA'!Z202="","",'MASTER DATA'!Z202)</f>
        <v>N</v>
      </c>
      <c r="AA40" s="16">
        <f>IF('MASTER DATA'!AA202="","",'MASTER DATA'!AA202)</f>
        <v>1</v>
      </c>
      <c r="AB40" s="16" t="str">
        <f>IF('MASTER DATA'!AB202="","",'MASTER DATA'!AB202)</f>
        <v>SINGLE-SIGNAL</v>
      </c>
      <c r="AC40" s="16" t="str">
        <f>IF('MASTER DATA'!AC202="","",'MASTER DATA'!AC202)</f>
        <v>Inactive Customer</v>
      </c>
    </row>
    <row r="41" spans="1:29" x14ac:dyDescent="0.45">
      <c r="A41" t="str">
        <f>IF('MASTER DATA'!A203="","",'MASTER DATA'!A203)</f>
        <v>SYN-CLM-0202</v>
      </c>
      <c r="B41" t="str">
        <f>IF('MASTER DATA'!B203="","",'MASTER DATA'!B203)</f>
        <v>Synthetic Claimant 0202</v>
      </c>
      <c r="C41" t="str">
        <f>IF('MASTER DATA'!C203="","",'MASTER DATA'!C203)</f>
        <v>Claims Analyst C</v>
      </c>
      <c r="D41" t="str">
        <f>IF('MASTER DATA'!D203="","",'MASTER DATA'!D203)</f>
        <v>Synthetic Policyholder 063, LLC</v>
      </c>
      <c r="E41" s="15">
        <f>IF('MASTER DATA'!E203="","",'MASTER DATA'!E203)</f>
        <v>43330</v>
      </c>
      <c r="F41" s="16" t="str">
        <f>IF('MASTER DATA'!F203="","",'MASTER DATA'!F203)</f>
        <v>Y</v>
      </c>
      <c r="G41" s="17">
        <f>IF('MASTER DATA'!G203="","",'MASTER DATA'!G203)</f>
        <v>1000</v>
      </c>
      <c r="H41" s="16" t="str">
        <f>IF('MASTER DATA'!H203="","",'MASTER DATA'!H203)</f>
        <v>Synthetic Approver 12</v>
      </c>
      <c r="I41" s="15">
        <f>IF('MASTER DATA'!I203="","",'MASTER DATA'!I203)</f>
        <v>44551</v>
      </c>
      <c r="J41" s="16" t="str">
        <f>IF('MASTER DATA'!J203="","",'MASTER DATA'!J203)</f>
        <v>N</v>
      </c>
      <c r="K41" s="15" t="str">
        <f>IF('MASTER DATA'!K203="","",'MASTER DATA'!K203)</f>
        <v/>
      </c>
      <c r="L41" s="16" t="str">
        <f>IF('MASTER DATA'!L203="","",'MASTER DATA'!L203)</f>
        <v>N</v>
      </c>
      <c r="M41" s="16" t="str">
        <f>IF('MASTER DATA'!M203="","",'MASTER DATA'!M203)</f>
        <v>N</v>
      </c>
      <c r="N41" s="15" t="str">
        <f>IF('MASTER DATA'!N203="","",'MASTER DATA'!N203)</f>
        <v/>
      </c>
      <c r="O41" s="16" t="str">
        <f>IF('MASTER DATA'!O203="","",'MASTER DATA'!O203)</f>
        <v/>
      </c>
      <c r="P41" s="16" t="str">
        <f>IF('MASTER DATA'!P203="","",'MASTER DATA'!P203)</f>
        <v>N</v>
      </c>
      <c r="Q41" s="16" t="str">
        <f>IF('MASTER DATA'!Q203="","",'MASTER DATA'!Q203)</f>
        <v/>
      </c>
      <c r="R41" s="16" t="str">
        <f>IF('MASTER DATA'!R203="","",'MASTER DATA'!R203)</f>
        <v/>
      </c>
      <c r="S41" s="16" t="str">
        <f>IF('MASTER DATA'!S203="","",'MASTER DATA'!S203)</f>
        <v>N</v>
      </c>
      <c r="T41" s="15" t="str">
        <f>IF('MASTER DATA'!T203="","",'MASTER DATA'!T203)</f>
        <v/>
      </c>
      <c r="U41" s="16" t="str">
        <f>IF('MASTER DATA'!U203="","",'MASTER DATA'!U203)</f>
        <v>N</v>
      </c>
      <c r="V41" s="16" t="str">
        <f>IF('MASTER DATA'!V203="","",'MASTER DATA'!V203)</f>
        <v>N</v>
      </c>
      <c r="W41" s="16" t="str">
        <f>IF('MASTER DATA'!W203="","",'MASTER DATA'!W203)</f>
        <v>N</v>
      </c>
      <c r="X41" s="16" t="str">
        <f>IF('MASTER DATA'!X203="","",'MASTER DATA'!X203)</f>
        <v>N</v>
      </c>
      <c r="Y41" s="16" t="str">
        <f>IF('MASTER DATA'!Y203="","",'MASTER DATA'!Y203)</f>
        <v>N</v>
      </c>
      <c r="Z41" s="16" t="str">
        <f>IF('MASTER DATA'!Z203="","",'MASTER DATA'!Z203)</f>
        <v>N</v>
      </c>
      <c r="AA41" s="16">
        <f>IF('MASTER DATA'!AA203="","",'MASTER DATA'!AA203)</f>
        <v>1</v>
      </c>
      <c r="AB41" s="16" t="str">
        <f>IF('MASTER DATA'!AB203="","",'MASTER DATA'!AB203)</f>
        <v>SINGLE-SIGNAL</v>
      </c>
      <c r="AC41" s="16" t="str">
        <f>IF('MASTER DATA'!AC203="","",'MASTER DATA'!AC203)</f>
        <v>Settlement Authorization</v>
      </c>
    </row>
    <row r="42" spans="1:29" x14ac:dyDescent="0.45">
      <c r="A42" t="str">
        <f>IF('MASTER DATA'!A204="","",'MASTER DATA'!A204)</f>
        <v>SYN-CLM-0203</v>
      </c>
      <c r="B42" t="str">
        <f>IF('MASTER DATA'!B204="","",'MASTER DATA'!B204)</f>
        <v>Synthetic Claimant 0203</v>
      </c>
      <c r="C42" t="str">
        <f>IF('MASTER DATA'!C204="","",'MASTER DATA'!C204)</f>
        <v>Claims Analyst C</v>
      </c>
      <c r="D42" t="str">
        <f>IF('MASTER DATA'!D204="","",'MASTER DATA'!D204)</f>
        <v>Synthetic Policyholder 162, LLC</v>
      </c>
      <c r="E42" s="15">
        <f>IF('MASTER DATA'!E204="","",'MASTER DATA'!E204)</f>
        <v>45584</v>
      </c>
      <c r="F42" s="16" t="str">
        <f>IF('MASTER DATA'!F204="","",'MASTER DATA'!F204)</f>
        <v>Y</v>
      </c>
      <c r="G42" s="17">
        <f>IF('MASTER DATA'!G204="","",'MASTER DATA'!G204)</f>
        <v>77250</v>
      </c>
      <c r="H42" s="16" t="str">
        <f>IF('MASTER DATA'!H204="","",'MASTER DATA'!H204)</f>
        <v>Synthetic Approver 10</v>
      </c>
      <c r="I42" s="15">
        <f>IF('MASTER DATA'!I204="","",'MASTER DATA'!I204)</f>
        <v>45703</v>
      </c>
      <c r="J42" s="16" t="str">
        <f>IF('MASTER DATA'!J204="","",'MASTER DATA'!J204)</f>
        <v>N</v>
      </c>
      <c r="K42" s="15" t="str">
        <f>IF('MASTER DATA'!K204="","",'MASTER DATA'!K204)</f>
        <v/>
      </c>
      <c r="L42" s="16" t="str">
        <f>IF('MASTER DATA'!L204="","",'MASTER DATA'!L204)</f>
        <v>Y</v>
      </c>
      <c r="M42" s="16" t="str">
        <f>IF('MASTER DATA'!M204="","",'MASTER DATA'!M204)</f>
        <v>N</v>
      </c>
      <c r="N42" s="15" t="str">
        <f>IF('MASTER DATA'!N204="","",'MASTER DATA'!N204)</f>
        <v/>
      </c>
      <c r="O42" s="16" t="str">
        <f>IF('MASTER DATA'!O204="","",'MASTER DATA'!O204)</f>
        <v/>
      </c>
      <c r="P42" s="16" t="str">
        <f>IF('MASTER DATA'!P204="","",'MASTER DATA'!P204)</f>
        <v>Y</v>
      </c>
      <c r="Q42" s="16" t="str">
        <f>IF('MASTER DATA'!Q204="","",'MASTER DATA'!Q204)</f>
        <v>Non-Renewed Account; MSA Eligible in Next 3 Years; Denied Treatment Requests</v>
      </c>
      <c r="R42" s="16" t="str">
        <f>IF('MASTER DATA'!R204="","",'MASTER DATA'!R204)</f>
        <v/>
      </c>
      <c r="S42" s="16" t="str">
        <f>IF('MASTER DATA'!S204="","",'MASTER DATA'!S204)</f>
        <v>N</v>
      </c>
      <c r="T42" s="15" t="str">
        <f>IF('MASTER DATA'!T204="","",'MASTER DATA'!T204)</f>
        <v/>
      </c>
      <c r="U42" s="16" t="str">
        <f>IF('MASTER DATA'!U204="","",'MASTER DATA'!U204)</f>
        <v>N</v>
      </c>
      <c r="V42" s="16" t="str">
        <f>IF('MASTER DATA'!V204="","",'MASTER DATA'!V204)</f>
        <v>N</v>
      </c>
      <c r="W42" s="16" t="str">
        <f>IF('MASTER DATA'!W204="","",'MASTER DATA'!W204)</f>
        <v>Y</v>
      </c>
      <c r="X42" s="16" t="str">
        <f>IF('MASTER DATA'!X204="","",'MASTER DATA'!X204)</f>
        <v>N</v>
      </c>
      <c r="Y42" s="16" t="str">
        <f>IF('MASTER DATA'!Y204="","",'MASTER DATA'!Y204)</f>
        <v>Y</v>
      </c>
      <c r="Z42" s="16" t="str">
        <f>IF('MASTER DATA'!Z204="","",'MASTER DATA'!Z204)</f>
        <v>Y</v>
      </c>
      <c r="AA42" s="16">
        <f>IF('MASTER DATA'!AA204="","",'MASTER DATA'!AA204)</f>
        <v>2</v>
      </c>
      <c r="AB42" s="16" t="str">
        <f>IF('MASTER DATA'!AB204="","",'MASTER DATA'!AB204)</f>
        <v>MULTI-SIGNAL</v>
      </c>
      <c r="AC42" s="16" t="str">
        <f>IF('MASTER DATA'!AC204="","",'MASTER DATA'!AC204)</f>
        <v>Settlement Authorization | Automated Claim Alert</v>
      </c>
    </row>
    <row r="43" spans="1:29" x14ac:dyDescent="0.45">
      <c r="A43" t="str">
        <f>IF('MASTER DATA'!A205="","",'MASTER DATA'!A205)</f>
        <v>SYN-CLM-0204</v>
      </c>
      <c r="B43" t="str">
        <f>IF('MASTER DATA'!B205="","",'MASTER DATA'!B205)</f>
        <v>Synthetic Claimant 0204</v>
      </c>
      <c r="C43" t="str">
        <f>IF('MASTER DATA'!C205="","",'MASTER DATA'!C205)</f>
        <v>Claims Analyst C</v>
      </c>
      <c r="D43" t="str">
        <f>IF('MASTER DATA'!D205="","",'MASTER DATA'!D205)</f>
        <v>Synthetic Policyholder 127, LLC</v>
      </c>
      <c r="E43" s="15">
        <f>IF('MASTER DATA'!E205="","",'MASTER DATA'!E205)</f>
        <v>45211</v>
      </c>
      <c r="F43" s="16" t="str">
        <f>IF('MASTER DATA'!F205="","",'MASTER DATA'!F205)</f>
        <v>Y</v>
      </c>
      <c r="G43" s="17">
        <f>IF('MASTER DATA'!G205="","",'MASTER DATA'!G205)</f>
        <v>138750</v>
      </c>
      <c r="H43" s="16" t="str">
        <f>IF('MASTER DATA'!H205="","",'MASTER DATA'!H205)</f>
        <v>Synthetic Approver 04</v>
      </c>
      <c r="I43" s="15">
        <f>IF('MASTER DATA'!I205="","",'MASTER DATA'!I205)</f>
        <v>46931</v>
      </c>
      <c r="J43" s="16" t="str">
        <f>IF('MASTER DATA'!J205="","",'MASTER DATA'!J205)</f>
        <v>Y</v>
      </c>
      <c r="K43" s="15">
        <f>IF('MASTER DATA'!K205="","",'MASTER DATA'!K205)</f>
        <v>46063</v>
      </c>
      <c r="L43" s="16" t="str">
        <f>IF('MASTER DATA'!L205="","",'MASTER DATA'!L205)</f>
        <v>N</v>
      </c>
      <c r="M43" s="16" t="str">
        <f>IF('MASTER DATA'!M205="","",'MASTER DATA'!M205)</f>
        <v>N</v>
      </c>
      <c r="N43" s="15" t="str">
        <f>IF('MASTER DATA'!N205="","",'MASTER DATA'!N205)</f>
        <v/>
      </c>
      <c r="O43" s="16" t="str">
        <f>IF('MASTER DATA'!O205="","",'MASTER DATA'!O205)</f>
        <v/>
      </c>
      <c r="P43" s="16" t="str">
        <f>IF('MASTER DATA'!P205="","",'MASTER DATA'!P205)</f>
        <v>N</v>
      </c>
      <c r="Q43" s="16" t="str">
        <f>IF('MASTER DATA'!Q205="","",'MASTER DATA'!Q205)</f>
        <v/>
      </c>
      <c r="R43" s="16" t="str">
        <f>IF('MASTER DATA'!R205="","",'MASTER DATA'!R205)</f>
        <v/>
      </c>
      <c r="S43" s="16" t="str">
        <f>IF('MASTER DATA'!S205="","",'MASTER DATA'!S205)</f>
        <v>Y</v>
      </c>
      <c r="T43" s="15">
        <f>IF('MASTER DATA'!T205="","",'MASTER DATA'!T205)</f>
        <v>47129</v>
      </c>
      <c r="U43" s="16" t="str">
        <f>IF('MASTER DATA'!U205="","",'MASTER DATA'!U205)</f>
        <v>N</v>
      </c>
      <c r="V43" s="16" t="str">
        <f>IF('MASTER DATA'!V205="","",'MASTER DATA'!V205)</f>
        <v>N</v>
      </c>
      <c r="W43" s="16" t="str">
        <f>IF('MASTER DATA'!W205="","",'MASTER DATA'!W205)</f>
        <v>N</v>
      </c>
      <c r="X43" s="16" t="str">
        <f>IF('MASTER DATA'!X205="","",'MASTER DATA'!X205)</f>
        <v>N</v>
      </c>
      <c r="Y43" s="16" t="str">
        <f>IF('MASTER DATA'!Y205="","",'MASTER DATA'!Y205)</f>
        <v>N</v>
      </c>
      <c r="Z43" s="16" t="str">
        <f>IF('MASTER DATA'!Z205="","",'MASTER DATA'!Z205)</f>
        <v>N</v>
      </c>
      <c r="AA43" s="16">
        <f>IF('MASTER DATA'!AA205="","",'MASTER DATA'!AA205)</f>
        <v>3</v>
      </c>
      <c r="AB43" s="16" t="str">
        <f>IF('MASTER DATA'!AB205="","",'MASTER DATA'!AB205)</f>
        <v>ELEVATED MULTI-SIGNAL</v>
      </c>
      <c r="AC43" s="16" t="str">
        <f>IF('MASTER DATA'!AC205="","",'MASTER DATA'!AC205)</f>
        <v>Settlement Authorization | Open Stipulation | Inactive Customer</v>
      </c>
    </row>
    <row r="44" spans="1:29" x14ac:dyDescent="0.45">
      <c r="A44" t="str">
        <f>IF('MASTER DATA'!A206="","",'MASTER DATA'!A206)</f>
        <v>SYN-CLM-0205</v>
      </c>
      <c r="B44" t="str">
        <f>IF('MASTER DATA'!B206="","",'MASTER DATA'!B206)</f>
        <v>Synthetic Claimant 0205</v>
      </c>
      <c r="C44" t="str">
        <f>IF('MASTER DATA'!C206="","",'MASTER DATA'!C206)</f>
        <v>Claims Analyst C</v>
      </c>
      <c r="D44" t="str">
        <f>IF('MASTER DATA'!D206="","",'MASTER DATA'!D206)</f>
        <v>Synthetic Policyholder 058, LLC</v>
      </c>
      <c r="E44" s="15">
        <f>IF('MASTER DATA'!E206="","",'MASTER DATA'!E206)</f>
        <v>43820</v>
      </c>
      <c r="F44" s="16" t="str">
        <f>IF('MASTER DATA'!F206="","",'MASTER DATA'!F206)</f>
        <v>Y</v>
      </c>
      <c r="G44" s="17">
        <f>IF('MASTER DATA'!G206="","",'MASTER DATA'!G206)</f>
        <v>8250</v>
      </c>
      <c r="H44" s="16" t="str">
        <f>IF('MASTER DATA'!H206="","",'MASTER DATA'!H206)</f>
        <v>Synthetic Approver 04</v>
      </c>
      <c r="I44" s="15">
        <f>IF('MASTER DATA'!I206="","",'MASTER DATA'!I206)</f>
        <v>45042</v>
      </c>
      <c r="J44" s="16" t="str">
        <f>IF('MASTER DATA'!J206="","",'MASTER DATA'!J206)</f>
        <v>N</v>
      </c>
      <c r="K44" s="15" t="str">
        <f>IF('MASTER DATA'!K206="","",'MASTER DATA'!K206)</f>
        <v/>
      </c>
      <c r="L44" s="16" t="str">
        <f>IF('MASTER DATA'!L206="","",'MASTER DATA'!L206)</f>
        <v>Y</v>
      </c>
      <c r="M44" s="16" t="str">
        <f>IF('MASTER DATA'!M206="","",'MASTER DATA'!M206)</f>
        <v>Y</v>
      </c>
      <c r="N44" s="15">
        <f>IF('MASTER DATA'!N206="","",'MASTER DATA'!N206)</f>
        <v>44346</v>
      </c>
      <c r="O44" s="16" t="str">
        <f>IF('MASTER DATA'!O206="","",'MASTER DATA'!O206)</f>
        <v>Synthetic QME Evaluator 32</v>
      </c>
      <c r="P44" s="16" t="str">
        <f>IF('MASTER DATA'!P206="","",'MASTER DATA'!P206)</f>
        <v>N</v>
      </c>
      <c r="Q44" s="16" t="str">
        <f>IF('MASTER DATA'!Q206="","",'MASTER DATA'!Q206)</f>
        <v/>
      </c>
      <c r="R44" s="16" t="str">
        <f>IF('MASTER DATA'!R206="","",'MASTER DATA'!R206)</f>
        <v/>
      </c>
      <c r="S44" s="16" t="str">
        <f>IF('MASTER DATA'!S206="","",'MASTER DATA'!S206)</f>
        <v>N</v>
      </c>
      <c r="T44" s="15" t="str">
        <f>IF('MASTER DATA'!T206="","",'MASTER DATA'!T206)</f>
        <v/>
      </c>
      <c r="U44" s="16" t="str">
        <f>IF('MASTER DATA'!U206="","",'MASTER DATA'!U206)</f>
        <v>N</v>
      </c>
      <c r="V44" s="16" t="str">
        <f>IF('MASTER DATA'!V206="","",'MASTER DATA'!V206)</f>
        <v>N</v>
      </c>
      <c r="W44" s="16" t="str">
        <f>IF('MASTER DATA'!W206="","",'MASTER DATA'!W206)</f>
        <v>N</v>
      </c>
      <c r="X44" s="16" t="str">
        <f>IF('MASTER DATA'!X206="","",'MASTER DATA'!X206)</f>
        <v>N</v>
      </c>
      <c r="Y44" s="16" t="str">
        <f>IF('MASTER DATA'!Y206="","",'MASTER DATA'!Y206)</f>
        <v>N</v>
      </c>
      <c r="Z44" s="16" t="str">
        <f>IF('MASTER DATA'!Z206="","",'MASTER DATA'!Z206)</f>
        <v>N</v>
      </c>
      <c r="AA44" s="16">
        <f>IF('MASTER DATA'!AA206="","",'MASTER DATA'!AA206)</f>
        <v>2</v>
      </c>
      <c r="AB44" s="16" t="str">
        <f>IF('MASTER DATA'!AB206="","",'MASTER DATA'!AB206)</f>
        <v>MULTI-SIGNAL</v>
      </c>
      <c r="AC44" s="16" t="str">
        <f>IF('MASTER DATA'!AC206="","",'MASTER DATA'!AC206)</f>
        <v>Settlement Authorization | Pending QME</v>
      </c>
    </row>
    <row r="45" spans="1:29" x14ac:dyDescent="0.45">
      <c r="A45" t="str">
        <f>IF('MASTER DATA'!A207="","",'MASTER DATA'!A207)</f>
        <v>SYN-CLM-0206</v>
      </c>
      <c r="B45" t="str">
        <f>IF('MASTER DATA'!B207="","",'MASTER DATA'!B207)</f>
        <v>Synthetic Claimant 0206</v>
      </c>
      <c r="C45" t="str">
        <f>IF('MASTER DATA'!C207="","",'MASTER DATA'!C207)</f>
        <v>Claims Analyst C</v>
      </c>
      <c r="D45" t="str">
        <f>IF('MASTER DATA'!D207="","",'MASTER DATA'!D207)</f>
        <v>Synthetic Policyholder 033, LLC</v>
      </c>
      <c r="E45" s="15">
        <f>IF('MASTER DATA'!E207="","",'MASTER DATA'!E207)</f>
        <v>45551</v>
      </c>
      <c r="F45" s="16" t="str">
        <f>IF('MASTER DATA'!F207="","",'MASTER DATA'!F207)</f>
        <v>N</v>
      </c>
      <c r="G45" s="17" t="str">
        <f>IF('MASTER DATA'!G207="","",'MASTER DATA'!G207)</f>
        <v/>
      </c>
      <c r="H45" s="16" t="str">
        <f>IF('MASTER DATA'!H207="","",'MASTER DATA'!H207)</f>
        <v/>
      </c>
      <c r="I45" s="15" t="str">
        <f>IF('MASTER DATA'!I207="","",'MASTER DATA'!I207)</f>
        <v/>
      </c>
      <c r="J45" s="16" t="str">
        <f>IF('MASTER DATA'!J207="","",'MASTER DATA'!J207)</f>
        <v>N</v>
      </c>
      <c r="K45" s="15" t="str">
        <f>IF('MASTER DATA'!K207="","",'MASTER DATA'!K207)</f>
        <v/>
      </c>
      <c r="L45" s="16" t="str">
        <f>IF('MASTER DATA'!L207="","",'MASTER DATA'!L207)</f>
        <v/>
      </c>
      <c r="M45" s="16" t="str">
        <f>IF('MASTER DATA'!M207="","",'MASTER DATA'!M207)</f>
        <v>N</v>
      </c>
      <c r="N45" s="15" t="str">
        <f>IF('MASTER DATA'!N207="","",'MASTER DATA'!N207)</f>
        <v/>
      </c>
      <c r="O45" s="16" t="str">
        <f>IF('MASTER DATA'!O207="","",'MASTER DATA'!O207)</f>
        <v/>
      </c>
      <c r="P45" s="16" t="str">
        <f>IF('MASTER DATA'!P207="","",'MASTER DATA'!P207)</f>
        <v>Y</v>
      </c>
      <c r="Q45" s="16" t="str">
        <f>IF('MASTER DATA'!Q207="","",'MASTER DATA'!Q207)</f>
        <v>Non-Renewed Account</v>
      </c>
      <c r="R45" s="16" t="str">
        <f>IF('MASTER DATA'!R207="","",'MASTER DATA'!R207)</f>
        <v/>
      </c>
      <c r="S45" s="16" t="str">
        <f>IF('MASTER DATA'!S207="","",'MASTER DATA'!S207)</f>
        <v>Y</v>
      </c>
      <c r="T45" s="15">
        <f>IF('MASTER DATA'!T207="","",'MASTER DATA'!T207)</f>
        <v>47698</v>
      </c>
      <c r="U45" s="16" t="str">
        <f>IF('MASTER DATA'!U207="","",'MASTER DATA'!U207)</f>
        <v>N</v>
      </c>
      <c r="V45" s="16" t="str">
        <f>IF('MASTER DATA'!V207="","",'MASTER DATA'!V207)</f>
        <v>N</v>
      </c>
      <c r="W45" s="16" t="str">
        <f>IF('MASTER DATA'!W207="","",'MASTER DATA'!W207)</f>
        <v>N</v>
      </c>
      <c r="X45" s="16" t="str">
        <f>IF('MASTER DATA'!X207="","",'MASTER DATA'!X207)</f>
        <v>N</v>
      </c>
      <c r="Y45" s="16" t="str">
        <f>IF('MASTER DATA'!Y207="","",'MASTER DATA'!Y207)</f>
        <v>Y</v>
      </c>
      <c r="Z45" s="16" t="str">
        <f>IF('MASTER DATA'!Z207="","",'MASTER DATA'!Z207)</f>
        <v>N</v>
      </c>
      <c r="AA45" s="16">
        <f>IF('MASTER DATA'!AA207="","",'MASTER DATA'!AA207)</f>
        <v>2</v>
      </c>
      <c r="AB45" s="16" t="str">
        <f>IF('MASTER DATA'!AB207="","",'MASTER DATA'!AB207)</f>
        <v>MULTI-SIGNAL</v>
      </c>
      <c r="AC45" s="16" t="str">
        <f>IF('MASTER DATA'!AC207="","",'MASTER DATA'!AC207)</f>
        <v>Automated Claim Alert | Inactive Customer</v>
      </c>
    </row>
    <row r="46" spans="1:29" x14ac:dyDescent="0.45">
      <c r="A46" t="str">
        <f>IF('MASTER DATA'!A208="","",'MASTER DATA'!A208)</f>
        <v>SYN-CLM-0207</v>
      </c>
      <c r="B46" t="str">
        <f>IF('MASTER DATA'!B208="","",'MASTER DATA'!B208)</f>
        <v>Synthetic Claimant 0207</v>
      </c>
      <c r="C46" t="str">
        <f>IF('MASTER DATA'!C208="","",'MASTER DATA'!C208)</f>
        <v>Claims Analyst C</v>
      </c>
      <c r="D46" t="str">
        <f>IF('MASTER DATA'!D208="","",'MASTER DATA'!D208)</f>
        <v>Synthetic Policyholder 123, LLC</v>
      </c>
      <c r="E46" s="15">
        <f>IF('MASTER DATA'!E208="","",'MASTER DATA'!E208)</f>
        <v>43284</v>
      </c>
      <c r="F46" s="16" t="str">
        <f>IF('MASTER DATA'!F208="","",'MASTER DATA'!F208)</f>
        <v>N</v>
      </c>
      <c r="G46" s="17" t="str">
        <f>IF('MASTER DATA'!G208="","",'MASTER DATA'!G208)</f>
        <v/>
      </c>
      <c r="H46" s="16" t="str">
        <f>IF('MASTER DATA'!H208="","",'MASTER DATA'!H208)</f>
        <v/>
      </c>
      <c r="I46" s="15" t="str">
        <f>IF('MASTER DATA'!I208="","",'MASTER DATA'!I208)</f>
        <v/>
      </c>
      <c r="J46" s="16" t="str">
        <f>IF('MASTER DATA'!J208="","",'MASTER DATA'!J208)</f>
        <v>Y</v>
      </c>
      <c r="K46" s="15">
        <f>IF('MASTER DATA'!K208="","",'MASTER DATA'!K208)</f>
        <v>43520</v>
      </c>
      <c r="L46" s="16" t="str">
        <f>IF('MASTER DATA'!L208="","",'MASTER DATA'!L208)</f>
        <v>N</v>
      </c>
      <c r="M46" s="16" t="str">
        <f>IF('MASTER DATA'!M208="","",'MASTER DATA'!M208)</f>
        <v>N</v>
      </c>
      <c r="N46" s="15" t="str">
        <f>IF('MASTER DATA'!N208="","",'MASTER DATA'!N208)</f>
        <v/>
      </c>
      <c r="O46" s="16" t="str">
        <f>IF('MASTER DATA'!O208="","",'MASTER DATA'!O208)</f>
        <v/>
      </c>
      <c r="P46" s="16" t="str">
        <f>IF('MASTER DATA'!P208="","",'MASTER DATA'!P208)</f>
        <v>N</v>
      </c>
      <c r="Q46" s="16" t="str">
        <f>IF('MASTER DATA'!Q208="","",'MASTER DATA'!Q208)</f>
        <v/>
      </c>
      <c r="R46" s="16" t="str">
        <f>IF('MASTER DATA'!R208="","",'MASTER DATA'!R208)</f>
        <v/>
      </c>
      <c r="S46" s="16" t="str">
        <f>IF('MASTER DATA'!S208="","",'MASTER DATA'!S208)</f>
        <v>N</v>
      </c>
      <c r="T46" s="15" t="str">
        <f>IF('MASTER DATA'!T208="","",'MASTER DATA'!T208)</f>
        <v/>
      </c>
      <c r="U46" s="16" t="str">
        <f>IF('MASTER DATA'!U208="","",'MASTER DATA'!U208)</f>
        <v>N</v>
      </c>
      <c r="V46" s="16" t="str">
        <f>IF('MASTER DATA'!V208="","",'MASTER DATA'!V208)</f>
        <v>N</v>
      </c>
      <c r="W46" s="16" t="str">
        <f>IF('MASTER DATA'!W208="","",'MASTER DATA'!W208)</f>
        <v>N</v>
      </c>
      <c r="X46" s="16" t="str">
        <f>IF('MASTER DATA'!X208="","",'MASTER DATA'!X208)</f>
        <v>N</v>
      </c>
      <c r="Y46" s="16" t="str">
        <f>IF('MASTER DATA'!Y208="","",'MASTER DATA'!Y208)</f>
        <v>N</v>
      </c>
      <c r="Z46" s="16" t="str">
        <f>IF('MASTER DATA'!Z208="","",'MASTER DATA'!Z208)</f>
        <v>N</v>
      </c>
      <c r="AA46" s="16">
        <f>IF('MASTER DATA'!AA208="","",'MASTER DATA'!AA208)</f>
        <v>1</v>
      </c>
      <c r="AB46" s="16" t="str">
        <f>IF('MASTER DATA'!AB208="","",'MASTER DATA'!AB208)</f>
        <v>SINGLE-SIGNAL</v>
      </c>
      <c r="AC46" s="16" t="str">
        <f>IF('MASTER DATA'!AC208="","",'MASTER DATA'!AC208)</f>
        <v>Open Stipulation</v>
      </c>
    </row>
    <row r="47" spans="1:29" x14ac:dyDescent="0.45">
      <c r="A47" t="str">
        <f>IF('MASTER DATA'!A209="","",'MASTER DATA'!A209)</f>
        <v>SYN-CLM-0208</v>
      </c>
      <c r="B47" t="str">
        <f>IF('MASTER DATA'!B209="","",'MASTER DATA'!B209)</f>
        <v>Synthetic Claimant 0208</v>
      </c>
      <c r="C47" t="str">
        <f>IF('MASTER DATA'!C209="","",'MASTER DATA'!C209)</f>
        <v>Claims Analyst C</v>
      </c>
      <c r="D47" t="str">
        <f>IF('MASTER DATA'!D209="","",'MASTER DATA'!D209)</f>
        <v>Synthetic Policyholder 106, LLC</v>
      </c>
      <c r="E47" s="15">
        <f>IF('MASTER DATA'!E209="","",'MASTER DATA'!E209)</f>
        <v>45121</v>
      </c>
      <c r="F47" s="16" t="str">
        <f>IF('MASTER DATA'!F209="","",'MASTER DATA'!F209)</f>
        <v>N</v>
      </c>
      <c r="G47" s="17" t="str">
        <f>IF('MASTER DATA'!G209="","",'MASTER DATA'!G209)</f>
        <v/>
      </c>
      <c r="H47" s="16" t="str">
        <f>IF('MASTER DATA'!H209="","",'MASTER DATA'!H209)</f>
        <v/>
      </c>
      <c r="I47" s="15" t="str">
        <f>IF('MASTER DATA'!I209="","",'MASTER DATA'!I209)</f>
        <v/>
      </c>
      <c r="J47" s="16" t="str">
        <f>IF('MASTER DATA'!J209="","",'MASTER DATA'!J209)</f>
        <v>Y</v>
      </c>
      <c r="K47" s="15">
        <f>IF('MASTER DATA'!K209="","",'MASTER DATA'!K209)</f>
        <v>45476</v>
      </c>
      <c r="L47" s="16" t="str">
        <f>IF('MASTER DATA'!L209="","",'MASTER DATA'!L209)</f>
        <v>Y</v>
      </c>
      <c r="M47" s="16" t="str">
        <f>IF('MASTER DATA'!M209="","",'MASTER DATA'!M209)</f>
        <v>N</v>
      </c>
      <c r="N47" s="15" t="str">
        <f>IF('MASTER DATA'!N209="","",'MASTER DATA'!N209)</f>
        <v/>
      </c>
      <c r="O47" s="16" t="str">
        <f>IF('MASTER DATA'!O209="","",'MASTER DATA'!O209)</f>
        <v/>
      </c>
      <c r="P47" s="16" t="str">
        <f>IF('MASTER DATA'!P209="","",'MASTER DATA'!P209)</f>
        <v>N</v>
      </c>
      <c r="Q47" s="16" t="str">
        <f>IF('MASTER DATA'!Q209="","",'MASTER DATA'!Q209)</f>
        <v/>
      </c>
      <c r="R47" s="16" t="str">
        <f>IF('MASTER DATA'!R209="","",'MASTER DATA'!R209)</f>
        <v/>
      </c>
      <c r="S47" s="16" t="str">
        <f>IF('MASTER DATA'!S209="","",'MASTER DATA'!S209)</f>
        <v>N</v>
      </c>
      <c r="T47" s="15" t="str">
        <f>IF('MASTER DATA'!T209="","",'MASTER DATA'!T209)</f>
        <v/>
      </c>
      <c r="U47" s="16" t="str">
        <f>IF('MASTER DATA'!U209="","",'MASTER DATA'!U209)</f>
        <v>N</v>
      </c>
      <c r="V47" s="16" t="str">
        <f>IF('MASTER DATA'!V209="","",'MASTER DATA'!V209)</f>
        <v>N</v>
      </c>
      <c r="W47" s="16" t="str">
        <f>IF('MASTER DATA'!W209="","",'MASTER DATA'!W209)</f>
        <v>N</v>
      </c>
      <c r="X47" s="16" t="str">
        <f>IF('MASTER DATA'!X209="","",'MASTER DATA'!X209)</f>
        <v>N</v>
      </c>
      <c r="Y47" s="16" t="str">
        <f>IF('MASTER DATA'!Y209="","",'MASTER DATA'!Y209)</f>
        <v>N</v>
      </c>
      <c r="Z47" s="16" t="str">
        <f>IF('MASTER DATA'!Z209="","",'MASTER DATA'!Z209)</f>
        <v>N</v>
      </c>
      <c r="AA47" s="16">
        <f>IF('MASTER DATA'!AA209="","",'MASTER DATA'!AA209)</f>
        <v>1</v>
      </c>
      <c r="AB47" s="16" t="str">
        <f>IF('MASTER DATA'!AB209="","",'MASTER DATA'!AB209)</f>
        <v>SINGLE-SIGNAL</v>
      </c>
      <c r="AC47" s="16" t="str">
        <f>IF('MASTER DATA'!AC209="","",'MASTER DATA'!AC209)</f>
        <v>Open Stipulation</v>
      </c>
    </row>
    <row r="48" spans="1:29" x14ac:dyDescent="0.45">
      <c r="A48" t="str">
        <f>IF('MASTER DATA'!A210="","",'MASTER DATA'!A210)</f>
        <v>SYN-CLM-0209</v>
      </c>
      <c r="B48" t="str">
        <f>IF('MASTER DATA'!B210="","",'MASTER DATA'!B210)</f>
        <v>Synthetic Claimant 0209</v>
      </c>
      <c r="C48" t="str">
        <f>IF('MASTER DATA'!C210="","",'MASTER DATA'!C210)</f>
        <v>Claims Analyst C</v>
      </c>
      <c r="D48" t="str">
        <f>IF('MASTER DATA'!D210="","",'MASTER DATA'!D210)</f>
        <v>Synthetic Policyholder 008, LLC</v>
      </c>
      <c r="E48" s="15">
        <f>IF('MASTER DATA'!E210="","",'MASTER DATA'!E210)</f>
        <v>43341</v>
      </c>
      <c r="F48" s="16" t="str">
        <f>IF('MASTER DATA'!F210="","",'MASTER DATA'!F210)</f>
        <v>N</v>
      </c>
      <c r="G48" s="17" t="str">
        <f>IF('MASTER DATA'!G210="","",'MASTER DATA'!G210)</f>
        <v/>
      </c>
      <c r="H48" s="16" t="str">
        <f>IF('MASTER DATA'!H210="","",'MASTER DATA'!H210)</f>
        <v/>
      </c>
      <c r="I48" s="15" t="str">
        <f>IF('MASTER DATA'!I210="","",'MASTER DATA'!I210)</f>
        <v/>
      </c>
      <c r="J48" s="16" t="str">
        <f>IF('MASTER DATA'!J210="","",'MASTER DATA'!J210)</f>
        <v>N</v>
      </c>
      <c r="K48" s="15" t="str">
        <f>IF('MASTER DATA'!K210="","",'MASTER DATA'!K210)</f>
        <v/>
      </c>
      <c r="L48" s="16" t="str">
        <f>IF('MASTER DATA'!L210="","",'MASTER DATA'!L210)</f>
        <v/>
      </c>
      <c r="M48" s="16" t="str">
        <f>IF('MASTER DATA'!M210="","",'MASTER DATA'!M210)</f>
        <v>N</v>
      </c>
      <c r="N48" s="15" t="str">
        <f>IF('MASTER DATA'!N210="","",'MASTER DATA'!N210)</f>
        <v/>
      </c>
      <c r="O48" s="16" t="str">
        <f>IF('MASTER DATA'!O210="","",'MASTER DATA'!O210)</f>
        <v/>
      </c>
      <c r="P48" s="16" t="str">
        <f>IF('MASTER DATA'!P210="","",'MASTER DATA'!P210)</f>
        <v>Y</v>
      </c>
      <c r="Q48" s="16" t="str">
        <f>IF('MASTER DATA'!Q210="","",'MASTER DATA'!Q210)</f>
        <v>Denied Treatment Requests</v>
      </c>
      <c r="R48" s="16" t="str">
        <f>IF('MASTER DATA'!R210="","",'MASTER DATA'!R210)</f>
        <v/>
      </c>
      <c r="S48" s="16" t="str">
        <f>IF('MASTER DATA'!S210="","",'MASTER DATA'!S210)</f>
        <v>N</v>
      </c>
      <c r="T48" s="15" t="str">
        <f>IF('MASTER DATA'!T210="","",'MASTER DATA'!T210)</f>
        <v/>
      </c>
      <c r="U48" s="16" t="str">
        <f>IF('MASTER DATA'!U210="","",'MASTER DATA'!U210)</f>
        <v>N</v>
      </c>
      <c r="V48" s="16" t="str">
        <f>IF('MASTER DATA'!V210="","",'MASTER DATA'!V210)</f>
        <v>N</v>
      </c>
      <c r="W48" s="16" t="str">
        <f>IF('MASTER DATA'!W210="","",'MASTER DATA'!W210)</f>
        <v>Y</v>
      </c>
      <c r="X48" s="16" t="str">
        <f>IF('MASTER DATA'!X210="","",'MASTER DATA'!X210)</f>
        <v>N</v>
      </c>
      <c r="Y48" s="16" t="str">
        <f>IF('MASTER DATA'!Y210="","",'MASTER DATA'!Y210)</f>
        <v>N</v>
      </c>
      <c r="Z48" s="16" t="str">
        <f>IF('MASTER DATA'!Z210="","",'MASTER DATA'!Z210)</f>
        <v>N</v>
      </c>
      <c r="AA48" s="16">
        <f>IF('MASTER DATA'!AA210="","",'MASTER DATA'!AA210)</f>
        <v>1</v>
      </c>
      <c r="AB48" s="16" t="str">
        <f>IF('MASTER DATA'!AB210="","",'MASTER DATA'!AB210)</f>
        <v>SINGLE-SIGNAL</v>
      </c>
      <c r="AC48" s="16" t="str">
        <f>IF('MASTER DATA'!AC210="","",'MASTER DATA'!AC210)</f>
        <v>Automated Claim Alert</v>
      </c>
    </row>
    <row r="49" spans="1:29" x14ac:dyDescent="0.45">
      <c r="A49" t="str">
        <f>IF('MASTER DATA'!A211="","",'MASTER DATA'!A211)</f>
        <v>SYN-CLM-0210</v>
      </c>
      <c r="B49" t="str">
        <f>IF('MASTER DATA'!B211="","",'MASTER DATA'!B211)</f>
        <v>Synthetic Claimant 0210</v>
      </c>
      <c r="C49" t="str">
        <f>IF('MASTER DATA'!C211="","",'MASTER DATA'!C211)</f>
        <v>Claims Analyst C</v>
      </c>
      <c r="D49" t="str">
        <f>IF('MASTER DATA'!D211="","",'MASTER DATA'!D211)</f>
        <v>Synthetic Policyholder 039, LLC</v>
      </c>
      <c r="E49" s="15">
        <f>IF('MASTER DATA'!E211="","",'MASTER DATA'!E211)</f>
        <v>45562</v>
      </c>
      <c r="F49" s="16" t="str">
        <f>IF('MASTER DATA'!F211="","",'MASTER DATA'!F211)</f>
        <v>Y</v>
      </c>
      <c r="G49" s="17">
        <f>IF('MASTER DATA'!G211="","",'MASTER DATA'!G211)</f>
        <v>64500</v>
      </c>
      <c r="H49" s="16" t="str">
        <f>IF('MASTER DATA'!H211="","",'MASTER DATA'!H211)</f>
        <v>Synthetic Approver 01</v>
      </c>
      <c r="I49" s="15">
        <f>IF('MASTER DATA'!I211="","",'MASTER DATA'!I211)</f>
        <v>47276</v>
      </c>
      <c r="J49" s="16" t="str">
        <f>IF('MASTER DATA'!J211="","",'MASTER DATA'!J211)</f>
        <v>N</v>
      </c>
      <c r="K49" s="15" t="str">
        <f>IF('MASTER DATA'!K211="","",'MASTER DATA'!K211)</f>
        <v/>
      </c>
      <c r="L49" s="16" t="str">
        <f>IF('MASTER DATA'!L211="","",'MASTER DATA'!L211)</f>
        <v>Y</v>
      </c>
      <c r="M49" s="16" t="str">
        <f>IF('MASTER DATA'!M211="","",'MASTER DATA'!M211)</f>
        <v>N</v>
      </c>
      <c r="N49" s="15" t="str">
        <f>IF('MASTER DATA'!N211="","",'MASTER DATA'!N211)</f>
        <v/>
      </c>
      <c r="O49" s="16" t="str">
        <f>IF('MASTER DATA'!O211="","",'MASTER DATA'!O211)</f>
        <v/>
      </c>
      <c r="P49" s="16" t="str">
        <f>IF('MASTER DATA'!P211="","",'MASTER DATA'!P211)</f>
        <v>Y</v>
      </c>
      <c r="Q49" s="16" t="str">
        <f>IF('MASTER DATA'!Q211="","",'MASTER DATA'!Q211)</f>
        <v>MMI Date Reported; Specialist Consultation Requested</v>
      </c>
      <c r="R49" s="16" t="str">
        <f>IF('MASTER DATA'!R211="","",'MASTER DATA'!R211)</f>
        <v>Non-Renewed Account</v>
      </c>
      <c r="S49" s="16" t="str">
        <f>IF('MASTER DATA'!S211="","",'MASTER DATA'!S211)</f>
        <v>N</v>
      </c>
      <c r="T49" s="15" t="str">
        <f>IF('MASTER DATA'!T211="","",'MASTER DATA'!T211)</f>
        <v/>
      </c>
      <c r="U49" s="16" t="str">
        <f>IF('MASTER DATA'!U211="","",'MASTER DATA'!U211)</f>
        <v>N</v>
      </c>
      <c r="V49" s="16" t="str">
        <f>IF('MASTER DATA'!V211="","",'MASTER DATA'!V211)</f>
        <v>Y</v>
      </c>
      <c r="W49" s="16" t="str">
        <f>IF('MASTER DATA'!W211="","",'MASTER DATA'!W211)</f>
        <v>N</v>
      </c>
      <c r="X49" s="16" t="str">
        <f>IF('MASTER DATA'!X211="","",'MASTER DATA'!X211)</f>
        <v>Y</v>
      </c>
      <c r="Y49" s="16" t="str">
        <f>IF('MASTER DATA'!Y211="","",'MASTER DATA'!Y211)</f>
        <v>Y</v>
      </c>
      <c r="Z49" s="16" t="str">
        <f>IF('MASTER DATA'!Z211="","",'MASTER DATA'!Z211)</f>
        <v>N</v>
      </c>
      <c r="AA49" s="16">
        <f>IF('MASTER DATA'!AA211="","",'MASTER DATA'!AA211)</f>
        <v>2</v>
      </c>
      <c r="AB49" s="16" t="str">
        <f>IF('MASTER DATA'!AB211="","",'MASTER DATA'!AB211)</f>
        <v>MULTI-SIGNAL</v>
      </c>
      <c r="AC49" s="16" t="str">
        <f>IF('MASTER DATA'!AC211="","",'MASTER DATA'!AC211)</f>
        <v>Settlement Authorization | Automated Claim Alert</v>
      </c>
    </row>
    <row r="50" spans="1:29" x14ac:dyDescent="0.45">
      <c r="A50" t="str">
        <f>IF('MASTER DATA'!A212="","",'MASTER DATA'!A212)</f>
        <v>SYN-CLM-0211</v>
      </c>
      <c r="B50" t="str">
        <f>IF('MASTER DATA'!B212="","",'MASTER DATA'!B212)</f>
        <v>Synthetic Claimant 0211</v>
      </c>
      <c r="C50" t="str">
        <f>IF('MASTER DATA'!C212="","",'MASTER DATA'!C212)</f>
        <v>Claims Analyst C</v>
      </c>
      <c r="D50" t="str">
        <f>IF('MASTER DATA'!D212="","",'MASTER DATA'!D212)</f>
        <v>Synthetic Policyholder 122, LLC</v>
      </c>
      <c r="E50" s="15">
        <f>IF('MASTER DATA'!E212="","",'MASTER DATA'!E212)</f>
        <v>45296</v>
      </c>
      <c r="F50" s="16" t="str">
        <f>IF('MASTER DATA'!F212="","",'MASTER DATA'!F212)</f>
        <v>Y</v>
      </c>
      <c r="G50" s="17">
        <f>IF('MASTER DATA'!G212="","",'MASTER DATA'!G212)</f>
        <v>157000</v>
      </c>
      <c r="H50" s="16" t="str">
        <f>IF('MASTER DATA'!H212="","",'MASTER DATA'!H212)</f>
        <v>Synthetic Approver 04</v>
      </c>
      <c r="I50" s="15">
        <f>IF('MASTER DATA'!I212="","",'MASTER DATA'!I212)</f>
        <v>45559</v>
      </c>
      <c r="J50" s="16" t="str">
        <f>IF('MASTER DATA'!J212="","",'MASTER DATA'!J212)</f>
        <v>N</v>
      </c>
      <c r="K50" s="15" t="str">
        <f>IF('MASTER DATA'!K212="","",'MASTER DATA'!K212)</f>
        <v/>
      </c>
      <c r="L50" s="16" t="str">
        <f>IF('MASTER DATA'!L212="","",'MASTER DATA'!L212)</f>
        <v>N</v>
      </c>
      <c r="M50" s="16" t="str">
        <f>IF('MASTER DATA'!M212="","",'MASTER DATA'!M212)</f>
        <v>N</v>
      </c>
      <c r="N50" s="15" t="str">
        <f>IF('MASTER DATA'!N212="","",'MASTER DATA'!N212)</f>
        <v/>
      </c>
      <c r="O50" s="16" t="str">
        <f>IF('MASTER DATA'!O212="","",'MASTER DATA'!O212)</f>
        <v/>
      </c>
      <c r="P50" s="16" t="str">
        <f>IF('MASTER DATA'!P212="","",'MASTER DATA'!P212)</f>
        <v>N</v>
      </c>
      <c r="Q50" s="16" t="str">
        <f>IF('MASTER DATA'!Q212="","",'MASTER DATA'!Q212)</f>
        <v/>
      </c>
      <c r="R50" s="16" t="str">
        <f>IF('MASTER DATA'!R212="","",'MASTER DATA'!R212)</f>
        <v/>
      </c>
      <c r="S50" s="16" t="str">
        <f>IF('MASTER DATA'!S212="","",'MASTER DATA'!S212)</f>
        <v>N</v>
      </c>
      <c r="T50" s="15" t="str">
        <f>IF('MASTER DATA'!T212="","",'MASTER DATA'!T212)</f>
        <v/>
      </c>
      <c r="U50" s="16" t="str">
        <f>IF('MASTER DATA'!U212="","",'MASTER DATA'!U212)</f>
        <v>N</v>
      </c>
      <c r="V50" s="16" t="str">
        <f>IF('MASTER DATA'!V212="","",'MASTER DATA'!V212)</f>
        <v>N</v>
      </c>
      <c r="W50" s="16" t="str">
        <f>IF('MASTER DATA'!W212="","",'MASTER DATA'!W212)</f>
        <v>N</v>
      </c>
      <c r="X50" s="16" t="str">
        <f>IF('MASTER DATA'!X212="","",'MASTER DATA'!X212)</f>
        <v>N</v>
      </c>
      <c r="Y50" s="16" t="str">
        <f>IF('MASTER DATA'!Y212="","",'MASTER DATA'!Y212)</f>
        <v>N</v>
      </c>
      <c r="Z50" s="16" t="str">
        <f>IF('MASTER DATA'!Z212="","",'MASTER DATA'!Z212)</f>
        <v>N</v>
      </c>
      <c r="AA50" s="16">
        <f>IF('MASTER DATA'!AA212="","",'MASTER DATA'!AA212)</f>
        <v>1</v>
      </c>
      <c r="AB50" s="16" t="str">
        <f>IF('MASTER DATA'!AB212="","",'MASTER DATA'!AB212)</f>
        <v>SINGLE-SIGNAL</v>
      </c>
      <c r="AC50" s="16" t="str">
        <f>IF('MASTER DATA'!AC212="","",'MASTER DATA'!AC212)</f>
        <v>Settlement Authorization</v>
      </c>
    </row>
    <row r="51" spans="1:29" x14ac:dyDescent="0.45">
      <c r="A51" t="str">
        <f>IF('MASTER DATA'!A213="","",'MASTER DATA'!A213)</f>
        <v>SYN-CLM-0212</v>
      </c>
      <c r="B51" t="str">
        <f>IF('MASTER DATA'!B213="","",'MASTER DATA'!B213)</f>
        <v>Synthetic Claimant 0212</v>
      </c>
      <c r="C51" t="str">
        <f>IF('MASTER DATA'!C213="","",'MASTER DATA'!C213)</f>
        <v>Claims Analyst C</v>
      </c>
      <c r="D51" t="str">
        <f>IF('MASTER DATA'!D213="","",'MASTER DATA'!D213)</f>
        <v>Synthetic Policyholder 047, LLC</v>
      </c>
      <c r="E51" s="15">
        <f>IF('MASTER DATA'!E213="","",'MASTER DATA'!E213)</f>
        <v>45607</v>
      </c>
      <c r="F51" s="16" t="str">
        <f>IF('MASTER DATA'!F213="","",'MASTER DATA'!F213)</f>
        <v>Y</v>
      </c>
      <c r="G51" s="17">
        <f>IF('MASTER DATA'!G213="","",'MASTER DATA'!G213)</f>
        <v>60000</v>
      </c>
      <c r="H51" s="16" t="str">
        <f>IF('MASTER DATA'!H213="","",'MASTER DATA'!H213)</f>
        <v>Synthetic Approver 04</v>
      </c>
      <c r="I51" s="15">
        <f>IF('MASTER DATA'!I213="","",'MASTER DATA'!I213)</f>
        <v>46632</v>
      </c>
      <c r="J51" s="16" t="str">
        <f>IF('MASTER DATA'!J213="","",'MASTER DATA'!J213)</f>
        <v>Y</v>
      </c>
      <c r="K51" s="15">
        <f>IF('MASTER DATA'!K213="","",'MASTER DATA'!K213)</f>
        <v>46074</v>
      </c>
      <c r="L51" s="16" t="str">
        <f>IF('MASTER DATA'!L213="","",'MASTER DATA'!L213)</f>
        <v>Y</v>
      </c>
      <c r="M51" s="16" t="str">
        <f>IF('MASTER DATA'!M213="","",'MASTER DATA'!M213)</f>
        <v>N</v>
      </c>
      <c r="N51" s="15" t="str">
        <f>IF('MASTER DATA'!N213="","",'MASTER DATA'!N213)</f>
        <v/>
      </c>
      <c r="O51" s="16" t="str">
        <f>IF('MASTER DATA'!O213="","",'MASTER DATA'!O213)</f>
        <v/>
      </c>
      <c r="P51" s="16" t="str">
        <f>IF('MASTER DATA'!P213="","",'MASTER DATA'!P213)</f>
        <v>N</v>
      </c>
      <c r="Q51" s="16" t="str">
        <f>IF('MASTER DATA'!Q213="","",'MASTER DATA'!Q213)</f>
        <v/>
      </c>
      <c r="R51" s="16" t="str">
        <f>IF('MASTER DATA'!R213="","",'MASTER DATA'!R213)</f>
        <v/>
      </c>
      <c r="S51" s="16" t="str">
        <f>IF('MASTER DATA'!S213="","",'MASTER DATA'!S213)</f>
        <v>N</v>
      </c>
      <c r="T51" s="15" t="str">
        <f>IF('MASTER DATA'!T213="","",'MASTER DATA'!T213)</f>
        <v/>
      </c>
      <c r="U51" s="16" t="str">
        <f>IF('MASTER DATA'!U213="","",'MASTER DATA'!U213)</f>
        <v>N</v>
      </c>
      <c r="V51" s="16" t="str">
        <f>IF('MASTER DATA'!V213="","",'MASTER DATA'!V213)</f>
        <v>N</v>
      </c>
      <c r="W51" s="16" t="str">
        <f>IF('MASTER DATA'!W213="","",'MASTER DATA'!W213)</f>
        <v>N</v>
      </c>
      <c r="X51" s="16" t="str">
        <f>IF('MASTER DATA'!X213="","",'MASTER DATA'!X213)</f>
        <v>N</v>
      </c>
      <c r="Y51" s="16" t="str">
        <f>IF('MASTER DATA'!Y213="","",'MASTER DATA'!Y213)</f>
        <v>N</v>
      </c>
      <c r="Z51" s="16" t="str">
        <f>IF('MASTER DATA'!Z213="","",'MASTER DATA'!Z213)</f>
        <v>N</v>
      </c>
      <c r="AA51" s="16">
        <f>IF('MASTER DATA'!AA213="","",'MASTER DATA'!AA213)</f>
        <v>2</v>
      </c>
      <c r="AB51" s="16" t="str">
        <f>IF('MASTER DATA'!AB213="","",'MASTER DATA'!AB213)</f>
        <v>MULTI-SIGNAL</v>
      </c>
      <c r="AC51" s="16" t="str">
        <f>IF('MASTER DATA'!AC213="","",'MASTER DATA'!AC213)</f>
        <v>Settlement Authorization | Open Stipulation</v>
      </c>
    </row>
    <row r="52" spans="1:29" x14ac:dyDescent="0.45">
      <c r="A52" t="str">
        <f>IF('MASTER DATA'!A214="","",'MASTER DATA'!A214)</f>
        <v>SYN-CLM-0213</v>
      </c>
      <c r="B52" t="str">
        <f>IF('MASTER DATA'!B214="","",'MASTER DATA'!B214)</f>
        <v>Synthetic Claimant 0213</v>
      </c>
      <c r="C52" t="str">
        <f>IF('MASTER DATA'!C214="","",'MASTER DATA'!C214)</f>
        <v>Claims Analyst C</v>
      </c>
      <c r="D52" t="str">
        <f>IF('MASTER DATA'!D214="","",'MASTER DATA'!D214)</f>
        <v>Synthetic Policyholder 159, LLC</v>
      </c>
      <c r="E52" s="15">
        <f>IF('MASTER DATA'!E214="","",'MASTER DATA'!E214)</f>
        <v>43573</v>
      </c>
      <c r="F52" s="16" t="str">
        <f>IF('MASTER DATA'!F214="","",'MASTER DATA'!F214)</f>
        <v>Y</v>
      </c>
      <c r="G52" s="17">
        <f>IF('MASTER DATA'!G214="","",'MASTER DATA'!G214)</f>
        <v>66000</v>
      </c>
      <c r="H52" s="16" t="str">
        <f>IF('MASTER DATA'!H214="","",'MASTER DATA'!H214)</f>
        <v>Synthetic Approver 08</v>
      </c>
      <c r="I52" s="15">
        <f>IF('MASTER DATA'!I214="","",'MASTER DATA'!I214)</f>
        <v>44119</v>
      </c>
      <c r="J52" s="16" t="str">
        <f>IF('MASTER DATA'!J214="","",'MASTER DATA'!J214)</f>
        <v>N</v>
      </c>
      <c r="K52" s="15" t="str">
        <f>IF('MASTER DATA'!K214="","",'MASTER DATA'!K214)</f>
        <v/>
      </c>
      <c r="L52" s="16" t="str">
        <f>IF('MASTER DATA'!L214="","",'MASTER DATA'!L214)</f>
        <v>Y</v>
      </c>
      <c r="M52" s="16" t="str">
        <f>IF('MASTER DATA'!M214="","",'MASTER DATA'!M214)</f>
        <v>N</v>
      </c>
      <c r="N52" s="15" t="str">
        <f>IF('MASTER DATA'!N214="","",'MASTER DATA'!N214)</f>
        <v/>
      </c>
      <c r="O52" s="16" t="str">
        <f>IF('MASTER DATA'!O214="","",'MASTER DATA'!O214)</f>
        <v/>
      </c>
      <c r="P52" s="16" t="str">
        <f>IF('MASTER DATA'!P214="","",'MASTER DATA'!P214)</f>
        <v>N</v>
      </c>
      <c r="Q52" s="16" t="str">
        <f>IF('MASTER DATA'!Q214="","",'MASTER DATA'!Q214)</f>
        <v/>
      </c>
      <c r="R52" s="16" t="str">
        <f>IF('MASTER DATA'!R214="","",'MASTER DATA'!R214)</f>
        <v/>
      </c>
      <c r="S52" s="16" t="str">
        <f>IF('MASTER DATA'!S214="","",'MASTER DATA'!S214)</f>
        <v>N</v>
      </c>
      <c r="T52" s="15" t="str">
        <f>IF('MASTER DATA'!T214="","",'MASTER DATA'!T214)</f>
        <v/>
      </c>
      <c r="U52" s="16" t="str">
        <f>IF('MASTER DATA'!U214="","",'MASTER DATA'!U214)</f>
        <v>N</v>
      </c>
      <c r="V52" s="16" t="str">
        <f>IF('MASTER DATA'!V214="","",'MASTER DATA'!V214)</f>
        <v>N</v>
      </c>
      <c r="W52" s="16" t="str">
        <f>IF('MASTER DATA'!W214="","",'MASTER DATA'!W214)</f>
        <v>N</v>
      </c>
      <c r="X52" s="16" t="str">
        <f>IF('MASTER DATA'!X214="","",'MASTER DATA'!X214)</f>
        <v>N</v>
      </c>
      <c r="Y52" s="16" t="str">
        <f>IF('MASTER DATA'!Y214="","",'MASTER DATA'!Y214)</f>
        <v>N</v>
      </c>
      <c r="Z52" s="16" t="str">
        <f>IF('MASTER DATA'!Z214="","",'MASTER DATA'!Z214)</f>
        <v>N</v>
      </c>
      <c r="AA52" s="16">
        <f>IF('MASTER DATA'!AA214="","",'MASTER DATA'!AA214)</f>
        <v>1</v>
      </c>
      <c r="AB52" s="16" t="str">
        <f>IF('MASTER DATA'!AB214="","",'MASTER DATA'!AB214)</f>
        <v>SINGLE-SIGNAL</v>
      </c>
      <c r="AC52" s="16" t="str">
        <f>IF('MASTER DATA'!AC214="","",'MASTER DATA'!AC214)</f>
        <v>Settlement Authorization</v>
      </c>
    </row>
    <row r="53" spans="1:29" x14ac:dyDescent="0.45">
      <c r="A53" t="str">
        <f>IF('MASTER DATA'!A215="","",'MASTER DATA'!A215)</f>
        <v>SYN-CLM-0214</v>
      </c>
      <c r="B53" t="str">
        <f>IF('MASTER DATA'!B215="","",'MASTER DATA'!B215)</f>
        <v>Synthetic Claimant 0214</v>
      </c>
      <c r="C53" t="str">
        <f>IF('MASTER DATA'!C215="","",'MASTER DATA'!C215)</f>
        <v>Claims Analyst C</v>
      </c>
      <c r="D53" t="str">
        <f>IF('MASTER DATA'!D215="","",'MASTER DATA'!D215)</f>
        <v>Synthetic Policyholder 003, LLC</v>
      </c>
      <c r="E53" s="15">
        <f>IF('MASTER DATA'!E215="","",'MASTER DATA'!E215)</f>
        <v>43472</v>
      </c>
      <c r="F53" s="16" t="str">
        <f>IF('MASTER DATA'!F215="","",'MASTER DATA'!F215)</f>
        <v>Y</v>
      </c>
      <c r="G53" s="17">
        <f>IF('MASTER DATA'!G215="","",'MASTER DATA'!G215)</f>
        <v>117000</v>
      </c>
      <c r="H53" s="16" t="str">
        <f>IF('MASTER DATA'!H215="","",'MASTER DATA'!H215)</f>
        <v>Synthetic Approver 09</v>
      </c>
      <c r="I53" s="15">
        <f>IF('MASTER DATA'!I215="","",'MASTER DATA'!I215)</f>
        <v>44216</v>
      </c>
      <c r="J53" s="16" t="str">
        <f>IF('MASTER DATA'!J215="","",'MASTER DATA'!J215)</f>
        <v>N</v>
      </c>
      <c r="K53" s="15" t="str">
        <f>IF('MASTER DATA'!K215="","",'MASTER DATA'!K215)</f>
        <v/>
      </c>
      <c r="L53" s="16" t="str">
        <f>IF('MASTER DATA'!L215="","",'MASTER DATA'!L215)</f>
        <v>N</v>
      </c>
      <c r="M53" s="16" t="str">
        <f>IF('MASTER DATA'!M215="","",'MASTER DATA'!M215)</f>
        <v>N</v>
      </c>
      <c r="N53" s="15" t="str">
        <f>IF('MASTER DATA'!N215="","",'MASTER DATA'!N215)</f>
        <v/>
      </c>
      <c r="O53" s="16" t="str">
        <f>IF('MASTER DATA'!O215="","",'MASTER DATA'!O215)</f>
        <v/>
      </c>
      <c r="P53" s="16" t="str">
        <f>IF('MASTER DATA'!P215="","",'MASTER DATA'!P215)</f>
        <v>N</v>
      </c>
      <c r="Q53" s="16" t="str">
        <f>IF('MASTER DATA'!Q215="","",'MASTER DATA'!Q215)</f>
        <v/>
      </c>
      <c r="R53" s="16" t="str">
        <f>IF('MASTER DATA'!R215="","",'MASTER DATA'!R215)</f>
        <v/>
      </c>
      <c r="S53" s="16" t="str">
        <f>IF('MASTER DATA'!S215="","",'MASTER DATA'!S215)</f>
        <v>N</v>
      </c>
      <c r="T53" s="15" t="str">
        <f>IF('MASTER DATA'!T215="","",'MASTER DATA'!T215)</f>
        <v/>
      </c>
      <c r="U53" s="16" t="str">
        <f>IF('MASTER DATA'!U215="","",'MASTER DATA'!U215)</f>
        <v>N</v>
      </c>
      <c r="V53" s="16" t="str">
        <f>IF('MASTER DATA'!V215="","",'MASTER DATA'!V215)</f>
        <v>N</v>
      </c>
      <c r="W53" s="16" t="str">
        <f>IF('MASTER DATA'!W215="","",'MASTER DATA'!W215)</f>
        <v>N</v>
      </c>
      <c r="X53" s="16" t="str">
        <f>IF('MASTER DATA'!X215="","",'MASTER DATA'!X215)</f>
        <v>N</v>
      </c>
      <c r="Y53" s="16" t="str">
        <f>IF('MASTER DATA'!Y215="","",'MASTER DATA'!Y215)</f>
        <v>N</v>
      </c>
      <c r="Z53" s="16" t="str">
        <f>IF('MASTER DATA'!Z215="","",'MASTER DATA'!Z215)</f>
        <v>N</v>
      </c>
      <c r="AA53" s="16">
        <f>IF('MASTER DATA'!AA215="","",'MASTER DATA'!AA215)</f>
        <v>1</v>
      </c>
      <c r="AB53" s="16" t="str">
        <f>IF('MASTER DATA'!AB215="","",'MASTER DATA'!AB215)</f>
        <v>SINGLE-SIGNAL</v>
      </c>
      <c r="AC53" s="16" t="str">
        <f>IF('MASTER DATA'!AC215="","",'MASTER DATA'!AC215)</f>
        <v>Settlement Authorization</v>
      </c>
    </row>
    <row r="54" spans="1:29" x14ac:dyDescent="0.45">
      <c r="A54" t="str">
        <f>IF('MASTER DATA'!A216="","",'MASTER DATA'!A216)</f>
        <v>SYN-CLM-0215</v>
      </c>
      <c r="B54" t="str">
        <f>IF('MASTER DATA'!B216="","",'MASTER DATA'!B216)</f>
        <v>Synthetic Claimant 0215</v>
      </c>
      <c r="C54" t="str">
        <f>IF('MASTER DATA'!C216="","",'MASTER DATA'!C216)</f>
        <v>Claims Analyst C</v>
      </c>
      <c r="D54" t="str">
        <f>IF('MASTER DATA'!D216="","",'MASTER DATA'!D216)</f>
        <v>Synthetic Policyholder 040, LLC</v>
      </c>
      <c r="E54" s="15">
        <f>IF('MASTER DATA'!E216="","",'MASTER DATA'!E216)</f>
        <v>43318</v>
      </c>
      <c r="F54" s="16" t="str">
        <f>IF('MASTER DATA'!F216="","",'MASTER DATA'!F216)</f>
        <v>Y</v>
      </c>
      <c r="G54" s="17">
        <f>IF('MASTER DATA'!G216="","",'MASTER DATA'!G216)</f>
        <v>87250</v>
      </c>
      <c r="H54" s="16" t="str">
        <f>IF('MASTER DATA'!H216="","",'MASTER DATA'!H216)</f>
        <v>Synthetic Approver 07</v>
      </c>
      <c r="I54" s="15">
        <f>IF('MASTER DATA'!I216="","",'MASTER DATA'!I216)</f>
        <v>43792</v>
      </c>
      <c r="J54" s="16" t="str">
        <f>IF('MASTER DATA'!J216="","",'MASTER DATA'!J216)</f>
        <v>N</v>
      </c>
      <c r="K54" s="15" t="str">
        <f>IF('MASTER DATA'!K216="","",'MASTER DATA'!K216)</f>
        <v/>
      </c>
      <c r="L54" s="16" t="str">
        <f>IF('MASTER DATA'!L216="","",'MASTER DATA'!L216)</f>
        <v>N</v>
      </c>
      <c r="M54" s="16" t="str">
        <f>IF('MASTER DATA'!M216="","",'MASTER DATA'!M216)</f>
        <v>N</v>
      </c>
      <c r="N54" s="15" t="str">
        <f>IF('MASTER DATA'!N216="","",'MASTER DATA'!N216)</f>
        <v/>
      </c>
      <c r="O54" s="16" t="str">
        <f>IF('MASTER DATA'!O216="","",'MASTER DATA'!O216)</f>
        <v/>
      </c>
      <c r="P54" s="16" t="str">
        <f>IF('MASTER DATA'!P216="","",'MASTER DATA'!P216)</f>
        <v>N</v>
      </c>
      <c r="Q54" s="16" t="str">
        <f>IF('MASTER DATA'!Q216="","",'MASTER DATA'!Q216)</f>
        <v/>
      </c>
      <c r="R54" s="16" t="str">
        <f>IF('MASTER DATA'!R216="","",'MASTER DATA'!R216)</f>
        <v/>
      </c>
      <c r="S54" s="16" t="str">
        <f>IF('MASTER DATA'!S216="","",'MASTER DATA'!S216)</f>
        <v>N</v>
      </c>
      <c r="T54" s="15" t="str">
        <f>IF('MASTER DATA'!T216="","",'MASTER DATA'!T216)</f>
        <v/>
      </c>
      <c r="U54" s="16" t="str">
        <f>IF('MASTER DATA'!U216="","",'MASTER DATA'!U216)</f>
        <v>N</v>
      </c>
      <c r="V54" s="16" t="str">
        <f>IF('MASTER DATA'!V216="","",'MASTER DATA'!V216)</f>
        <v>N</v>
      </c>
      <c r="W54" s="16" t="str">
        <f>IF('MASTER DATA'!W216="","",'MASTER DATA'!W216)</f>
        <v>N</v>
      </c>
      <c r="X54" s="16" t="str">
        <f>IF('MASTER DATA'!X216="","",'MASTER DATA'!X216)</f>
        <v>N</v>
      </c>
      <c r="Y54" s="16" t="str">
        <f>IF('MASTER DATA'!Y216="","",'MASTER DATA'!Y216)</f>
        <v>N</v>
      </c>
      <c r="Z54" s="16" t="str">
        <f>IF('MASTER DATA'!Z216="","",'MASTER DATA'!Z216)</f>
        <v>N</v>
      </c>
      <c r="AA54" s="16">
        <f>IF('MASTER DATA'!AA216="","",'MASTER DATA'!AA216)</f>
        <v>1</v>
      </c>
      <c r="AB54" s="16" t="str">
        <f>IF('MASTER DATA'!AB216="","",'MASTER DATA'!AB216)</f>
        <v>SINGLE-SIGNAL</v>
      </c>
      <c r="AC54" s="16" t="str">
        <f>IF('MASTER DATA'!AC216="","",'MASTER DATA'!AC216)</f>
        <v>Settlement Authorization</v>
      </c>
    </row>
    <row r="55" spans="1:29" x14ac:dyDescent="0.45">
      <c r="A55" t="str">
        <f>IF('MASTER DATA'!A217="","",'MASTER DATA'!A217)</f>
        <v>SYN-CLM-0216</v>
      </c>
      <c r="B55" t="str">
        <f>IF('MASTER DATA'!B217="","",'MASTER DATA'!B217)</f>
        <v>Synthetic Claimant 0216</v>
      </c>
      <c r="C55" t="str">
        <f>IF('MASTER DATA'!C217="","",'MASTER DATA'!C217)</f>
        <v>Claims Analyst C</v>
      </c>
      <c r="D55" t="str">
        <f>IF('MASTER DATA'!D217="","",'MASTER DATA'!D217)</f>
        <v>Synthetic Policyholder 085, LLC</v>
      </c>
      <c r="E55" s="15">
        <f>IF('MASTER DATA'!E217="","",'MASTER DATA'!E217)</f>
        <v>44022</v>
      </c>
      <c r="F55" s="16" t="str">
        <f>IF('MASTER DATA'!F217="","",'MASTER DATA'!F217)</f>
        <v>N</v>
      </c>
      <c r="G55" s="17" t="str">
        <f>IF('MASTER DATA'!G217="","",'MASTER DATA'!G217)</f>
        <v/>
      </c>
      <c r="H55" s="16" t="str">
        <f>IF('MASTER DATA'!H217="","",'MASTER DATA'!H217)</f>
        <v/>
      </c>
      <c r="I55" s="15" t="str">
        <f>IF('MASTER DATA'!I217="","",'MASTER DATA'!I217)</f>
        <v/>
      </c>
      <c r="J55" s="16" t="str">
        <f>IF('MASTER DATA'!J217="","",'MASTER DATA'!J217)</f>
        <v>N</v>
      </c>
      <c r="K55" s="15" t="str">
        <f>IF('MASTER DATA'!K217="","",'MASTER DATA'!K217)</f>
        <v/>
      </c>
      <c r="L55" s="16" t="str">
        <f>IF('MASTER DATA'!L217="","",'MASTER DATA'!L217)</f>
        <v/>
      </c>
      <c r="M55" s="16" t="str">
        <f>IF('MASTER DATA'!M217="","",'MASTER DATA'!M217)</f>
        <v>N</v>
      </c>
      <c r="N55" s="15" t="str">
        <f>IF('MASTER DATA'!N217="","",'MASTER DATA'!N217)</f>
        <v/>
      </c>
      <c r="O55" s="16" t="str">
        <f>IF('MASTER DATA'!O217="","",'MASTER DATA'!O217)</f>
        <v/>
      </c>
      <c r="P55" s="16" t="str">
        <f>IF('MASTER DATA'!P217="","",'MASTER DATA'!P217)</f>
        <v>N</v>
      </c>
      <c r="Q55" s="16" t="str">
        <f>IF('MASTER DATA'!Q217="","",'MASTER DATA'!Q217)</f>
        <v/>
      </c>
      <c r="R55" s="16" t="str">
        <f>IF('MASTER DATA'!R217="","",'MASTER DATA'!R217)</f>
        <v/>
      </c>
      <c r="S55" s="16" t="str">
        <f>IF('MASTER DATA'!S217="","",'MASTER DATA'!S217)</f>
        <v>Y</v>
      </c>
      <c r="T55" s="15">
        <f>IF('MASTER DATA'!T217="","",'MASTER DATA'!T217)</f>
        <v>45901</v>
      </c>
      <c r="U55" s="16" t="str">
        <f>IF('MASTER DATA'!U217="","",'MASTER DATA'!U217)</f>
        <v>N</v>
      </c>
      <c r="V55" s="16" t="str">
        <f>IF('MASTER DATA'!V217="","",'MASTER DATA'!V217)</f>
        <v>N</v>
      </c>
      <c r="W55" s="16" t="str">
        <f>IF('MASTER DATA'!W217="","",'MASTER DATA'!W217)</f>
        <v>N</v>
      </c>
      <c r="X55" s="16" t="str">
        <f>IF('MASTER DATA'!X217="","",'MASTER DATA'!X217)</f>
        <v>N</v>
      </c>
      <c r="Y55" s="16" t="str">
        <f>IF('MASTER DATA'!Y217="","",'MASTER DATA'!Y217)</f>
        <v>N</v>
      </c>
      <c r="Z55" s="16" t="str">
        <f>IF('MASTER DATA'!Z217="","",'MASTER DATA'!Z217)</f>
        <v>N</v>
      </c>
      <c r="AA55" s="16">
        <f>IF('MASTER DATA'!AA217="","",'MASTER DATA'!AA217)</f>
        <v>1</v>
      </c>
      <c r="AB55" s="16" t="str">
        <f>IF('MASTER DATA'!AB217="","",'MASTER DATA'!AB217)</f>
        <v>SINGLE-SIGNAL</v>
      </c>
      <c r="AC55" s="16" t="str">
        <f>IF('MASTER DATA'!AC217="","",'MASTER DATA'!AC217)</f>
        <v>Inactive Customer</v>
      </c>
    </row>
    <row r="56" spans="1:29" x14ac:dyDescent="0.45">
      <c r="A56" t="str">
        <f>IF('MASTER DATA'!A218="","",'MASTER DATA'!A218)</f>
        <v>SYN-CLM-0217</v>
      </c>
      <c r="B56" t="str">
        <f>IF('MASTER DATA'!B218="","",'MASTER DATA'!B218)</f>
        <v>Synthetic Claimant 0217</v>
      </c>
      <c r="C56" t="str">
        <f>IF('MASTER DATA'!C218="","",'MASTER DATA'!C218)</f>
        <v>Claims Analyst C</v>
      </c>
      <c r="D56" t="str">
        <f>IF('MASTER DATA'!D218="","",'MASTER DATA'!D218)</f>
        <v>Synthetic Policyholder 157, LLC</v>
      </c>
      <c r="E56" s="15">
        <f>IF('MASTER DATA'!E218="","",'MASTER DATA'!E218)</f>
        <v>43120</v>
      </c>
      <c r="F56" s="16" t="str">
        <f>IF('MASTER DATA'!F218="","",'MASTER DATA'!F218)</f>
        <v>Y</v>
      </c>
      <c r="G56" s="17">
        <f>IF('MASTER DATA'!G218="","",'MASTER DATA'!G218)</f>
        <v>69250</v>
      </c>
      <c r="H56" s="16" t="str">
        <f>IF('MASTER DATA'!H218="","",'MASTER DATA'!H218)</f>
        <v>Synthetic Approver 04</v>
      </c>
      <c r="I56" s="15">
        <f>IF('MASTER DATA'!I218="","",'MASTER DATA'!I218)</f>
        <v>43872</v>
      </c>
      <c r="J56" s="16" t="str">
        <f>IF('MASTER DATA'!J218="","",'MASTER DATA'!J218)</f>
        <v>N</v>
      </c>
      <c r="K56" s="15" t="str">
        <f>IF('MASTER DATA'!K218="","",'MASTER DATA'!K218)</f>
        <v/>
      </c>
      <c r="L56" s="16" t="str">
        <f>IF('MASTER DATA'!L218="","",'MASTER DATA'!L218)</f>
        <v>Y</v>
      </c>
      <c r="M56" s="16" t="str">
        <f>IF('MASTER DATA'!M218="","",'MASTER DATA'!M218)</f>
        <v>N</v>
      </c>
      <c r="N56" s="15" t="str">
        <f>IF('MASTER DATA'!N218="","",'MASTER DATA'!N218)</f>
        <v/>
      </c>
      <c r="O56" s="16" t="str">
        <f>IF('MASTER DATA'!O218="","",'MASTER DATA'!O218)</f>
        <v/>
      </c>
      <c r="P56" s="16" t="str">
        <f>IF('MASTER DATA'!P218="","",'MASTER DATA'!P218)</f>
        <v>N</v>
      </c>
      <c r="Q56" s="16" t="str">
        <f>IF('MASTER DATA'!Q218="","",'MASTER DATA'!Q218)</f>
        <v/>
      </c>
      <c r="R56" s="16" t="str">
        <f>IF('MASTER DATA'!R218="","",'MASTER DATA'!R218)</f>
        <v/>
      </c>
      <c r="S56" s="16" t="str">
        <f>IF('MASTER DATA'!S218="","",'MASTER DATA'!S218)</f>
        <v>N</v>
      </c>
      <c r="T56" s="15" t="str">
        <f>IF('MASTER DATA'!T218="","",'MASTER DATA'!T218)</f>
        <v/>
      </c>
      <c r="U56" s="16" t="str">
        <f>IF('MASTER DATA'!U218="","",'MASTER DATA'!U218)</f>
        <v>N</v>
      </c>
      <c r="V56" s="16" t="str">
        <f>IF('MASTER DATA'!V218="","",'MASTER DATA'!V218)</f>
        <v>N</v>
      </c>
      <c r="W56" s="16" t="str">
        <f>IF('MASTER DATA'!W218="","",'MASTER DATA'!W218)</f>
        <v>N</v>
      </c>
      <c r="X56" s="16" t="str">
        <f>IF('MASTER DATA'!X218="","",'MASTER DATA'!X218)</f>
        <v>N</v>
      </c>
      <c r="Y56" s="16" t="str">
        <f>IF('MASTER DATA'!Y218="","",'MASTER DATA'!Y218)</f>
        <v>N</v>
      </c>
      <c r="Z56" s="16" t="str">
        <f>IF('MASTER DATA'!Z218="","",'MASTER DATA'!Z218)</f>
        <v>N</v>
      </c>
      <c r="AA56" s="16">
        <f>IF('MASTER DATA'!AA218="","",'MASTER DATA'!AA218)</f>
        <v>1</v>
      </c>
      <c r="AB56" s="16" t="str">
        <f>IF('MASTER DATA'!AB218="","",'MASTER DATA'!AB218)</f>
        <v>SINGLE-SIGNAL</v>
      </c>
      <c r="AC56" s="16" t="str">
        <f>IF('MASTER DATA'!AC218="","",'MASTER DATA'!AC218)</f>
        <v>Settlement Authorization</v>
      </c>
    </row>
  </sheetData>
  <conditionalFormatting sqref="A2:AC56">
    <cfRule type="expression" dxfId="9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8" width="34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38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DATA'!A33="","",'MASTER DATA'!A33)</f>
        <v>SYN-CLM-0032</v>
      </c>
      <c r="B2" t="str">
        <f>IF('MASTER DATA'!B33="","",'MASTER DATA'!B33)</f>
        <v>Synthetic Claimant 0032</v>
      </c>
      <c r="C2" t="str">
        <f>IF('MASTER DATA'!C33="","",'MASTER DATA'!C33)</f>
        <v>Claims Analyst D</v>
      </c>
      <c r="D2" t="str">
        <f>IF('MASTER DATA'!D33="","",'MASTER DATA'!D33)</f>
        <v>Synthetic Policyholder 004, LLC</v>
      </c>
      <c r="E2" s="15">
        <f>IF('MASTER DATA'!E33="","",'MASTER DATA'!E33)</f>
        <v>45156</v>
      </c>
      <c r="F2" s="16" t="str">
        <f>IF('MASTER DATA'!F33="","",'MASTER DATA'!F33)</f>
        <v>Y</v>
      </c>
      <c r="G2" s="17">
        <f>IF('MASTER DATA'!G33="","",'MASTER DATA'!G33)</f>
        <v>122250</v>
      </c>
      <c r="H2" s="16" t="str">
        <f>IF('MASTER DATA'!H33="","",'MASTER DATA'!H33)</f>
        <v>Synthetic Approver 02</v>
      </c>
      <c r="I2" s="15">
        <f>IF('MASTER DATA'!I33="","",'MASTER DATA'!I33)</f>
        <v>45229</v>
      </c>
      <c r="J2" s="16" t="str">
        <f>IF('MASTER DATA'!J33="","",'MASTER DATA'!J33)</f>
        <v>N</v>
      </c>
      <c r="K2" s="15" t="str">
        <f>IF('MASTER DATA'!K33="","",'MASTER DATA'!K33)</f>
        <v/>
      </c>
      <c r="L2" s="16" t="str">
        <f>IF('MASTER DATA'!L33="","",'MASTER DATA'!L33)</f>
        <v>N</v>
      </c>
      <c r="M2" s="16" t="str">
        <f>IF('MASTER DATA'!M33="","",'MASTER DATA'!M33)</f>
        <v>N</v>
      </c>
      <c r="N2" s="15" t="str">
        <f>IF('MASTER DATA'!N33="","",'MASTER DATA'!N33)</f>
        <v/>
      </c>
      <c r="O2" s="16" t="str">
        <f>IF('MASTER DATA'!O33="","",'MASTER DATA'!O33)</f>
        <v/>
      </c>
      <c r="P2" s="16" t="str">
        <f>IF('MASTER DATA'!P33="","",'MASTER DATA'!P33)</f>
        <v>N</v>
      </c>
      <c r="Q2" s="16" t="str">
        <f>IF('MASTER DATA'!Q33="","",'MASTER DATA'!Q33)</f>
        <v/>
      </c>
      <c r="R2" s="16" t="str">
        <f>IF('MASTER DATA'!R33="","",'MASTER DATA'!R33)</f>
        <v/>
      </c>
      <c r="S2" s="16" t="str">
        <f>IF('MASTER DATA'!S33="","",'MASTER DATA'!S33)</f>
        <v>N</v>
      </c>
      <c r="T2" s="15" t="str">
        <f>IF('MASTER DATA'!T33="","",'MASTER DATA'!T33)</f>
        <v/>
      </c>
      <c r="U2" s="16" t="str">
        <f>IF('MASTER DATA'!U33="","",'MASTER DATA'!U33)</f>
        <v>N</v>
      </c>
      <c r="V2" s="16" t="str">
        <f>IF('MASTER DATA'!V33="","",'MASTER DATA'!V33)</f>
        <v>N</v>
      </c>
      <c r="W2" s="16" t="str">
        <f>IF('MASTER DATA'!W33="","",'MASTER DATA'!W33)</f>
        <v>N</v>
      </c>
      <c r="X2" s="16" t="str">
        <f>IF('MASTER DATA'!X33="","",'MASTER DATA'!X33)</f>
        <v>N</v>
      </c>
      <c r="Y2" s="16" t="str">
        <f>IF('MASTER DATA'!Y33="","",'MASTER DATA'!Y33)</f>
        <v>N</v>
      </c>
      <c r="Z2" s="16" t="str">
        <f>IF('MASTER DATA'!Z33="","",'MASTER DATA'!Z33)</f>
        <v>N</v>
      </c>
      <c r="AA2" s="16">
        <f>IF('MASTER DATA'!AA33="","",'MASTER DATA'!AA33)</f>
        <v>1</v>
      </c>
      <c r="AB2" s="16" t="str">
        <f>IF('MASTER DATA'!AB33="","",'MASTER DATA'!AB33)</f>
        <v>SINGLE-SIGNAL</v>
      </c>
      <c r="AC2" s="16" t="str">
        <f>IF('MASTER DATA'!AC33="","",'MASTER DATA'!AC33)</f>
        <v>Settlement Authorization</v>
      </c>
    </row>
    <row r="3" spans="1:29" x14ac:dyDescent="0.45">
      <c r="A3" t="str">
        <f>IF('MASTER DATA'!A219="","",'MASTER DATA'!A219)</f>
        <v>SYN-CLM-0218</v>
      </c>
      <c r="B3" t="str">
        <f>IF('MASTER DATA'!B219="","",'MASTER DATA'!B219)</f>
        <v>Synthetic Claimant 0218</v>
      </c>
      <c r="C3" t="str">
        <f>IF('MASTER DATA'!C219="","",'MASTER DATA'!C219)</f>
        <v>Claims Analyst D</v>
      </c>
      <c r="D3" t="str">
        <f>IF('MASTER DATA'!D219="","",'MASTER DATA'!D219)</f>
        <v>Synthetic Policyholder 175, LLC</v>
      </c>
      <c r="E3" s="15">
        <f>IF('MASTER DATA'!E219="","",'MASTER DATA'!E219)</f>
        <v>45231</v>
      </c>
      <c r="F3" s="16" t="str">
        <f>IF('MASTER DATA'!F219="","",'MASTER DATA'!F219)</f>
        <v>Y</v>
      </c>
      <c r="G3" s="17">
        <f>IF('MASTER DATA'!G219="","",'MASTER DATA'!G219)</f>
        <v>65500</v>
      </c>
      <c r="H3" s="16" t="str">
        <f>IF('MASTER DATA'!H219="","",'MASTER DATA'!H219)</f>
        <v>Synthetic Approver 09</v>
      </c>
      <c r="I3" s="15">
        <f>IF('MASTER DATA'!I219="","",'MASTER DATA'!I219)</f>
        <v>46255</v>
      </c>
      <c r="J3" s="16" t="str">
        <f>IF('MASTER DATA'!J219="","",'MASTER DATA'!J219)</f>
        <v>N</v>
      </c>
      <c r="K3" s="15" t="str">
        <f>IF('MASTER DATA'!K219="","",'MASTER DATA'!K219)</f>
        <v/>
      </c>
      <c r="L3" s="16" t="str">
        <f>IF('MASTER DATA'!L219="","",'MASTER DATA'!L219)</f>
        <v>N</v>
      </c>
      <c r="M3" s="16" t="str">
        <f>IF('MASTER DATA'!M219="","",'MASTER DATA'!M219)</f>
        <v>N</v>
      </c>
      <c r="N3" s="15" t="str">
        <f>IF('MASTER DATA'!N219="","",'MASTER DATA'!N219)</f>
        <v/>
      </c>
      <c r="O3" s="16" t="str">
        <f>IF('MASTER DATA'!O219="","",'MASTER DATA'!O219)</f>
        <v/>
      </c>
      <c r="P3" s="16" t="str">
        <f>IF('MASTER DATA'!P219="","",'MASTER DATA'!P219)</f>
        <v>N</v>
      </c>
      <c r="Q3" s="16" t="str">
        <f>IF('MASTER DATA'!Q219="","",'MASTER DATA'!Q219)</f>
        <v/>
      </c>
      <c r="R3" s="16" t="str">
        <f>IF('MASTER DATA'!R219="","",'MASTER DATA'!R219)</f>
        <v/>
      </c>
      <c r="S3" s="16" t="str">
        <f>IF('MASTER DATA'!S219="","",'MASTER DATA'!S219)</f>
        <v>N</v>
      </c>
      <c r="T3" s="15" t="str">
        <f>IF('MASTER DATA'!T219="","",'MASTER DATA'!T219)</f>
        <v/>
      </c>
      <c r="U3" s="16" t="str">
        <f>IF('MASTER DATA'!U219="","",'MASTER DATA'!U219)</f>
        <v>N</v>
      </c>
      <c r="V3" s="16" t="str">
        <f>IF('MASTER DATA'!V219="","",'MASTER DATA'!V219)</f>
        <v>N</v>
      </c>
      <c r="W3" s="16" t="str">
        <f>IF('MASTER DATA'!W219="","",'MASTER DATA'!W219)</f>
        <v>N</v>
      </c>
      <c r="X3" s="16" t="str">
        <f>IF('MASTER DATA'!X219="","",'MASTER DATA'!X219)</f>
        <v>N</v>
      </c>
      <c r="Y3" s="16" t="str">
        <f>IF('MASTER DATA'!Y219="","",'MASTER DATA'!Y219)</f>
        <v>N</v>
      </c>
      <c r="Z3" s="16" t="str">
        <f>IF('MASTER DATA'!Z219="","",'MASTER DATA'!Z219)</f>
        <v>N</v>
      </c>
      <c r="AA3" s="16">
        <f>IF('MASTER DATA'!AA219="","",'MASTER DATA'!AA219)</f>
        <v>1</v>
      </c>
      <c r="AB3" s="16" t="str">
        <f>IF('MASTER DATA'!AB219="","",'MASTER DATA'!AB219)</f>
        <v>SINGLE-SIGNAL</v>
      </c>
      <c r="AC3" s="16" t="str">
        <f>IF('MASTER DATA'!AC219="","",'MASTER DATA'!AC219)</f>
        <v>Settlement Authorization</v>
      </c>
    </row>
    <row r="4" spans="1:29" x14ac:dyDescent="0.45">
      <c r="A4" t="str">
        <f>IF('MASTER DATA'!A220="","",'MASTER DATA'!A220)</f>
        <v>SYN-CLM-0219</v>
      </c>
      <c r="B4" t="str">
        <f>IF('MASTER DATA'!B220="","",'MASTER DATA'!B220)</f>
        <v>Synthetic Claimant 0219</v>
      </c>
      <c r="C4" t="str">
        <f>IF('MASTER DATA'!C220="","",'MASTER DATA'!C220)</f>
        <v>Claims Analyst D</v>
      </c>
      <c r="D4" t="str">
        <f>IF('MASTER DATA'!D220="","",'MASTER DATA'!D220)</f>
        <v>Synthetic Policyholder 039, LLC</v>
      </c>
      <c r="E4" s="15">
        <f>IF('MASTER DATA'!E220="","",'MASTER DATA'!E220)</f>
        <v>46043</v>
      </c>
      <c r="F4" s="16" t="str">
        <f>IF('MASTER DATA'!F220="","",'MASTER DATA'!F220)</f>
        <v>Y</v>
      </c>
      <c r="G4" s="17">
        <f>IF('MASTER DATA'!G220="","",'MASTER DATA'!G220)</f>
        <v>101000</v>
      </c>
      <c r="H4" s="16" t="str">
        <f>IF('MASTER DATA'!H220="","",'MASTER DATA'!H220)</f>
        <v>Synthetic Approver 05</v>
      </c>
      <c r="I4" s="15">
        <f>IF('MASTER DATA'!I220="","",'MASTER DATA'!I220)</f>
        <v>47107</v>
      </c>
      <c r="J4" s="16" t="str">
        <f>IF('MASTER DATA'!J220="","",'MASTER DATA'!J220)</f>
        <v>N</v>
      </c>
      <c r="K4" s="15" t="str">
        <f>IF('MASTER DATA'!K220="","",'MASTER DATA'!K220)</f>
        <v/>
      </c>
      <c r="L4" s="16" t="str">
        <f>IF('MASTER DATA'!L220="","",'MASTER DATA'!L220)</f>
        <v>Y</v>
      </c>
      <c r="M4" s="16" t="str">
        <f>IF('MASTER DATA'!M220="","",'MASTER DATA'!M220)</f>
        <v>N</v>
      </c>
      <c r="N4" s="15" t="str">
        <f>IF('MASTER DATA'!N220="","",'MASTER DATA'!N220)</f>
        <v/>
      </c>
      <c r="O4" s="16" t="str">
        <f>IF('MASTER DATA'!O220="","",'MASTER DATA'!O220)</f>
        <v/>
      </c>
      <c r="P4" s="16" t="str">
        <f>IF('MASTER DATA'!P220="","",'MASTER DATA'!P220)</f>
        <v>N</v>
      </c>
      <c r="Q4" s="16" t="str">
        <f>IF('MASTER DATA'!Q220="","",'MASTER DATA'!Q220)</f>
        <v/>
      </c>
      <c r="R4" s="16" t="str">
        <f>IF('MASTER DATA'!R220="","",'MASTER DATA'!R220)</f>
        <v/>
      </c>
      <c r="S4" s="16" t="str">
        <f>IF('MASTER DATA'!S220="","",'MASTER DATA'!S220)</f>
        <v>N</v>
      </c>
      <c r="T4" s="15" t="str">
        <f>IF('MASTER DATA'!T220="","",'MASTER DATA'!T220)</f>
        <v/>
      </c>
      <c r="U4" s="16" t="str">
        <f>IF('MASTER DATA'!U220="","",'MASTER DATA'!U220)</f>
        <v>N</v>
      </c>
      <c r="V4" s="16" t="str">
        <f>IF('MASTER DATA'!V220="","",'MASTER DATA'!V220)</f>
        <v>N</v>
      </c>
      <c r="W4" s="16" t="str">
        <f>IF('MASTER DATA'!W220="","",'MASTER DATA'!W220)</f>
        <v>N</v>
      </c>
      <c r="X4" s="16" t="str">
        <f>IF('MASTER DATA'!X220="","",'MASTER DATA'!X220)</f>
        <v>N</v>
      </c>
      <c r="Y4" s="16" t="str">
        <f>IF('MASTER DATA'!Y220="","",'MASTER DATA'!Y220)</f>
        <v>N</v>
      </c>
      <c r="Z4" s="16" t="str">
        <f>IF('MASTER DATA'!Z220="","",'MASTER DATA'!Z220)</f>
        <v>N</v>
      </c>
      <c r="AA4" s="16">
        <f>IF('MASTER DATA'!AA220="","",'MASTER DATA'!AA220)</f>
        <v>1</v>
      </c>
      <c r="AB4" s="16" t="str">
        <f>IF('MASTER DATA'!AB220="","",'MASTER DATA'!AB220)</f>
        <v>SINGLE-SIGNAL</v>
      </c>
      <c r="AC4" s="16" t="str">
        <f>IF('MASTER DATA'!AC220="","",'MASTER DATA'!AC220)</f>
        <v>Settlement Authorization</v>
      </c>
    </row>
    <row r="5" spans="1:29" x14ac:dyDescent="0.45">
      <c r="A5" t="str">
        <f>IF('MASTER DATA'!A221="","",'MASTER DATA'!A221)</f>
        <v>SYN-CLM-0220</v>
      </c>
      <c r="B5" t="str">
        <f>IF('MASTER DATA'!B221="","",'MASTER DATA'!B221)</f>
        <v>Synthetic Claimant 0220</v>
      </c>
      <c r="C5" t="str">
        <f>IF('MASTER DATA'!C221="","",'MASTER DATA'!C221)</f>
        <v>Claims Analyst D</v>
      </c>
      <c r="D5" t="str">
        <f>IF('MASTER DATA'!D221="","",'MASTER DATA'!D221)</f>
        <v>Synthetic Policyholder 122, LLC</v>
      </c>
      <c r="E5" s="15">
        <f>IF('MASTER DATA'!E221="","",'MASTER DATA'!E221)</f>
        <v>44257</v>
      </c>
      <c r="F5" s="16" t="str">
        <f>IF('MASTER DATA'!F221="","",'MASTER DATA'!F221)</f>
        <v>N</v>
      </c>
      <c r="G5" s="17" t="str">
        <f>IF('MASTER DATA'!G221="","",'MASTER DATA'!G221)</f>
        <v/>
      </c>
      <c r="H5" s="16" t="str">
        <f>IF('MASTER DATA'!H221="","",'MASTER DATA'!H221)</f>
        <v/>
      </c>
      <c r="I5" s="15" t="str">
        <f>IF('MASTER DATA'!I221="","",'MASTER DATA'!I221)</f>
        <v/>
      </c>
      <c r="J5" s="16" t="str">
        <f>IF('MASTER DATA'!J221="","",'MASTER DATA'!J221)</f>
        <v>N</v>
      </c>
      <c r="K5" s="15" t="str">
        <f>IF('MASTER DATA'!K221="","",'MASTER DATA'!K221)</f>
        <v/>
      </c>
      <c r="L5" s="16" t="str">
        <f>IF('MASTER DATA'!L221="","",'MASTER DATA'!L221)</f>
        <v/>
      </c>
      <c r="M5" s="16" t="str">
        <f>IF('MASTER DATA'!M221="","",'MASTER DATA'!M221)</f>
        <v>N</v>
      </c>
      <c r="N5" s="15" t="str">
        <f>IF('MASTER DATA'!N221="","",'MASTER DATA'!N221)</f>
        <v/>
      </c>
      <c r="O5" s="16" t="str">
        <f>IF('MASTER DATA'!O221="","",'MASTER DATA'!O221)</f>
        <v/>
      </c>
      <c r="P5" s="16" t="str">
        <f>IF('MASTER DATA'!P221="","",'MASTER DATA'!P221)</f>
        <v>N</v>
      </c>
      <c r="Q5" s="16" t="str">
        <f>IF('MASTER DATA'!Q221="","",'MASTER DATA'!Q221)</f>
        <v/>
      </c>
      <c r="R5" s="16" t="str">
        <f>IF('MASTER DATA'!R221="","",'MASTER DATA'!R221)</f>
        <v/>
      </c>
      <c r="S5" s="16" t="str">
        <f>IF('MASTER DATA'!S221="","",'MASTER DATA'!S221)</f>
        <v>Y</v>
      </c>
      <c r="T5" s="15">
        <f>IF('MASTER DATA'!T221="","",'MASTER DATA'!T221)</f>
        <v>46149</v>
      </c>
      <c r="U5" s="16" t="str">
        <f>IF('MASTER DATA'!U221="","",'MASTER DATA'!U221)</f>
        <v>N</v>
      </c>
      <c r="V5" s="16" t="str">
        <f>IF('MASTER DATA'!V221="","",'MASTER DATA'!V221)</f>
        <v>N</v>
      </c>
      <c r="W5" s="16" t="str">
        <f>IF('MASTER DATA'!W221="","",'MASTER DATA'!W221)</f>
        <v>N</v>
      </c>
      <c r="X5" s="16" t="str">
        <f>IF('MASTER DATA'!X221="","",'MASTER DATA'!X221)</f>
        <v>N</v>
      </c>
      <c r="Y5" s="16" t="str">
        <f>IF('MASTER DATA'!Y221="","",'MASTER DATA'!Y221)</f>
        <v>N</v>
      </c>
      <c r="Z5" s="16" t="str">
        <f>IF('MASTER DATA'!Z221="","",'MASTER DATA'!Z221)</f>
        <v>N</v>
      </c>
      <c r="AA5" s="16">
        <f>IF('MASTER DATA'!AA221="","",'MASTER DATA'!AA221)</f>
        <v>1</v>
      </c>
      <c r="AB5" s="16" t="str">
        <f>IF('MASTER DATA'!AB221="","",'MASTER DATA'!AB221)</f>
        <v>SINGLE-SIGNAL</v>
      </c>
      <c r="AC5" s="16" t="str">
        <f>IF('MASTER DATA'!AC221="","",'MASTER DATA'!AC221)</f>
        <v>Inactive Customer</v>
      </c>
    </row>
    <row r="6" spans="1:29" x14ac:dyDescent="0.45">
      <c r="A6" t="str">
        <f>IF('MASTER DATA'!A222="","",'MASTER DATA'!A222)</f>
        <v>SYN-CLM-0221</v>
      </c>
      <c r="B6" t="str">
        <f>IF('MASTER DATA'!B222="","",'MASTER DATA'!B222)</f>
        <v>Synthetic Claimant 0221</v>
      </c>
      <c r="C6" t="str">
        <f>IF('MASTER DATA'!C222="","",'MASTER DATA'!C222)</f>
        <v>Claims Analyst D</v>
      </c>
      <c r="D6" t="str">
        <f>IF('MASTER DATA'!D222="","",'MASTER DATA'!D222)</f>
        <v>Synthetic Policyholder 004, LLC</v>
      </c>
      <c r="E6" s="15">
        <f>IF('MASTER DATA'!E222="","",'MASTER DATA'!E222)</f>
        <v>45770</v>
      </c>
      <c r="F6" s="16" t="str">
        <f>IF('MASTER DATA'!F222="","",'MASTER DATA'!F222)</f>
        <v>Y</v>
      </c>
      <c r="G6" s="17">
        <f>IF('MASTER DATA'!G222="","",'MASTER DATA'!G222)</f>
        <v>79000</v>
      </c>
      <c r="H6" s="16" t="str">
        <f>IF('MASTER DATA'!H222="","",'MASTER DATA'!H222)</f>
        <v>Synthetic Approver 06</v>
      </c>
      <c r="I6" s="15">
        <f>IF('MASTER DATA'!I222="","",'MASTER DATA'!I222)</f>
        <v>47088</v>
      </c>
      <c r="J6" s="16" t="str">
        <f>IF('MASTER DATA'!J222="","",'MASTER DATA'!J222)</f>
        <v>N</v>
      </c>
      <c r="K6" s="15" t="str">
        <f>IF('MASTER DATA'!K222="","",'MASTER DATA'!K222)</f>
        <v/>
      </c>
      <c r="L6" s="16" t="str">
        <f>IF('MASTER DATA'!L222="","",'MASTER DATA'!L222)</f>
        <v>N</v>
      </c>
      <c r="M6" s="16" t="str">
        <f>IF('MASTER DATA'!M222="","",'MASTER DATA'!M222)</f>
        <v>N</v>
      </c>
      <c r="N6" s="15" t="str">
        <f>IF('MASTER DATA'!N222="","",'MASTER DATA'!N222)</f>
        <v/>
      </c>
      <c r="O6" s="16" t="str">
        <f>IF('MASTER DATA'!O222="","",'MASTER DATA'!O222)</f>
        <v/>
      </c>
      <c r="P6" s="16" t="str">
        <f>IF('MASTER DATA'!P222="","",'MASTER DATA'!P222)</f>
        <v>N</v>
      </c>
      <c r="Q6" s="16" t="str">
        <f>IF('MASTER DATA'!Q222="","",'MASTER DATA'!Q222)</f>
        <v/>
      </c>
      <c r="R6" s="16" t="str">
        <f>IF('MASTER DATA'!R222="","",'MASTER DATA'!R222)</f>
        <v/>
      </c>
      <c r="S6" s="16" t="str">
        <f>IF('MASTER DATA'!S222="","",'MASTER DATA'!S222)</f>
        <v>N</v>
      </c>
      <c r="T6" s="15" t="str">
        <f>IF('MASTER DATA'!T222="","",'MASTER DATA'!T222)</f>
        <v/>
      </c>
      <c r="U6" s="16" t="str">
        <f>IF('MASTER DATA'!U222="","",'MASTER DATA'!U222)</f>
        <v>N</v>
      </c>
      <c r="V6" s="16" t="str">
        <f>IF('MASTER DATA'!V222="","",'MASTER DATA'!V222)</f>
        <v>N</v>
      </c>
      <c r="W6" s="16" t="str">
        <f>IF('MASTER DATA'!W222="","",'MASTER DATA'!W222)</f>
        <v>N</v>
      </c>
      <c r="X6" s="16" t="str">
        <f>IF('MASTER DATA'!X222="","",'MASTER DATA'!X222)</f>
        <v>N</v>
      </c>
      <c r="Y6" s="16" t="str">
        <f>IF('MASTER DATA'!Y222="","",'MASTER DATA'!Y222)</f>
        <v>N</v>
      </c>
      <c r="Z6" s="16" t="str">
        <f>IF('MASTER DATA'!Z222="","",'MASTER DATA'!Z222)</f>
        <v>N</v>
      </c>
      <c r="AA6" s="16">
        <f>IF('MASTER DATA'!AA222="","",'MASTER DATA'!AA222)</f>
        <v>1</v>
      </c>
      <c r="AB6" s="16" t="str">
        <f>IF('MASTER DATA'!AB222="","",'MASTER DATA'!AB222)</f>
        <v>SINGLE-SIGNAL</v>
      </c>
      <c r="AC6" s="16" t="str">
        <f>IF('MASTER DATA'!AC222="","",'MASTER DATA'!AC222)</f>
        <v>Settlement Authorization</v>
      </c>
    </row>
    <row r="7" spans="1:29" x14ac:dyDescent="0.45">
      <c r="A7" t="str">
        <f>IF('MASTER DATA'!A223="","",'MASTER DATA'!A223)</f>
        <v>SYN-CLM-0222</v>
      </c>
      <c r="B7" t="str">
        <f>IF('MASTER DATA'!B223="","",'MASTER DATA'!B223)</f>
        <v>Synthetic Claimant 0222</v>
      </c>
      <c r="C7" t="str">
        <f>IF('MASTER DATA'!C223="","",'MASTER DATA'!C223)</f>
        <v>Claims Analyst D</v>
      </c>
      <c r="D7" t="str">
        <f>IF('MASTER DATA'!D223="","",'MASTER DATA'!D223)</f>
        <v>Synthetic Policyholder 113, LLC</v>
      </c>
      <c r="E7" s="15">
        <f>IF('MASTER DATA'!E223="","",'MASTER DATA'!E223)</f>
        <v>43575</v>
      </c>
      <c r="F7" s="16" t="str">
        <f>IF('MASTER DATA'!F223="","",'MASTER DATA'!F223)</f>
        <v>Y</v>
      </c>
      <c r="G7" s="17">
        <f>IF('MASTER DATA'!G223="","",'MASTER DATA'!G223)</f>
        <v>158000</v>
      </c>
      <c r="H7" s="16" t="str">
        <f>IF('MASTER DATA'!H223="","",'MASTER DATA'!H223)</f>
        <v>Synthetic Approver 03</v>
      </c>
      <c r="I7" s="15">
        <f>IF('MASTER DATA'!I223="","",'MASTER DATA'!I223)</f>
        <v>44148</v>
      </c>
      <c r="J7" s="16" t="str">
        <f>IF('MASTER DATA'!J223="","",'MASTER DATA'!J223)</f>
        <v>Y</v>
      </c>
      <c r="K7" s="15">
        <f>IF('MASTER DATA'!K223="","",'MASTER DATA'!K223)</f>
        <v>43616</v>
      </c>
      <c r="L7" s="16" t="str">
        <f>IF('MASTER DATA'!L223="","",'MASTER DATA'!L223)</f>
        <v>N</v>
      </c>
      <c r="M7" s="16" t="str">
        <f>IF('MASTER DATA'!M223="","",'MASTER DATA'!M223)</f>
        <v>N</v>
      </c>
      <c r="N7" s="15" t="str">
        <f>IF('MASTER DATA'!N223="","",'MASTER DATA'!N223)</f>
        <v/>
      </c>
      <c r="O7" s="16" t="str">
        <f>IF('MASTER DATA'!O223="","",'MASTER DATA'!O223)</f>
        <v/>
      </c>
      <c r="P7" s="16" t="str">
        <f>IF('MASTER DATA'!P223="","",'MASTER DATA'!P223)</f>
        <v>N</v>
      </c>
      <c r="Q7" s="16" t="str">
        <f>IF('MASTER DATA'!Q223="","",'MASTER DATA'!Q223)</f>
        <v/>
      </c>
      <c r="R7" s="16" t="str">
        <f>IF('MASTER DATA'!R223="","",'MASTER DATA'!R223)</f>
        <v/>
      </c>
      <c r="S7" s="16" t="str">
        <f>IF('MASTER DATA'!S223="","",'MASTER DATA'!S223)</f>
        <v>N</v>
      </c>
      <c r="T7" s="15" t="str">
        <f>IF('MASTER DATA'!T223="","",'MASTER DATA'!T223)</f>
        <v/>
      </c>
      <c r="U7" s="16" t="str">
        <f>IF('MASTER DATA'!U223="","",'MASTER DATA'!U223)</f>
        <v>N</v>
      </c>
      <c r="V7" s="16" t="str">
        <f>IF('MASTER DATA'!V223="","",'MASTER DATA'!V223)</f>
        <v>N</v>
      </c>
      <c r="W7" s="16" t="str">
        <f>IF('MASTER DATA'!W223="","",'MASTER DATA'!W223)</f>
        <v>N</v>
      </c>
      <c r="X7" s="16" t="str">
        <f>IF('MASTER DATA'!X223="","",'MASTER DATA'!X223)</f>
        <v>N</v>
      </c>
      <c r="Y7" s="16" t="str">
        <f>IF('MASTER DATA'!Y223="","",'MASTER DATA'!Y223)</f>
        <v>N</v>
      </c>
      <c r="Z7" s="16" t="str">
        <f>IF('MASTER DATA'!Z223="","",'MASTER DATA'!Z223)</f>
        <v>N</v>
      </c>
      <c r="AA7" s="16">
        <f>IF('MASTER DATA'!AA223="","",'MASTER DATA'!AA223)</f>
        <v>2</v>
      </c>
      <c r="AB7" s="16" t="str">
        <f>IF('MASTER DATA'!AB223="","",'MASTER DATA'!AB223)</f>
        <v>MULTI-SIGNAL</v>
      </c>
      <c r="AC7" s="16" t="str">
        <f>IF('MASTER DATA'!AC223="","",'MASTER DATA'!AC223)</f>
        <v>Settlement Authorization | Open Stipulation</v>
      </c>
    </row>
    <row r="8" spans="1:29" x14ac:dyDescent="0.45">
      <c r="A8" t="str">
        <f>IF('MASTER DATA'!A224="","",'MASTER DATA'!A224)</f>
        <v>SYN-CLM-0223</v>
      </c>
      <c r="B8" t="str">
        <f>IF('MASTER DATA'!B224="","",'MASTER DATA'!B224)</f>
        <v>Synthetic Claimant 0223</v>
      </c>
      <c r="C8" t="str">
        <f>IF('MASTER DATA'!C224="","",'MASTER DATA'!C224)</f>
        <v>Claims Analyst D</v>
      </c>
      <c r="D8" t="str">
        <f>IF('MASTER DATA'!D224="","",'MASTER DATA'!D224)</f>
        <v>Synthetic Policyholder 023, LLC</v>
      </c>
      <c r="E8" s="15">
        <f>IF('MASTER DATA'!E224="","",'MASTER DATA'!E224)</f>
        <v>44151</v>
      </c>
      <c r="F8" s="16" t="str">
        <f>IF('MASTER DATA'!F224="","",'MASTER DATA'!F224)</f>
        <v>Y</v>
      </c>
      <c r="G8" s="17">
        <f>IF('MASTER DATA'!G224="","",'MASTER DATA'!G224)</f>
        <v>165750</v>
      </c>
      <c r="H8" s="16" t="str">
        <f>IF('MASTER DATA'!H224="","",'MASTER DATA'!H224)</f>
        <v>Synthetic Approver 02</v>
      </c>
      <c r="I8" s="15">
        <f>IF('MASTER DATA'!I224="","",'MASTER DATA'!I224)</f>
        <v>45156</v>
      </c>
      <c r="J8" s="16" t="str">
        <f>IF('MASTER DATA'!J224="","",'MASTER DATA'!J224)</f>
        <v>N</v>
      </c>
      <c r="K8" s="15" t="str">
        <f>IF('MASTER DATA'!K224="","",'MASTER DATA'!K224)</f>
        <v/>
      </c>
      <c r="L8" s="16" t="str">
        <f>IF('MASTER DATA'!L224="","",'MASTER DATA'!L224)</f>
        <v>N</v>
      </c>
      <c r="M8" s="16" t="str">
        <f>IF('MASTER DATA'!M224="","",'MASTER DATA'!M224)</f>
        <v>N</v>
      </c>
      <c r="N8" s="15" t="str">
        <f>IF('MASTER DATA'!N224="","",'MASTER DATA'!N224)</f>
        <v/>
      </c>
      <c r="O8" s="16" t="str">
        <f>IF('MASTER DATA'!O224="","",'MASTER DATA'!O224)</f>
        <v/>
      </c>
      <c r="P8" s="16" t="str">
        <f>IF('MASTER DATA'!P224="","",'MASTER DATA'!P224)</f>
        <v>N</v>
      </c>
      <c r="Q8" s="16" t="str">
        <f>IF('MASTER DATA'!Q224="","",'MASTER DATA'!Q224)</f>
        <v/>
      </c>
      <c r="R8" s="16" t="str">
        <f>IF('MASTER DATA'!R224="","",'MASTER DATA'!R224)</f>
        <v/>
      </c>
      <c r="S8" s="16" t="str">
        <f>IF('MASTER DATA'!S224="","",'MASTER DATA'!S224)</f>
        <v>N</v>
      </c>
      <c r="T8" s="15" t="str">
        <f>IF('MASTER DATA'!T224="","",'MASTER DATA'!T224)</f>
        <v/>
      </c>
      <c r="U8" s="16" t="str">
        <f>IF('MASTER DATA'!U224="","",'MASTER DATA'!U224)</f>
        <v>N</v>
      </c>
      <c r="V8" s="16" t="str">
        <f>IF('MASTER DATA'!V224="","",'MASTER DATA'!V224)</f>
        <v>N</v>
      </c>
      <c r="W8" s="16" t="str">
        <f>IF('MASTER DATA'!W224="","",'MASTER DATA'!W224)</f>
        <v>N</v>
      </c>
      <c r="X8" s="16" t="str">
        <f>IF('MASTER DATA'!X224="","",'MASTER DATA'!X224)</f>
        <v>N</v>
      </c>
      <c r="Y8" s="16" t="str">
        <f>IF('MASTER DATA'!Y224="","",'MASTER DATA'!Y224)</f>
        <v>N</v>
      </c>
      <c r="Z8" s="16" t="str">
        <f>IF('MASTER DATA'!Z224="","",'MASTER DATA'!Z224)</f>
        <v>N</v>
      </c>
      <c r="AA8" s="16">
        <f>IF('MASTER DATA'!AA224="","",'MASTER DATA'!AA224)</f>
        <v>1</v>
      </c>
      <c r="AB8" s="16" t="str">
        <f>IF('MASTER DATA'!AB224="","",'MASTER DATA'!AB224)</f>
        <v>SINGLE-SIGNAL</v>
      </c>
      <c r="AC8" s="16" t="str">
        <f>IF('MASTER DATA'!AC224="","",'MASTER DATA'!AC224)</f>
        <v>Settlement Authorization</v>
      </c>
    </row>
    <row r="9" spans="1:29" x14ac:dyDescent="0.45">
      <c r="A9" t="str">
        <f>IF('MASTER DATA'!A225="","",'MASTER DATA'!A225)</f>
        <v>SYN-CLM-0224</v>
      </c>
      <c r="B9" t="str">
        <f>IF('MASTER DATA'!B225="","",'MASTER DATA'!B225)</f>
        <v>Synthetic Claimant 0224</v>
      </c>
      <c r="C9" t="str">
        <f>IF('MASTER DATA'!C225="","",'MASTER DATA'!C225)</f>
        <v>Claims Analyst D</v>
      </c>
      <c r="D9" t="str">
        <f>IF('MASTER DATA'!D225="","",'MASTER DATA'!D225)</f>
        <v>Synthetic Policyholder 069, LLC</v>
      </c>
      <c r="E9" s="15">
        <f>IF('MASTER DATA'!E225="","",'MASTER DATA'!E225)</f>
        <v>43562</v>
      </c>
      <c r="F9" s="16" t="str">
        <f>IF('MASTER DATA'!F225="","",'MASTER DATA'!F225)</f>
        <v>Y</v>
      </c>
      <c r="G9" s="17">
        <f>IF('MASTER DATA'!G225="","",'MASTER DATA'!G225)</f>
        <v>138500</v>
      </c>
      <c r="H9" s="16" t="str">
        <f>IF('MASTER DATA'!H225="","",'MASTER DATA'!H225)</f>
        <v>Synthetic Approver 09</v>
      </c>
      <c r="I9" s="15">
        <f>IF('MASTER DATA'!I225="","",'MASTER DATA'!I225)</f>
        <v>44961</v>
      </c>
      <c r="J9" s="16" t="str">
        <f>IF('MASTER DATA'!J225="","",'MASTER DATA'!J225)</f>
        <v>N</v>
      </c>
      <c r="K9" s="15" t="str">
        <f>IF('MASTER DATA'!K225="","",'MASTER DATA'!K225)</f>
        <v/>
      </c>
      <c r="L9" s="16" t="str">
        <f>IF('MASTER DATA'!L225="","",'MASTER DATA'!L225)</f>
        <v>N</v>
      </c>
      <c r="M9" s="16" t="str">
        <f>IF('MASTER DATA'!M225="","",'MASTER DATA'!M225)</f>
        <v>N</v>
      </c>
      <c r="N9" s="15" t="str">
        <f>IF('MASTER DATA'!N225="","",'MASTER DATA'!N225)</f>
        <v/>
      </c>
      <c r="O9" s="16" t="str">
        <f>IF('MASTER DATA'!O225="","",'MASTER DATA'!O225)</f>
        <v/>
      </c>
      <c r="P9" s="16" t="str">
        <f>IF('MASTER DATA'!P225="","",'MASTER DATA'!P225)</f>
        <v>N</v>
      </c>
      <c r="Q9" s="16" t="str">
        <f>IF('MASTER DATA'!Q225="","",'MASTER DATA'!Q225)</f>
        <v/>
      </c>
      <c r="R9" s="16" t="str">
        <f>IF('MASTER DATA'!R225="","",'MASTER DATA'!R225)</f>
        <v/>
      </c>
      <c r="S9" s="16" t="str">
        <f>IF('MASTER DATA'!S225="","",'MASTER DATA'!S225)</f>
        <v>Y</v>
      </c>
      <c r="T9" s="15">
        <f>IF('MASTER DATA'!T225="","",'MASTER DATA'!T225)</f>
        <v>45252</v>
      </c>
      <c r="U9" s="16" t="str">
        <f>IF('MASTER DATA'!U225="","",'MASTER DATA'!U225)</f>
        <v>N</v>
      </c>
      <c r="V9" s="16" t="str">
        <f>IF('MASTER DATA'!V225="","",'MASTER DATA'!V225)</f>
        <v>N</v>
      </c>
      <c r="W9" s="16" t="str">
        <f>IF('MASTER DATA'!W225="","",'MASTER DATA'!W225)</f>
        <v>N</v>
      </c>
      <c r="X9" s="16" t="str">
        <f>IF('MASTER DATA'!X225="","",'MASTER DATA'!X225)</f>
        <v>N</v>
      </c>
      <c r="Y9" s="16" t="str">
        <f>IF('MASTER DATA'!Y225="","",'MASTER DATA'!Y225)</f>
        <v>N</v>
      </c>
      <c r="Z9" s="16" t="str">
        <f>IF('MASTER DATA'!Z225="","",'MASTER DATA'!Z225)</f>
        <v>N</v>
      </c>
      <c r="AA9" s="16">
        <f>IF('MASTER DATA'!AA225="","",'MASTER DATA'!AA225)</f>
        <v>2</v>
      </c>
      <c r="AB9" s="16" t="str">
        <f>IF('MASTER DATA'!AB225="","",'MASTER DATA'!AB225)</f>
        <v>MULTI-SIGNAL</v>
      </c>
      <c r="AC9" s="16" t="str">
        <f>IF('MASTER DATA'!AC225="","",'MASTER DATA'!AC225)</f>
        <v>Settlement Authorization | Inactive Customer</v>
      </c>
    </row>
    <row r="10" spans="1:29" x14ac:dyDescent="0.45">
      <c r="A10" t="str">
        <f>IF('MASTER DATA'!A226="","",'MASTER DATA'!A226)</f>
        <v>SYN-CLM-0225</v>
      </c>
      <c r="B10" t="str">
        <f>IF('MASTER DATA'!B226="","",'MASTER DATA'!B226)</f>
        <v>Synthetic Claimant 0225</v>
      </c>
      <c r="C10" t="str">
        <f>IF('MASTER DATA'!C226="","",'MASTER DATA'!C226)</f>
        <v>Claims Analyst D</v>
      </c>
      <c r="D10" t="str">
        <f>IF('MASTER DATA'!D226="","",'MASTER DATA'!D226)</f>
        <v>Synthetic Policyholder 041, LLC</v>
      </c>
      <c r="E10" s="15">
        <f>IF('MASTER DATA'!E226="","",'MASTER DATA'!E226)</f>
        <v>45528</v>
      </c>
      <c r="F10" s="16" t="str">
        <f>IF('MASTER DATA'!F226="","",'MASTER DATA'!F226)</f>
        <v>N</v>
      </c>
      <c r="G10" s="17" t="str">
        <f>IF('MASTER DATA'!G226="","",'MASTER DATA'!G226)</f>
        <v/>
      </c>
      <c r="H10" s="16" t="str">
        <f>IF('MASTER DATA'!H226="","",'MASTER DATA'!H226)</f>
        <v/>
      </c>
      <c r="I10" s="15" t="str">
        <f>IF('MASTER DATA'!I226="","",'MASTER DATA'!I226)</f>
        <v/>
      </c>
      <c r="J10" s="16" t="str">
        <f>IF('MASTER DATA'!J226="","",'MASTER DATA'!J226)</f>
        <v>N</v>
      </c>
      <c r="K10" s="15" t="str">
        <f>IF('MASTER DATA'!K226="","",'MASTER DATA'!K226)</f>
        <v/>
      </c>
      <c r="L10" s="16" t="str">
        <f>IF('MASTER DATA'!L226="","",'MASTER DATA'!L226)</f>
        <v/>
      </c>
      <c r="M10" s="16" t="str">
        <f>IF('MASTER DATA'!M226="","",'MASTER DATA'!M226)</f>
        <v>N</v>
      </c>
      <c r="N10" s="15" t="str">
        <f>IF('MASTER DATA'!N226="","",'MASTER DATA'!N226)</f>
        <v/>
      </c>
      <c r="O10" s="16" t="str">
        <f>IF('MASTER DATA'!O226="","",'MASTER DATA'!O226)</f>
        <v/>
      </c>
      <c r="P10" s="16" t="str">
        <f>IF('MASTER DATA'!P226="","",'MASTER DATA'!P226)</f>
        <v>Y</v>
      </c>
      <c r="Q10" s="16" t="str">
        <f>IF('MASTER DATA'!Q226="","",'MASTER DATA'!Q226)</f>
        <v>MSA Eligible in Next 3 Years</v>
      </c>
      <c r="R10" s="16" t="str">
        <f>IF('MASTER DATA'!R226="","",'MASTER DATA'!R226)</f>
        <v>Surgery Requested</v>
      </c>
      <c r="S10" s="16" t="str">
        <f>IF('MASTER DATA'!S226="","",'MASTER DATA'!S226)</f>
        <v>N</v>
      </c>
      <c r="T10" s="15" t="str">
        <f>IF('MASTER DATA'!T226="","",'MASTER DATA'!T226)</f>
        <v/>
      </c>
      <c r="U10" s="16" t="str">
        <f>IF('MASTER DATA'!U226="","",'MASTER DATA'!U226)</f>
        <v>Y</v>
      </c>
      <c r="V10" s="16" t="str">
        <f>IF('MASTER DATA'!V226="","",'MASTER DATA'!V226)</f>
        <v>N</v>
      </c>
      <c r="W10" s="16" t="str">
        <f>IF('MASTER DATA'!W226="","",'MASTER DATA'!W226)</f>
        <v>N</v>
      </c>
      <c r="X10" s="16" t="str">
        <f>IF('MASTER DATA'!X226="","",'MASTER DATA'!X226)</f>
        <v>N</v>
      </c>
      <c r="Y10" s="16" t="str">
        <f>IF('MASTER DATA'!Y226="","",'MASTER DATA'!Y226)</f>
        <v>N</v>
      </c>
      <c r="Z10" s="16" t="str">
        <f>IF('MASTER DATA'!Z226="","",'MASTER DATA'!Z226)</f>
        <v>Y</v>
      </c>
      <c r="AA10" s="16">
        <f>IF('MASTER DATA'!AA226="","",'MASTER DATA'!AA226)</f>
        <v>1</v>
      </c>
      <c r="AB10" s="16" t="str">
        <f>IF('MASTER DATA'!AB226="","",'MASTER DATA'!AB226)</f>
        <v>SINGLE-SIGNAL</v>
      </c>
      <c r="AC10" s="16" t="str">
        <f>IF('MASTER DATA'!AC226="","",'MASTER DATA'!AC226)</f>
        <v>Automated Claim Alert</v>
      </c>
    </row>
    <row r="11" spans="1:29" x14ac:dyDescent="0.45">
      <c r="A11" t="str">
        <f>IF('MASTER DATA'!A227="","",'MASTER DATA'!A227)</f>
        <v>SYN-CLM-0226</v>
      </c>
      <c r="B11" t="str">
        <f>IF('MASTER DATA'!B227="","",'MASTER DATA'!B227)</f>
        <v>Synthetic Claimant 0226</v>
      </c>
      <c r="C11" t="str">
        <f>IF('MASTER DATA'!C227="","",'MASTER DATA'!C227)</f>
        <v>Claims Analyst D</v>
      </c>
      <c r="D11" t="str">
        <f>IF('MASTER DATA'!D227="","",'MASTER DATA'!D227)</f>
        <v>Synthetic Policyholder 088, LLC</v>
      </c>
      <c r="E11" s="15">
        <f>IF('MASTER DATA'!E227="","",'MASTER DATA'!E227)</f>
        <v>44452</v>
      </c>
      <c r="F11" s="16" t="str">
        <f>IF('MASTER DATA'!F227="","",'MASTER DATA'!F227)</f>
        <v>Y</v>
      </c>
      <c r="G11" s="17">
        <f>IF('MASTER DATA'!G227="","",'MASTER DATA'!G227)</f>
        <v>111500</v>
      </c>
      <c r="H11" s="16" t="str">
        <f>IF('MASTER DATA'!H227="","",'MASTER DATA'!H227)</f>
        <v>Synthetic Approver 01</v>
      </c>
      <c r="I11" s="15">
        <f>IF('MASTER DATA'!I227="","",'MASTER DATA'!I227)</f>
        <v>45169</v>
      </c>
      <c r="J11" s="16" t="str">
        <f>IF('MASTER DATA'!J227="","",'MASTER DATA'!J227)</f>
        <v>N</v>
      </c>
      <c r="K11" s="15" t="str">
        <f>IF('MASTER DATA'!K227="","",'MASTER DATA'!K227)</f>
        <v/>
      </c>
      <c r="L11" s="16" t="str">
        <f>IF('MASTER DATA'!L227="","",'MASTER DATA'!L227)</f>
        <v>N</v>
      </c>
      <c r="M11" s="16" t="str">
        <f>IF('MASTER DATA'!M227="","",'MASTER DATA'!M227)</f>
        <v>N</v>
      </c>
      <c r="N11" s="15" t="str">
        <f>IF('MASTER DATA'!N227="","",'MASTER DATA'!N227)</f>
        <v/>
      </c>
      <c r="O11" s="16" t="str">
        <f>IF('MASTER DATA'!O227="","",'MASTER DATA'!O227)</f>
        <v/>
      </c>
      <c r="P11" s="16" t="str">
        <f>IF('MASTER DATA'!P227="","",'MASTER DATA'!P227)</f>
        <v>N</v>
      </c>
      <c r="Q11" s="16" t="str">
        <f>IF('MASTER DATA'!Q227="","",'MASTER DATA'!Q227)</f>
        <v/>
      </c>
      <c r="R11" s="16" t="str">
        <f>IF('MASTER DATA'!R227="","",'MASTER DATA'!R227)</f>
        <v/>
      </c>
      <c r="S11" s="16" t="str">
        <f>IF('MASTER DATA'!S227="","",'MASTER DATA'!S227)</f>
        <v>N</v>
      </c>
      <c r="T11" s="15" t="str">
        <f>IF('MASTER DATA'!T227="","",'MASTER DATA'!T227)</f>
        <v/>
      </c>
      <c r="U11" s="16" t="str">
        <f>IF('MASTER DATA'!U227="","",'MASTER DATA'!U227)</f>
        <v>N</v>
      </c>
      <c r="V11" s="16" t="str">
        <f>IF('MASTER DATA'!V227="","",'MASTER DATA'!V227)</f>
        <v>N</v>
      </c>
      <c r="W11" s="16" t="str">
        <f>IF('MASTER DATA'!W227="","",'MASTER DATA'!W227)</f>
        <v>N</v>
      </c>
      <c r="X11" s="16" t="str">
        <f>IF('MASTER DATA'!X227="","",'MASTER DATA'!X227)</f>
        <v>N</v>
      </c>
      <c r="Y11" s="16" t="str">
        <f>IF('MASTER DATA'!Y227="","",'MASTER DATA'!Y227)</f>
        <v>N</v>
      </c>
      <c r="Z11" s="16" t="str">
        <f>IF('MASTER DATA'!Z227="","",'MASTER DATA'!Z227)</f>
        <v>N</v>
      </c>
      <c r="AA11" s="16">
        <f>IF('MASTER DATA'!AA227="","",'MASTER DATA'!AA227)</f>
        <v>1</v>
      </c>
      <c r="AB11" s="16" t="str">
        <f>IF('MASTER DATA'!AB227="","",'MASTER DATA'!AB227)</f>
        <v>SINGLE-SIGNAL</v>
      </c>
      <c r="AC11" s="16" t="str">
        <f>IF('MASTER DATA'!AC227="","",'MASTER DATA'!AC227)</f>
        <v>Settlement Authorization</v>
      </c>
    </row>
    <row r="12" spans="1:29" x14ac:dyDescent="0.45">
      <c r="A12" t="str">
        <f>IF('MASTER DATA'!A228="","",'MASTER DATA'!A228)</f>
        <v>SYN-CLM-0227</v>
      </c>
      <c r="B12" t="str">
        <f>IF('MASTER DATA'!B228="","",'MASTER DATA'!B228)</f>
        <v>Synthetic Claimant 0227</v>
      </c>
      <c r="C12" t="str">
        <f>IF('MASTER DATA'!C228="","",'MASTER DATA'!C228)</f>
        <v>Claims Analyst D</v>
      </c>
      <c r="D12" t="str">
        <f>IF('MASTER DATA'!D228="","",'MASTER DATA'!D228)</f>
        <v>Synthetic Policyholder 024, LLC</v>
      </c>
      <c r="E12" s="15">
        <f>IF('MASTER DATA'!E228="","",'MASTER DATA'!E228)</f>
        <v>45050</v>
      </c>
      <c r="F12" s="16" t="str">
        <f>IF('MASTER DATA'!F228="","",'MASTER DATA'!F228)</f>
        <v>Y</v>
      </c>
      <c r="G12" s="17">
        <f>IF('MASTER DATA'!G228="","",'MASTER DATA'!G228)</f>
        <v>166750</v>
      </c>
      <c r="H12" s="16" t="str">
        <f>IF('MASTER DATA'!H228="","",'MASTER DATA'!H228)</f>
        <v>Synthetic Approver 01</v>
      </c>
      <c r="I12" s="15">
        <f>IF('MASTER DATA'!I228="","",'MASTER DATA'!I228)</f>
        <v>46088</v>
      </c>
      <c r="J12" s="16" t="str">
        <f>IF('MASTER DATA'!J228="","",'MASTER DATA'!J228)</f>
        <v>N</v>
      </c>
      <c r="K12" s="15" t="str">
        <f>IF('MASTER DATA'!K228="","",'MASTER DATA'!K228)</f>
        <v/>
      </c>
      <c r="L12" s="16" t="str">
        <f>IF('MASTER DATA'!L228="","",'MASTER DATA'!L228)</f>
        <v>N</v>
      </c>
      <c r="M12" s="16" t="str">
        <f>IF('MASTER DATA'!M228="","",'MASTER DATA'!M228)</f>
        <v>N</v>
      </c>
      <c r="N12" s="15" t="str">
        <f>IF('MASTER DATA'!N228="","",'MASTER DATA'!N228)</f>
        <v/>
      </c>
      <c r="O12" s="16" t="str">
        <f>IF('MASTER DATA'!O228="","",'MASTER DATA'!O228)</f>
        <v/>
      </c>
      <c r="P12" s="16" t="str">
        <f>IF('MASTER DATA'!P228="","",'MASTER DATA'!P228)</f>
        <v>N</v>
      </c>
      <c r="Q12" s="16" t="str">
        <f>IF('MASTER DATA'!Q228="","",'MASTER DATA'!Q228)</f>
        <v/>
      </c>
      <c r="R12" s="16" t="str">
        <f>IF('MASTER DATA'!R228="","",'MASTER DATA'!R228)</f>
        <v/>
      </c>
      <c r="S12" s="16" t="str">
        <f>IF('MASTER DATA'!S228="","",'MASTER DATA'!S228)</f>
        <v>N</v>
      </c>
      <c r="T12" s="15" t="str">
        <f>IF('MASTER DATA'!T228="","",'MASTER DATA'!T228)</f>
        <v/>
      </c>
      <c r="U12" s="16" t="str">
        <f>IF('MASTER DATA'!U228="","",'MASTER DATA'!U228)</f>
        <v>N</v>
      </c>
      <c r="V12" s="16" t="str">
        <f>IF('MASTER DATA'!V228="","",'MASTER DATA'!V228)</f>
        <v>N</v>
      </c>
      <c r="W12" s="16" t="str">
        <f>IF('MASTER DATA'!W228="","",'MASTER DATA'!W228)</f>
        <v>N</v>
      </c>
      <c r="X12" s="16" t="str">
        <f>IF('MASTER DATA'!X228="","",'MASTER DATA'!X228)</f>
        <v>N</v>
      </c>
      <c r="Y12" s="16" t="str">
        <f>IF('MASTER DATA'!Y228="","",'MASTER DATA'!Y228)</f>
        <v>N</v>
      </c>
      <c r="Z12" s="16" t="str">
        <f>IF('MASTER DATA'!Z228="","",'MASTER DATA'!Z228)</f>
        <v>N</v>
      </c>
      <c r="AA12" s="16">
        <f>IF('MASTER DATA'!AA228="","",'MASTER DATA'!AA228)</f>
        <v>1</v>
      </c>
      <c r="AB12" s="16" t="str">
        <f>IF('MASTER DATA'!AB228="","",'MASTER DATA'!AB228)</f>
        <v>SINGLE-SIGNAL</v>
      </c>
      <c r="AC12" s="16" t="str">
        <f>IF('MASTER DATA'!AC228="","",'MASTER DATA'!AC228)</f>
        <v>Settlement Authorization</v>
      </c>
    </row>
    <row r="13" spans="1:29" x14ac:dyDescent="0.45">
      <c r="A13" t="str">
        <f>IF('MASTER DATA'!A229="","",'MASTER DATA'!A229)</f>
        <v>SYN-CLM-0228</v>
      </c>
      <c r="B13" t="str">
        <f>IF('MASTER DATA'!B229="","",'MASTER DATA'!B229)</f>
        <v>Synthetic Claimant 0228</v>
      </c>
      <c r="C13" t="str">
        <f>IF('MASTER DATA'!C229="","",'MASTER DATA'!C229)</f>
        <v>Claims Analyst D</v>
      </c>
      <c r="D13" t="str">
        <f>IF('MASTER DATA'!D229="","",'MASTER DATA'!D229)</f>
        <v>Synthetic Policyholder 025, LLC</v>
      </c>
      <c r="E13" s="15">
        <f>IF('MASTER DATA'!E229="","",'MASTER DATA'!E229)</f>
        <v>45723</v>
      </c>
      <c r="F13" s="16" t="str">
        <f>IF('MASTER DATA'!F229="","",'MASTER DATA'!F229)</f>
        <v>Y</v>
      </c>
      <c r="G13" s="17">
        <f>IF('MASTER DATA'!G229="","",'MASTER DATA'!G229)</f>
        <v>94000</v>
      </c>
      <c r="H13" s="16" t="str">
        <f>IF('MASTER DATA'!H229="","",'MASTER DATA'!H229)</f>
        <v>Synthetic Approver 05</v>
      </c>
      <c r="I13" s="15">
        <f>IF('MASTER DATA'!I229="","",'MASTER DATA'!I229)</f>
        <v>46760</v>
      </c>
      <c r="J13" s="16" t="str">
        <f>IF('MASTER DATA'!J229="","",'MASTER DATA'!J229)</f>
        <v>N</v>
      </c>
      <c r="K13" s="15" t="str">
        <f>IF('MASTER DATA'!K229="","",'MASTER DATA'!K229)</f>
        <v/>
      </c>
      <c r="L13" s="16" t="str">
        <f>IF('MASTER DATA'!L229="","",'MASTER DATA'!L229)</f>
        <v>Y</v>
      </c>
      <c r="M13" s="16" t="str">
        <f>IF('MASTER DATA'!M229="","",'MASTER DATA'!M229)</f>
        <v>N</v>
      </c>
      <c r="N13" s="15" t="str">
        <f>IF('MASTER DATA'!N229="","",'MASTER DATA'!N229)</f>
        <v/>
      </c>
      <c r="O13" s="16" t="str">
        <f>IF('MASTER DATA'!O229="","",'MASTER DATA'!O229)</f>
        <v/>
      </c>
      <c r="P13" s="16" t="str">
        <f>IF('MASTER DATA'!P229="","",'MASTER DATA'!P229)</f>
        <v>N</v>
      </c>
      <c r="Q13" s="16" t="str">
        <f>IF('MASTER DATA'!Q229="","",'MASTER DATA'!Q229)</f>
        <v/>
      </c>
      <c r="R13" s="16" t="str">
        <f>IF('MASTER DATA'!R229="","",'MASTER DATA'!R229)</f>
        <v/>
      </c>
      <c r="S13" s="16" t="str">
        <f>IF('MASTER DATA'!S229="","",'MASTER DATA'!S229)</f>
        <v>Y</v>
      </c>
      <c r="T13" s="15">
        <f>IF('MASTER DATA'!T229="","",'MASTER DATA'!T229)</f>
        <v>47757</v>
      </c>
      <c r="U13" s="16" t="str">
        <f>IF('MASTER DATA'!U229="","",'MASTER DATA'!U229)</f>
        <v>N</v>
      </c>
      <c r="V13" s="16" t="str">
        <f>IF('MASTER DATA'!V229="","",'MASTER DATA'!V229)</f>
        <v>N</v>
      </c>
      <c r="W13" s="16" t="str">
        <f>IF('MASTER DATA'!W229="","",'MASTER DATA'!W229)</f>
        <v>N</v>
      </c>
      <c r="X13" s="16" t="str">
        <f>IF('MASTER DATA'!X229="","",'MASTER DATA'!X229)</f>
        <v>N</v>
      </c>
      <c r="Y13" s="16" t="str">
        <f>IF('MASTER DATA'!Y229="","",'MASTER DATA'!Y229)</f>
        <v>N</v>
      </c>
      <c r="Z13" s="16" t="str">
        <f>IF('MASTER DATA'!Z229="","",'MASTER DATA'!Z229)</f>
        <v>N</v>
      </c>
      <c r="AA13" s="16">
        <f>IF('MASTER DATA'!AA229="","",'MASTER DATA'!AA229)</f>
        <v>2</v>
      </c>
      <c r="AB13" s="16" t="str">
        <f>IF('MASTER DATA'!AB229="","",'MASTER DATA'!AB229)</f>
        <v>MULTI-SIGNAL</v>
      </c>
      <c r="AC13" s="16" t="str">
        <f>IF('MASTER DATA'!AC229="","",'MASTER DATA'!AC229)</f>
        <v>Settlement Authorization | Inactive Customer</v>
      </c>
    </row>
    <row r="14" spans="1:29" x14ac:dyDescent="0.45">
      <c r="A14" t="str">
        <f>IF('MASTER DATA'!A230="","",'MASTER DATA'!A230)</f>
        <v>SYN-CLM-0229</v>
      </c>
      <c r="B14" t="str">
        <f>IF('MASTER DATA'!B230="","",'MASTER DATA'!B230)</f>
        <v>Synthetic Claimant 0229</v>
      </c>
      <c r="C14" t="str">
        <f>IF('MASTER DATA'!C230="","",'MASTER DATA'!C230)</f>
        <v>Claims Analyst D</v>
      </c>
      <c r="D14" t="str">
        <f>IF('MASTER DATA'!D230="","",'MASTER DATA'!D230)</f>
        <v>Synthetic Policyholder 111, LLC</v>
      </c>
      <c r="E14" s="15">
        <f>IF('MASTER DATA'!E230="","",'MASTER DATA'!E230)</f>
        <v>43402</v>
      </c>
      <c r="F14" s="16" t="str">
        <f>IF('MASTER DATA'!F230="","",'MASTER DATA'!F230)</f>
        <v>Y</v>
      </c>
      <c r="G14" s="17">
        <f>IF('MASTER DATA'!G230="","",'MASTER DATA'!G230)</f>
        <v>104500</v>
      </c>
      <c r="H14" s="16" t="str">
        <f>IF('MASTER DATA'!H230="","",'MASTER DATA'!H230)</f>
        <v>Synthetic Approver 09</v>
      </c>
      <c r="I14" s="15">
        <f>IF('MASTER DATA'!I230="","",'MASTER DATA'!I230)</f>
        <v>44651</v>
      </c>
      <c r="J14" s="16" t="str">
        <f>IF('MASTER DATA'!J230="","",'MASTER DATA'!J230)</f>
        <v>N</v>
      </c>
      <c r="K14" s="15" t="str">
        <f>IF('MASTER DATA'!K230="","",'MASTER DATA'!K230)</f>
        <v/>
      </c>
      <c r="L14" s="16" t="str">
        <f>IF('MASTER DATA'!L230="","",'MASTER DATA'!L230)</f>
        <v>N</v>
      </c>
      <c r="M14" s="16" t="str">
        <f>IF('MASTER DATA'!M230="","",'MASTER DATA'!M230)</f>
        <v>N</v>
      </c>
      <c r="N14" s="15" t="str">
        <f>IF('MASTER DATA'!N230="","",'MASTER DATA'!N230)</f>
        <v/>
      </c>
      <c r="O14" s="16" t="str">
        <f>IF('MASTER DATA'!O230="","",'MASTER DATA'!O230)</f>
        <v/>
      </c>
      <c r="P14" s="16" t="str">
        <f>IF('MASTER DATA'!P230="","",'MASTER DATA'!P230)</f>
        <v>N</v>
      </c>
      <c r="Q14" s="16" t="str">
        <f>IF('MASTER DATA'!Q230="","",'MASTER DATA'!Q230)</f>
        <v/>
      </c>
      <c r="R14" s="16" t="str">
        <f>IF('MASTER DATA'!R230="","",'MASTER DATA'!R230)</f>
        <v/>
      </c>
      <c r="S14" s="16" t="str">
        <f>IF('MASTER DATA'!S230="","",'MASTER DATA'!S230)</f>
        <v>N</v>
      </c>
      <c r="T14" s="15" t="str">
        <f>IF('MASTER DATA'!T230="","",'MASTER DATA'!T230)</f>
        <v/>
      </c>
      <c r="U14" s="16" t="str">
        <f>IF('MASTER DATA'!U230="","",'MASTER DATA'!U230)</f>
        <v>N</v>
      </c>
      <c r="V14" s="16" t="str">
        <f>IF('MASTER DATA'!V230="","",'MASTER DATA'!V230)</f>
        <v>N</v>
      </c>
      <c r="W14" s="16" t="str">
        <f>IF('MASTER DATA'!W230="","",'MASTER DATA'!W230)</f>
        <v>N</v>
      </c>
      <c r="X14" s="16" t="str">
        <f>IF('MASTER DATA'!X230="","",'MASTER DATA'!X230)</f>
        <v>N</v>
      </c>
      <c r="Y14" s="16" t="str">
        <f>IF('MASTER DATA'!Y230="","",'MASTER DATA'!Y230)</f>
        <v>N</v>
      </c>
      <c r="Z14" s="16" t="str">
        <f>IF('MASTER DATA'!Z230="","",'MASTER DATA'!Z230)</f>
        <v>N</v>
      </c>
      <c r="AA14" s="16">
        <f>IF('MASTER DATA'!AA230="","",'MASTER DATA'!AA230)</f>
        <v>1</v>
      </c>
      <c r="AB14" s="16" t="str">
        <f>IF('MASTER DATA'!AB230="","",'MASTER DATA'!AB230)</f>
        <v>SINGLE-SIGNAL</v>
      </c>
      <c r="AC14" s="16" t="str">
        <f>IF('MASTER DATA'!AC230="","",'MASTER DATA'!AC230)</f>
        <v>Settlement Authorization</v>
      </c>
    </row>
    <row r="15" spans="1:29" x14ac:dyDescent="0.45">
      <c r="A15" t="str">
        <f>IF('MASTER DATA'!A231="","",'MASTER DATA'!A231)</f>
        <v>SYN-CLM-0230</v>
      </c>
      <c r="B15" t="str">
        <f>IF('MASTER DATA'!B231="","",'MASTER DATA'!B231)</f>
        <v>Synthetic Claimant 0230</v>
      </c>
      <c r="C15" t="str">
        <f>IF('MASTER DATA'!C231="","",'MASTER DATA'!C231)</f>
        <v>Claims Analyst D</v>
      </c>
      <c r="D15" t="str">
        <f>IF('MASTER DATA'!D231="","",'MASTER DATA'!D231)</f>
        <v>Synthetic Policyholder 041, LLC</v>
      </c>
      <c r="E15" s="15">
        <f>IF('MASTER DATA'!E231="","",'MASTER DATA'!E231)</f>
        <v>45808</v>
      </c>
      <c r="F15" s="16" t="str">
        <f>IF('MASTER DATA'!F231="","",'MASTER DATA'!F231)</f>
        <v>N</v>
      </c>
      <c r="G15" s="17" t="str">
        <f>IF('MASTER DATA'!G231="","",'MASTER DATA'!G231)</f>
        <v/>
      </c>
      <c r="H15" s="16" t="str">
        <f>IF('MASTER DATA'!H231="","",'MASTER DATA'!H231)</f>
        <v/>
      </c>
      <c r="I15" s="15" t="str">
        <f>IF('MASTER DATA'!I231="","",'MASTER DATA'!I231)</f>
        <v/>
      </c>
      <c r="J15" s="16" t="str">
        <f>IF('MASTER DATA'!J231="","",'MASTER DATA'!J231)</f>
        <v>Y</v>
      </c>
      <c r="K15" s="15">
        <f>IF('MASTER DATA'!K231="","",'MASTER DATA'!K231)</f>
        <v>46778</v>
      </c>
      <c r="L15" s="16" t="str">
        <f>IF('MASTER DATA'!L231="","",'MASTER DATA'!L231)</f>
        <v>Y</v>
      </c>
      <c r="M15" s="16" t="str">
        <f>IF('MASTER DATA'!M231="","",'MASTER DATA'!M231)</f>
        <v>N</v>
      </c>
      <c r="N15" s="15" t="str">
        <f>IF('MASTER DATA'!N231="","",'MASTER DATA'!N231)</f>
        <v/>
      </c>
      <c r="O15" s="16" t="str">
        <f>IF('MASTER DATA'!O231="","",'MASTER DATA'!O231)</f>
        <v/>
      </c>
      <c r="P15" s="16" t="str">
        <f>IF('MASTER DATA'!P231="","",'MASTER DATA'!P231)</f>
        <v>N</v>
      </c>
      <c r="Q15" s="16" t="str">
        <f>IF('MASTER DATA'!Q231="","",'MASTER DATA'!Q231)</f>
        <v/>
      </c>
      <c r="R15" s="16" t="str">
        <f>IF('MASTER DATA'!R231="","",'MASTER DATA'!R231)</f>
        <v/>
      </c>
      <c r="S15" s="16" t="str">
        <f>IF('MASTER DATA'!S231="","",'MASTER DATA'!S231)</f>
        <v>N</v>
      </c>
      <c r="T15" s="15" t="str">
        <f>IF('MASTER DATA'!T231="","",'MASTER DATA'!T231)</f>
        <v/>
      </c>
      <c r="U15" s="16" t="str">
        <f>IF('MASTER DATA'!U231="","",'MASTER DATA'!U231)</f>
        <v>N</v>
      </c>
      <c r="V15" s="16" t="str">
        <f>IF('MASTER DATA'!V231="","",'MASTER DATA'!V231)</f>
        <v>N</v>
      </c>
      <c r="W15" s="16" t="str">
        <f>IF('MASTER DATA'!W231="","",'MASTER DATA'!W231)</f>
        <v>N</v>
      </c>
      <c r="X15" s="16" t="str">
        <f>IF('MASTER DATA'!X231="","",'MASTER DATA'!X231)</f>
        <v>N</v>
      </c>
      <c r="Y15" s="16" t="str">
        <f>IF('MASTER DATA'!Y231="","",'MASTER DATA'!Y231)</f>
        <v>N</v>
      </c>
      <c r="Z15" s="16" t="str">
        <f>IF('MASTER DATA'!Z231="","",'MASTER DATA'!Z231)</f>
        <v>N</v>
      </c>
      <c r="AA15" s="16">
        <f>IF('MASTER DATA'!AA231="","",'MASTER DATA'!AA231)</f>
        <v>1</v>
      </c>
      <c r="AB15" s="16" t="str">
        <f>IF('MASTER DATA'!AB231="","",'MASTER DATA'!AB231)</f>
        <v>SINGLE-SIGNAL</v>
      </c>
      <c r="AC15" s="16" t="str">
        <f>IF('MASTER DATA'!AC231="","",'MASTER DATA'!AC231)</f>
        <v>Open Stipulation</v>
      </c>
    </row>
    <row r="16" spans="1:29" x14ac:dyDescent="0.45">
      <c r="A16" t="str">
        <f>IF('MASTER DATA'!A232="","",'MASTER DATA'!A232)</f>
        <v>SYN-CLM-0231</v>
      </c>
      <c r="B16" t="str">
        <f>IF('MASTER DATA'!B232="","",'MASTER DATA'!B232)</f>
        <v>Synthetic Claimant 0231</v>
      </c>
      <c r="C16" t="str">
        <f>IF('MASTER DATA'!C232="","",'MASTER DATA'!C232)</f>
        <v>Claims Analyst D</v>
      </c>
      <c r="D16" t="str">
        <f>IF('MASTER DATA'!D232="","",'MASTER DATA'!D232)</f>
        <v>Synthetic Policyholder 041, LLC</v>
      </c>
      <c r="E16" s="15">
        <f>IF('MASTER DATA'!E232="","",'MASTER DATA'!E232)</f>
        <v>45491</v>
      </c>
      <c r="F16" s="16" t="str">
        <f>IF('MASTER DATA'!F232="","",'MASTER DATA'!F232)</f>
        <v>Y</v>
      </c>
      <c r="G16" s="17">
        <f>IF('MASTER DATA'!G232="","",'MASTER DATA'!G232)</f>
        <v>115500</v>
      </c>
      <c r="H16" s="16" t="str">
        <f>IF('MASTER DATA'!H232="","",'MASTER DATA'!H232)</f>
        <v>Synthetic Approver 01</v>
      </c>
      <c r="I16" s="15">
        <f>IF('MASTER DATA'!I232="","",'MASTER DATA'!I232)</f>
        <v>46731</v>
      </c>
      <c r="J16" s="16" t="str">
        <f>IF('MASTER DATA'!J232="","",'MASTER DATA'!J232)</f>
        <v>N</v>
      </c>
      <c r="K16" s="15" t="str">
        <f>IF('MASTER DATA'!K232="","",'MASTER DATA'!K232)</f>
        <v/>
      </c>
      <c r="L16" s="16" t="str">
        <f>IF('MASTER DATA'!L232="","",'MASTER DATA'!L232)</f>
        <v>Y</v>
      </c>
      <c r="M16" s="16" t="str">
        <f>IF('MASTER DATA'!M232="","",'MASTER DATA'!M232)</f>
        <v>N</v>
      </c>
      <c r="N16" s="15" t="str">
        <f>IF('MASTER DATA'!N232="","",'MASTER DATA'!N232)</f>
        <v/>
      </c>
      <c r="O16" s="16" t="str">
        <f>IF('MASTER DATA'!O232="","",'MASTER DATA'!O232)</f>
        <v/>
      </c>
      <c r="P16" s="16" t="str">
        <f>IF('MASTER DATA'!P232="","",'MASTER DATA'!P232)</f>
        <v>N</v>
      </c>
      <c r="Q16" s="16" t="str">
        <f>IF('MASTER DATA'!Q232="","",'MASTER DATA'!Q232)</f>
        <v/>
      </c>
      <c r="R16" s="16" t="str">
        <f>IF('MASTER DATA'!R232="","",'MASTER DATA'!R232)</f>
        <v/>
      </c>
      <c r="S16" s="16" t="str">
        <f>IF('MASTER DATA'!S232="","",'MASTER DATA'!S232)</f>
        <v>N</v>
      </c>
      <c r="T16" s="15" t="str">
        <f>IF('MASTER DATA'!T232="","",'MASTER DATA'!T232)</f>
        <v/>
      </c>
      <c r="U16" s="16" t="str">
        <f>IF('MASTER DATA'!U232="","",'MASTER DATA'!U232)</f>
        <v>N</v>
      </c>
      <c r="V16" s="16" t="str">
        <f>IF('MASTER DATA'!V232="","",'MASTER DATA'!V232)</f>
        <v>N</v>
      </c>
      <c r="W16" s="16" t="str">
        <f>IF('MASTER DATA'!W232="","",'MASTER DATA'!W232)</f>
        <v>N</v>
      </c>
      <c r="X16" s="16" t="str">
        <f>IF('MASTER DATA'!X232="","",'MASTER DATA'!X232)</f>
        <v>N</v>
      </c>
      <c r="Y16" s="16" t="str">
        <f>IF('MASTER DATA'!Y232="","",'MASTER DATA'!Y232)</f>
        <v>N</v>
      </c>
      <c r="Z16" s="16" t="str">
        <f>IF('MASTER DATA'!Z232="","",'MASTER DATA'!Z232)</f>
        <v>N</v>
      </c>
      <c r="AA16" s="16">
        <f>IF('MASTER DATA'!AA232="","",'MASTER DATA'!AA232)</f>
        <v>1</v>
      </c>
      <c r="AB16" s="16" t="str">
        <f>IF('MASTER DATA'!AB232="","",'MASTER DATA'!AB232)</f>
        <v>SINGLE-SIGNAL</v>
      </c>
      <c r="AC16" s="16" t="str">
        <f>IF('MASTER DATA'!AC232="","",'MASTER DATA'!AC232)</f>
        <v>Settlement Authorization</v>
      </c>
    </row>
    <row r="17" spans="1:29" x14ac:dyDescent="0.45">
      <c r="A17" t="str">
        <f>IF('MASTER DATA'!A233="","",'MASTER DATA'!A233)</f>
        <v>SYN-CLM-0232</v>
      </c>
      <c r="B17" t="str">
        <f>IF('MASTER DATA'!B233="","",'MASTER DATA'!B233)</f>
        <v>Synthetic Claimant 0232</v>
      </c>
      <c r="C17" t="str">
        <f>IF('MASTER DATA'!C233="","",'MASTER DATA'!C233)</f>
        <v>Claims Analyst D</v>
      </c>
      <c r="D17" t="str">
        <f>IF('MASTER DATA'!D233="","",'MASTER DATA'!D233)</f>
        <v>Synthetic Policyholder 125, LLC</v>
      </c>
      <c r="E17" s="15">
        <f>IF('MASTER DATA'!E233="","",'MASTER DATA'!E233)</f>
        <v>45925</v>
      </c>
      <c r="F17" s="16" t="str">
        <f>IF('MASTER DATA'!F233="","",'MASTER DATA'!F233)</f>
        <v>Y</v>
      </c>
      <c r="G17" s="17">
        <f>IF('MASTER DATA'!G233="","",'MASTER DATA'!G233)</f>
        <v>101000</v>
      </c>
      <c r="H17" s="16" t="str">
        <f>IF('MASTER DATA'!H233="","",'MASTER DATA'!H233)</f>
        <v>Synthetic Approver 12</v>
      </c>
      <c r="I17" s="15">
        <f>IF('MASTER DATA'!I233="","",'MASTER DATA'!I233)</f>
        <v>47110</v>
      </c>
      <c r="J17" s="16" t="str">
        <f>IF('MASTER DATA'!J233="","",'MASTER DATA'!J233)</f>
        <v>N</v>
      </c>
      <c r="K17" s="15" t="str">
        <f>IF('MASTER DATA'!K233="","",'MASTER DATA'!K233)</f>
        <v/>
      </c>
      <c r="L17" s="16" t="str">
        <f>IF('MASTER DATA'!L233="","",'MASTER DATA'!L233)</f>
        <v>N</v>
      </c>
      <c r="M17" s="16" t="str">
        <f>IF('MASTER DATA'!M233="","",'MASTER DATA'!M233)</f>
        <v>N</v>
      </c>
      <c r="N17" s="15" t="str">
        <f>IF('MASTER DATA'!N233="","",'MASTER DATA'!N233)</f>
        <v/>
      </c>
      <c r="O17" s="16" t="str">
        <f>IF('MASTER DATA'!O233="","",'MASTER DATA'!O233)</f>
        <v/>
      </c>
      <c r="P17" s="16" t="str">
        <f>IF('MASTER DATA'!P233="","",'MASTER DATA'!P233)</f>
        <v>N</v>
      </c>
      <c r="Q17" s="16" t="str">
        <f>IF('MASTER DATA'!Q233="","",'MASTER DATA'!Q233)</f>
        <v/>
      </c>
      <c r="R17" s="16" t="str">
        <f>IF('MASTER DATA'!R233="","",'MASTER DATA'!R233)</f>
        <v/>
      </c>
      <c r="S17" s="16" t="str">
        <f>IF('MASTER DATA'!S233="","",'MASTER DATA'!S233)</f>
        <v>N</v>
      </c>
      <c r="T17" s="15" t="str">
        <f>IF('MASTER DATA'!T233="","",'MASTER DATA'!T233)</f>
        <v/>
      </c>
      <c r="U17" s="16" t="str">
        <f>IF('MASTER DATA'!U233="","",'MASTER DATA'!U233)</f>
        <v>N</v>
      </c>
      <c r="V17" s="16" t="str">
        <f>IF('MASTER DATA'!V233="","",'MASTER DATA'!V233)</f>
        <v>N</v>
      </c>
      <c r="W17" s="16" t="str">
        <f>IF('MASTER DATA'!W233="","",'MASTER DATA'!W233)</f>
        <v>N</v>
      </c>
      <c r="X17" s="16" t="str">
        <f>IF('MASTER DATA'!X233="","",'MASTER DATA'!X233)</f>
        <v>N</v>
      </c>
      <c r="Y17" s="16" t="str">
        <f>IF('MASTER DATA'!Y233="","",'MASTER DATA'!Y233)</f>
        <v>N</v>
      </c>
      <c r="Z17" s="16" t="str">
        <f>IF('MASTER DATA'!Z233="","",'MASTER DATA'!Z233)</f>
        <v>N</v>
      </c>
      <c r="AA17" s="16">
        <f>IF('MASTER DATA'!AA233="","",'MASTER DATA'!AA233)</f>
        <v>1</v>
      </c>
      <c r="AB17" s="16" t="str">
        <f>IF('MASTER DATA'!AB233="","",'MASTER DATA'!AB233)</f>
        <v>SINGLE-SIGNAL</v>
      </c>
      <c r="AC17" s="16" t="str">
        <f>IF('MASTER DATA'!AC233="","",'MASTER DATA'!AC233)</f>
        <v>Settlement Authorization</v>
      </c>
    </row>
    <row r="18" spans="1:29" x14ac:dyDescent="0.45">
      <c r="A18" t="str">
        <f>IF('MASTER DATA'!A234="","",'MASTER DATA'!A234)</f>
        <v>SYN-CLM-0233</v>
      </c>
      <c r="B18" t="str">
        <f>IF('MASTER DATA'!B234="","",'MASTER DATA'!B234)</f>
        <v>Synthetic Claimant 0233</v>
      </c>
      <c r="C18" t="str">
        <f>IF('MASTER DATA'!C234="","",'MASTER DATA'!C234)</f>
        <v>Claims Analyst D</v>
      </c>
      <c r="D18" t="str">
        <f>IF('MASTER DATA'!D234="","",'MASTER DATA'!D234)</f>
        <v>Synthetic Policyholder 180, LLC</v>
      </c>
      <c r="E18" s="15">
        <f>IF('MASTER DATA'!E234="","",'MASTER DATA'!E234)</f>
        <v>45763</v>
      </c>
      <c r="F18" s="16" t="str">
        <f>IF('MASTER DATA'!F234="","",'MASTER DATA'!F234)</f>
        <v>Y</v>
      </c>
      <c r="G18" s="17">
        <f>IF('MASTER DATA'!G234="","",'MASTER DATA'!G234)</f>
        <v>35000</v>
      </c>
      <c r="H18" s="16" t="str">
        <f>IF('MASTER DATA'!H234="","",'MASTER DATA'!H234)</f>
        <v>Synthetic Approver 01</v>
      </c>
      <c r="I18" s="15">
        <f>IF('MASTER DATA'!I234="","",'MASTER DATA'!I234)</f>
        <v>46521</v>
      </c>
      <c r="J18" s="16" t="str">
        <f>IF('MASTER DATA'!J234="","",'MASTER DATA'!J234)</f>
        <v>N</v>
      </c>
      <c r="K18" s="15" t="str">
        <f>IF('MASTER DATA'!K234="","",'MASTER DATA'!K234)</f>
        <v/>
      </c>
      <c r="L18" s="16" t="str">
        <f>IF('MASTER DATA'!L234="","",'MASTER DATA'!L234)</f>
        <v>N</v>
      </c>
      <c r="M18" s="16" t="str">
        <f>IF('MASTER DATA'!M234="","",'MASTER DATA'!M234)</f>
        <v>N</v>
      </c>
      <c r="N18" s="15" t="str">
        <f>IF('MASTER DATA'!N234="","",'MASTER DATA'!N234)</f>
        <v/>
      </c>
      <c r="O18" s="16" t="str">
        <f>IF('MASTER DATA'!O234="","",'MASTER DATA'!O234)</f>
        <v/>
      </c>
      <c r="P18" s="16" t="str">
        <f>IF('MASTER DATA'!P234="","",'MASTER DATA'!P234)</f>
        <v>N</v>
      </c>
      <c r="Q18" s="16" t="str">
        <f>IF('MASTER DATA'!Q234="","",'MASTER DATA'!Q234)</f>
        <v/>
      </c>
      <c r="R18" s="16" t="str">
        <f>IF('MASTER DATA'!R234="","",'MASTER DATA'!R234)</f>
        <v/>
      </c>
      <c r="S18" s="16" t="str">
        <f>IF('MASTER DATA'!S234="","",'MASTER DATA'!S234)</f>
        <v>N</v>
      </c>
      <c r="T18" s="15" t="str">
        <f>IF('MASTER DATA'!T234="","",'MASTER DATA'!T234)</f>
        <v/>
      </c>
      <c r="U18" s="16" t="str">
        <f>IF('MASTER DATA'!U234="","",'MASTER DATA'!U234)</f>
        <v>N</v>
      </c>
      <c r="V18" s="16" t="str">
        <f>IF('MASTER DATA'!V234="","",'MASTER DATA'!V234)</f>
        <v>N</v>
      </c>
      <c r="W18" s="16" t="str">
        <f>IF('MASTER DATA'!W234="","",'MASTER DATA'!W234)</f>
        <v>N</v>
      </c>
      <c r="X18" s="16" t="str">
        <f>IF('MASTER DATA'!X234="","",'MASTER DATA'!X234)</f>
        <v>N</v>
      </c>
      <c r="Y18" s="16" t="str">
        <f>IF('MASTER DATA'!Y234="","",'MASTER DATA'!Y234)</f>
        <v>N</v>
      </c>
      <c r="Z18" s="16" t="str">
        <f>IF('MASTER DATA'!Z234="","",'MASTER DATA'!Z234)</f>
        <v>N</v>
      </c>
      <c r="AA18" s="16">
        <f>IF('MASTER DATA'!AA234="","",'MASTER DATA'!AA234)</f>
        <v>1</v>
      </c>
      <c r="AB18" s="16" t="str">
        <f>IF('MASTER DATA'!AB234="","",'MASTER DATA'!AB234)</f>
        <v>SINGLE-SIGNAL</v>
      </c>
      <c r="AC18" s="16" t="str">
        <f>IF('MASTER DATA'!AC234="","",'MASTER DATA'!AC234)</f>
        <v>Settlement Authorization</v>
      </c>
    </row>
  </sheetData>
  <conditionalFormatting sqref="A2:AC18">
    <cfRule type="expression" dxfId="8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C3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63.19921875" bestFit="1" customWidth="1"/>
    <col min="18" max="18" width="34.796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57.132812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DATA'!A34="","",'MASTER DATA'!A34)</f>
        <v>SYN-CLM-0033</v>
      </c>
      <c r="B2" t="str">
        <f>IF('MASTER DATA'!B34="","",'MASTER DATA'!B34)</f>
        <v>Synthetic Claimant 0033</v>
      </c>
      <c r="C2" t="str">
        <f>IF('MASTER DATA'!C34="","",'MASTER DATA'!C34)</f>
        <v>Claims Analyst E</v>
      </c>
      <c r="D2" t="str">
        <f>IF('MASTER DATA'!D34="","",'MASTER DATA'!D34)</f>
        <v>Synthetic Policyholder 125, LLC</v>
      </c>
      <c r="E2" s="15">
        <f>IF('MASTER DATA'!E34="","",'MASTER DATA'!E34)</f>
        <v>45236</v>
      </c>
      <c r="F2" s="16" t="str">
        <f>IF('MASTER DATA'!F34="","",'MASTER DATA'!F34)</f>
        <v>N</v>
      </c>
      <c r="G2" s="17" t="str">
        <f>IF('MASTER DATA'!G34="","",'MASTER DATA'!G34)</f>
        <v/>
      </c>
      <c r="H2" s="16" t="str">
        <f>IF('MASTER DATA'!H34="","",'MASTER DATA'!H34)</f>
        <v/>
      </c>
      <c r="I2" s="15" t="str">
        <f>IF('MASTER DATA'!I34="","",'MASTER DATA'!I34)</f>
        <v/>
      </c>
      <c r="J2" s="16" t="str">
        <f>IF('MASTER DATA'!J34="","",'MASTER DATA'!J34)</f>
        <v>N</v>
      </c>
      <c r="K2" s="15" t="str">
        <f>IF('MASTER DATA'!K34="","",'MASTER DATA'!K34)</f>
        <v/>
      </c>
      <c r="L2" s="16" t="str">
        <f>IF('MASTER DATA'!L34="","",'MASTER DATA'!L34)</f>
        <v/>
      </c>
      <c r="M2" s="16" t="str">
        <f>IF('MASTER DATA'!M34="","",'MASTER DATA'!M34)</f>
        <v>N</v>
      </c>
      <c r="N2" s="15" t="str">
        <f>IF('MASTER DATA'!N34="","",'MASTER DATA'!N34)</f>
        <v/>
      </c>
      <c r="O2" s="16" t="str">
        <f>IF('MASTER DATA'!O34="","",'MASTER DATA'!O34)</f>
        <v/>
      </c>
      <c r="P2" s="16" t="str">
        <f>IF('MASTER DATA'!P34="","",'MASTER DATA'!P34)</f>
        <v>N</v>
      </c>
      <c r="Q2" s="16" t="str">
        <f>IF('MASTER DATA'!Q34="","",'MASTER DATA'!Q34)</f>
        <v/>
      </c>
      <c r="R2" s="16" t="str">
        <f>IF('MASTER DATA'!R34="","",'MASTER DATA'!R34)</f>
        <v/>
      </c>
      <c r="S2" s="16" t="str">
        <f>IF('MASTER DATA'!S34="","",'MASTER DATA'!S34)</f>
        <v>Y</v>
      </c>
      <c r="T2" s="15">
        <f>IF('MASTER DATA'!T34="","",'MASTER DATA'!T34)</f>
        <v>46923</v>
      </c>
      <c r="U2" s="16" t="str">
        <f>IF('MASTER DATA'!U34="","",'MASTER DATA'!U34)</f>
        <v>N</v>
      </c>
      <c r="V2" s="16" t="str">
        <f>IF('MASTER DATA'!V34="","",'MASTER DATA'!V34)</f>
        <v>N</v>
      </c>
      <c r="W2" s="16" t="str">
        <f>IF('MASTER DATA'!W34="","",'MASTER DATA'!W34)</f>
        <v>N</v>
      </c>
      <c r="X2" s="16" t="str">
        <f>IF('MASTER DATA'!X34="","",'MASTER DATA'!X34)</f>
        <v>N</v>
      </c>
      <c r="Y2" s="16" t="str">
        <f>IF('MASTER DATA'!Y34="","",'MASTER DATA'!Y34)</f>
        <v>N</v>
      </c>
      <c r="Z2" s="16" t="str">
        <f>IF('MASTER DATA'!Z34="","",'MASTER DATA'!Z34)</f>
        <v>N</v>
      </c>
      <c r="AA2" s="16">
        <f>IF('MASTER DATA'!AA34="","",'MASTER DATA'!AA34)</f>
        <v>1</v>
      </c>
      <c r="AB2" s="16" t="str">
        <f>IF('MASTER DATA'!AB34="","",'MASTER DATA'!AB34)</f>
        <v>SINGLE-SIGNAL</v>
      </c>
      <c r="AC2" s="16" t="str">
        <f>IF('MASTER DATA'!AC34="","",'MASTER DATA'!AC34)</f>
        <v>Inactive Customer</v>
      </c>
    </row>
    <row r="3" spans="1:29" x14ac:dyDescent="0.45">
      <c r="A3" t="str">
        <f>IF('MASTER DATA'!A35="","",'MASTER DATA'!A35)</f>
        <v>SYN-CLM-0034</v>
      </c>
      <c r="B3" t="str">
        <f>IF('MASTER DATA'!B35="","",'MASTER DATA'!B35)</f>
        <v>Synthetic Claimant 0034</v>
      </c>
      <c r="C3" t="str">
        <f>IF('MASTER DATA'!C35="","",'MASTER DATA'!C35)</f>
        <v>Claims Analyst E</v>
      </c>
      <c r="D3" t="str">
        <f>IF('MASTER DATA'!D35="","",'MASTER DATA'!D35)</f>
        <v>Synthetic Policyholder 019, LLC</v>
      </c>
      <c r="E3" s="15">
        <f>IF('MASTER DATA'!E35="","",'MASTER DATA'!E35)</f>
        <v>43929</v>
      </c>
      <c r="F3" s="16" t="str">
        <f>IF('MASTER DATA'!F35="","",'MASTER DATA'!F35)</f>
        <v>Y</v>
      </c>
      <c r="G3" s="17">
        <f>IF('MASTER DATA'!G35="","",'MASTER DATA'!G35)</f>
        <v>71250</v>
      </c>
      <c r="H3" s="16" t="str">
        <f>IF('MASTER DATA'!H35="","",'MASTER DATA'!H35)</f>
        <v>Synthetic Approver 01</v>
      </c>
      <c r="I3" s="15">
        <f>IF('MASTER DATA'!I35="","",'MASTER DATA'!I35)</f>
        <v>44890</v>
      </c>
      <c r="J3" s="16" t="str">
        <f>IF('MASTER DATA'!J35="","",'MASTER DATA'!J35)</f>
        <v>N</v>
      </c>
      <c r="K3" s="15" t="str">
        <f>IF('MASTER DATA'!K35="","",'MASTER DATA'!K35)</f>
        <v/>
      </c>
      <c r="L3" s="16" t="str">
        <f>IF('MASTER DATA'!L35="","",'MASTER DATA'!L35)</f>
        <v>Y</v>
      </c>
      <c r="M3" s="16" t="str">
        <f>IF('MASTER DATA'!M35="","",'MASTER DATA'!M35)</f>
        <v>N</v>
      </c>
      <c r="N3" s="15" t="str">
        <f>IF('MASTER DATA'!N35="","",'MASTER DATA'!N35)</f>
        <v/>
      </c>
      <c r="O3" s="16" t="str">
        <f>IF('MASTER DATA'!O35="","",'MASTER DATA'!O35)</f>
        <v/>
      </c>
      <c r="P3" s="16" t="str">
        <f>IF('MASTER DATA'!P35="","",'MASTER DATA'!P35)</f>
        <v>N</v>
      </c>
      <c r="Q3" s="16" t="str">
        <f>IF('MASTER DATA'!Q35="","",'MASTER DATA'!Q35)</f>
        <v/>
      </c>
      <c r="R3" s="16" t="str">
        <f>IF('MASTER DATA'!R35="","",'MASTER DATA'!R35)</f>
        <v/>
      </c>
      <c r="S3" s="16" t="str">
        <f>IF('MASTER DATA'!S35="","",'MASTER DATA'!S35)</f>
        <v>N</v>
      </c>
      <c r="T3" s="15" t="str">
        <f>IF('MASTER DATA'!T35="","",'MASTER DATA'!T35)</f>
        <v/>
      </c>
      <c r="U3" s="16" t="str">
        <f>IF('MASTER DATA'!U35="","",'MASTER DATA'!U35)</f>
        <v>N</v>
      </c>
      <c r="V3" s="16" t="str">
        <f>IF('MASTER DATA'!V35="","",'MASTER DATA'!V35)</f>
        <v>N</v>
      </c>
      <c r="W3" s="16" t="str">
        <f>IF('MASTER DATA'!W35="","",'MASTER DATA'!W35)</f>
        <v>N</v>
      </c>
      <c r="X3" s="16" t="str">
        <f>IF('MASTER DATA'!X35="","",'MASTER DATA'!X35)</f>
        <v>N</v>
      </c>
      <c r="Y3" s="16" t="str">
        <f>IF('MASTER DATA'!Y35="","",'MASTER DATA'!Y35)</f>
        <v>N</v>
      </c>
      <c r="Z3" s="16" t="str">
        <f>IF('MASTER DATA'!Z35="","",'MASTER DATA'!Z35)</f>
        <v>N</v>
      </c>
      <c r="AA3" s="16">
        <f>IF('MASTER DATA'!AA35="","",'MASTER DATA'!AA35)</f>
        <v>1</v>
      </c>
      <c r="AB3" s="16" t="str">
        <f>IF('MASTER DATA'!AB35="","",'MASTER DATA'!AB35)</f>
        <v>SINGLE-SIGNAL</v>
      </c>
      <c r="AC3" s="16" t="str">
        <f>IF('MASTER DATA'!AC35="","",'MASTER DATA'!AC35)</f>
        <v>Settlement Authorization</v>
      </c>
    </row>
    <row r="4" spans="1:29" x14ac:dyDescent="0.45">
      <c r="A4" t="str">
        <f>IF('MASTER DATA'!A36="","",'MASTER DATA'!A36)</f>
        <v>SYN-CLM-0035</v>
      </c>
      <c r="B4" t="str">
        <f>IF('MASTER DATA'!B36="","",'MASTER DATA'!B36)</f>
        <v>Synthetic Claimant 0035</v>
      </c>
      <c r="C4" t="str">
        <f>IF('MASTER DATA'!C36="","",'MASTER DATA'!C36)</f>
        <v>Claims Analyst E</v>
      </c>
      <c r="D4" t="str">
        <f>IF('MASTER DATA'!D36="","",'MASTER DATA'!D36)</f>
        <v>Synthetic Policyholder 014, LLC</v>
      </c>
      <c r="E4" s="15">
        <f>IF('MASTER DATA'!E36="","",'MASTER DATA'!E36)</f>
        <v>45664</v>
      </c>
      <c r="F4" s="16" t="str">
        <f>IF('MASTER DATA'!F36="","",'MASTER DATA'!F36)</f>
        <v>N</v>
      </c>
      <c r="G4" s="17" t="str">
        <f>IF('MASTER DATA'!G36="","",'MASTER DATA'!G36)</f>
        <v/>
      </c>
      <c r="H4" s="16" t="str">
        <f>IF('MASTER DATA'!H36="","",'MASTER DATA'!H36)</f>
        <v/>
      </c>
      <c r="I4" s="15" t="str">
        <f>IF('MASTER DATA'!I36="","",'MASTER DATA'!I36)</f>
        <v/>
      </c>
      <c r="J4" s="16" t="str">
        <f>IF('MASTER DATA'!J36="","",'MASTER DATA'!J36)</f>
        <v>Y</v>
      </c>
      <c r="K4" s="15">
        <f>IF('MASTER DATA'!K36="","",'MASTER DATA'!K36)</f>
        <v>46697</v>
      </c>
      <c r="L4" s="16" t="str">
        <f>IF('MASTER DATA'!L36="","",'MASTER DATA'!L36)</f>
        <v>Y</v>
      </c>
      <c r="M4" s="16" t="str">
        <f>IF('MASTER DATA'!M36="","",'MASTER DATA'!M36)</f>
        <v>N</v>
      </c>
      <c r="N4" s="15" t="str">
        <f>IF('MASTER DATA'!N36="","",'MASTER DATA'!N36)</f>
        <v/>
      </c>
      <c r="O4" s="16" t="str">
        <f>IF('MASTER DATA'!O36="","",'MASTER DATA'!O36)</f>
        <v/>
      </c>
      <c r="P4" s="16" t="str">
        <f>IF('MASTER DATA'!P36="","",'MASTER DATA'!P36)</f>
        <v>N</v>
      </c>
      <c r="Q4" s="16" t="str">
        <f>IF('MASTER DATA'!Q36="","",'MASTER DATA'!Q36)</f>
        <v/>
      </c>
      <c r="R4" s="16" t="str">
        <f>IF('MASTER DATA'!R36="","",'MASTER DATA'!R36)</f>
        <v/>
      </c>
      <c r="S4" s="16" t="str">
        <f>IF('MASTER DATA'!S36="","",'MASTER DATA'!S36)</f>
        <v>N</v>
      </c>
      <c r="T4" s="15" t="str">
        <f>IF('MASTER DATA'!T36="","",'MASTER DATA'!T36)</f>
        <v/>
      </c>
      <c r="U4" s="16" t="str">
        <f>IF('MASTER DATA'!U36="","",'MASTER DATA'!U36)</f>
        <v>N</v>
      </c>
      <c r="V4" s="16" t="str">
        <f>IF('MASTER DATA'!V36="","",'MASTER DATA'!V36)</f>
        <v>N</v>
      </c>
      <c r="W4" s="16" t="str">
        <f>IF('MASTER DATA'!W36="","",'MASTER DATA'!W36)</f>
        <v>N</v>
      </c>
      <c r="X4" s="16" t="str">
        <f>IF('MASTER DATA'!X36="","",'MASTER DATA'!X36)</f>
        <v>N</v>
      </c>
      <c r="Y4" s="16" t="str">
        <f>IF('MASTER DATA'!Y36="","",'MASTER DATA'!Y36)</f>
        <v>N</v>
      </c>
      <c r="Z4" s="16" t="str">
        <f>IF('MASTER DATA'!Z36="","",'MASTER DATA'!Z36)</f>
        <v>N</v>
      </c>
      <c r="AA4" s="16">
        <f>IF('MASTER DATA'!AA36="","",'MASTER DATA'!AA36)</f>
        <v>1</v>
      </c>
      <c r="AB4" s="16" t="str">
        <f>IF('MASTER DATA'!AB36="","",'MASTER DATA'!AB36)</f>
        <v>SINGLE-SIGNAL</v>
      </c>
      <c r="AC4" s="16" t="str">
        <f>IF('MASTER DATA'!AC36="","",'MASTER DATA'!AC36)</f>
        <v>Open Stipulation</v>
      </c>
    </row>
    <row r="5" spans="1:29" x14ac:dyDescent="0.45">
      <c r="A5" t="str">
        <f>IF('MASTER DATA'!A37="","",'MASTER DATA'!A37)</f>
        <v>SYN-CLM-0036</v>
      </c>
      <c r="B5" t="str">
        <f>IF('MASTER DATA'!B37="","",'MASTER DATA'!B37)</f>
        <v>Synthetic Claimant 0036</v>
      </c>
      <c r="C5" t="str">
        <f>IF('MASTER DATA'!C37="","",'MASTER DATA'!C37)</f>
        <v>Claims Analyst E</v>
      </c>
      <c r="D5" t="str">
        <f>IF('MASTER DATA'!D37="","",'MASTER DATA'!D37)</f>
        <v>Synthetic Policyholder 170, LLC</v>
      </c>
      <c r="E5" s="15">
        <f>IF('MASTER DATA'!E37="","",'MASTER DATA'!E37)</f>
        <v>43425</v>
      </c>
      <c r="F5" s="16" t="str">
        <f>IF('MASTER DATA'!F37="","",'MASTER DATA'!F37)</f>
        <v>Y</v>
      </c>
      <c r="G5" s="17">
        <f>IF('MASTER DATA'!G37="","",'MASTER DATA'!G37)</f>
        <v>69000</v>
      </c>
      <c r="H5" s="16" t="str">
        <f>IF('MASTER DATA'!H37="","",'MASTER DATA'!H37)</f>
        <v>Synthetic Approver 09</v>
      </c>
      <c r="I5" s="15">
        <f>IF('MASTER DATA'!I37="","",'MASTER DATA'!I37)</f>
        <v>44401</v>
      </c>
      <c r="J5" s="16" t="str">
        <f>IF('MASTER DATA'!J37="","",'MASTER DATA'!J37)</f>
        <v>Y</v>
      </c>
      <c r="K5" s="15">
        <f>IF('MASTER DATA'!K37="","",'MASTER DATA'!K37)</f>
        <v>43983</v>
      </c>
      <c r="L5" s="16" t="str">
        <f>IF('MASTER DATA'!L37="","",'MASTER DATA'!L37)</f>
        <v>N</v>
      </c>
      <c r="M5" s="16" t="str">
        <f>IF('MASTER DATA'!M37="","",'MASTER DATA'!M37)</f>
        <v>N</v>
      </c>
      <c r="N5" s="15" t="str">
        <f>IF('MASTER DATA'!N37="","",'MASTER DATA'!N37)</f>
        <v/>
      </c>
      <c r="O5" s="16" t="str">
        <f>IF('MASTER DATA'!O37="","",'MASTER DATA'!O37)</f>
        <v/>
      </c>
      <c r="P5" s="16" t="str">
        <f>IF('MASTER DATA'!P37="","",'MASTER DATA'!P37)</f>
        <v>N</v>
      </c>
      <c r="Q5" s="16" t="str">
        <f>IF('MASTER DATA'!Q37="","",'MASTER DATA'!Q37)</f>
        <v/>
      </c>
      <c r="R5" s="16" t="str">
        <f>IF('MASTER DATA'!R37="","",'MASTER DATA'!R37)</f>
        <v/>
      </c>
      <c r="S5" s="16" t="str">
        <f>IF('MASTER DATA'!S37="","",'MASTER DATA'!S37)</f>
        <v>N</v>
      </c>
      <c r="T5" s="15" t="str">
        <f>IF('MASTER DATA'!T37="","",'MASTER DATA'!T37)</f>
        <v/>
      </c>
      <c r="U5" s="16" t="str">
        <f>IF('MASTER DATA'!U37="","",'MASTER DATA'!U37)</f>
        <v>N</v>
      </c>
      <c r="V5" s="16" t="str">
        <f>IF('MASTER DATA'!V37="","",'MASTER DATA'!V37)</f>
        <v>N</v>
      </c>
      <c r="W5" s="16" t="str">
        <f>IF('MASTER DATA'!W37="","",'MASTER DATA'!W37)</f>
        <v>N</v>
      </c>
      <c r="X5" s="16" t="str">
        <f>IF('MASTER DATA'!X37="","",'MASTER DATA'!X37)</f>
        <v>N</v>
      </c>
      <c r="Y5" s="16" t="str">
        <f>IF('MASTER DATA'!Y37="","",'MASTER DATA'!Y37)</f>
        <v>N</v>
      </c>
      <c r="Z5" s="16" t="str">
        <f>IF('MASTER DATA'!Z37="","",'MASTER DATA'!Z37)</f>
        <v>N</v>
      </c>
      <c r="AA5" s="16">
        <f>IF('MASTER DATA'!AA37="","",'MASTER DATA'!AA37)</f>
        <v>2</v>
      </c>
      <c r="AB5" s="16" t="str">
        <f>IF('MASTER DATA'!AB37="","",'MASTER DATA'!AB37)</f>
        <v>MULTI-SIGNAL</v>
      </c>
      <c r="AC5" s="16" t="str">
        <f>IF('MASTER DATA'!AC37="","",'MASTER DATA'!AC37)</f>
        <v>Settlement Authorization | Open Stipulation</v>
      </c>
    </row>
    <row r="6" spans="1:29" x14ac:dyDescent="0.45">
      <c r="A6" t="str">
        <f>IF('MASTER DATA'!A38="","",'MASTER DATA'!A38)</f>
        <v>SYN-CLM-0037</v>
      </c>
      <c r="B6" t="str">
        <f>IF('MASTER DATA'!B38="","",'MASTER DATA'!B38)</f>
        <v>Synthetic Claimant 0037</v>
      </c>
      <c r="C6" t="str">
        <f>IF('MASTER DATA'!C38="","",'MASTER DATA'!C38)</f>
        <v>Claims Analyst E</v>
      </c>
      <c r="D6" t="str">
        <f>IF('MASTER DATA'!D38="","",'MASTER DATA'!D38)</f>
        <v>Synthetic Policyholder 162, LLC</v>
      </c>
      <c r="E6" s="15">
        <f>IF('MASTER DATA'!E38="","",'MASTER DATA'!E38)</f>
        <v>43707</v>
      </c>
      <c r="F6" s="16" t="str">
        <f>IF('MASTER DATA'!F38="","",'MASTER DATA'!F38)</f>
        <v>Y</v>
      </c>
      <c r="G6" s="17">
        <f>IF('MASTER DATA'!G38="","",'MASTER DATA'!G38)</f>
        <v>111000</v>
      </c>
      <c r="H6" s="16" t="str">
        <f>IF('MASTER DATA'!H38="","",'MASTER DATA'!H38)</f>
        <v>Synthetic Approver 04</v>
      </c>
      <c r="I6" s="15">
        <f>IF('MASTER DATA'!I38="","",'MASTER DATA'!I38)</f>
        <v>44762</v>
      </c>
      <c r="J6" s="16" t="str">
        <f>IF('MASTER DATA'!J38="","",'MASTER DATA'!J38)</f>
        <v>N</v>
      </c>
      <c r="K6" s="15" t="str">
        <f>IF('MASTER DATA'!K38="","",'MASTER DATA'!K38)</f>
        <v/>
      </c>
      <c r="L6" s="16" t="str">
        <f>IF('MASTER DATA'!L38="","",'MASTER DATA'!L38)</f>
        <v>Y</v>
      </c>
      <c r="M6" s="16" t="str">
        <f>IF('MASTER DATA'!M38="","",'MASTER DATA'!M38)</f>
        <v>N</v>
      </c>
      <c r="N6" s="15" t="str">
        <f>IF('MASTER DATA'!N38="","",'MASTER DATA'!N38)</f>
        <v/>
      </c>
      <c r="O6" s="16" t="str">
        <f>IF('MASTER DATA'!O38="","",'MASTER DATA'!O38)</f>
        <v/>
      </c>
      <c r="P6" s="16" t="str">
        <f>IF('MASTER DATA'!P38="","",'MASTER DATA'!P38)</f>
        <v>Y</v>
      </c>
      <c r="Q6" s="16" t="str">
        <f>IF('MASTER DATA'!Q38="","",'MASTER DATA'!Q38)</f>
        <v>MSA Eligible in Next 3 Years; Surgery Requested; MMI Date Reported</v>
      </c>
      <c r="R6" s="16" t="str">
        <f>IF('MASTER DATA'!R38="","",'MASTER DATA'!R38)</f>
        <v>Denied Treatment Requests</v>
      </c>
      <c r="S6" s="16" t="str">
        <f>IF('MASTER DATA'!S38="","",'MASTER DATA'!S38)</f>
        <v>N</v>
      </c>
      <c r="T6" s="15" t="str">
        <f>IF('MASTER DATA'!T38="","",'MASTER DATA'!T38)</f>
        <v/>
      </c>
      <c r="U6" s="16" t="str">
        <f>IF('MASTER DATA'!U38="","",'MASTER DATA'!U38)</f>
        <v>Y</v>
      </c>
      <c r="V6" s="16" t="str">
        <f>IF('MASTER DATA'!V38="","",'MASTER DATA'!V38)</f>
        <v>Y</v>
      </c>
      <c r="W6" s="16" t="str">
        <f>IF('MASTER DATA'!W38="","",'MASTER DATA'!W38)</f>
        <v>Y</v>
      </c>
      <c r="X6" s="16" t="str">
        <f>IF('MASTER DATA'!X38="","",'MASTER DATA'!X38)</f>
        <v>N</v>
      </c>
      <c r="Y6" s="16" t="str">
        <f>IF('MASTER DATA'!Y38="","",'MASTER DATA'!Y38)</f>
        <v>N</v>
      </c>
      <c r="Z6" s="16" t="str">
        <f>IF('MASTER DATA'!Z38="","",'MASTER DATA'!Z38)</f>
        <v>Y</v>
      </c>
      <c r="AA6" s="16">
        <f>IF('MASTER DATA'!AA38="","",'MASTER DATA'!AA38)</f>
        <v>2</v>
      </c>
      <c r="AB6" s="16" t="str">
        <f>IF('MASTER DATA'!AB38="","",'MASTER DATA'!AB38)</f>
        <v>MULTI-SIGNAL</v>
      </c>
      <c r="AC6" s="16" t="str">
        <f>IF('MASTER DATA'!AC38="","",'MASTER DATA'!AC38)</f>
        <v>Settlement Authorization | Automated Claim Alert</v>
      </c>
    </row>
    <row r="7" spans="1:29" x14ac:dyDescent="0.45">
      <c r="A7" t="str">
        <f>IF('MASTER DATA'!A39="","",'MASTER DATA'!A39)</f>
        <v>SYN-CLM-0038</v>
      </c>
      <c r="B7" t="str">
        <f>IF('MASTER DATA'!B39="","",'MASTER DATA'!B39)</f>
        <v>Synthetic Claimant 0038</v>
      </c>
      <c r="C7" t="str">
        <f>IF('MASTER DATA'!C39="","",'MASTER DATA'!C39)</f>
        <v>Claims Analyst E</v>
      </c>
      <c r="D7" t="str">
        <f>IF('MASTER DATA'!D39="","",'MASTER DATA'!D39)</f>
        <v>Synthetic Policyholder 113, LLC</v>
      </c>
      <c r="E7" s="15">
        <f>IF('MASTER DATA'!E39="","",'MASTER DATA'!E39)</f>
        <v>44470</v>
      </c>
      <c r="F7" s="16" t="str">
        <f>IF('MASTER DATA'!F39="","",'MASTER DATA'!F39)</f>
        <v>Y</v>
      </c>
      <c r="G7" s="17">
        <f>IF('MASTER DATA'!G39="","",'MASTER DATA'!G39)</f>
        <v>42750</v>
      </c>
      <c r="H7" s="16" t="str">
        <f>IF('MASTER DATA'!H39="","",'MASTER DATA'!H39)</f>
        <v>Synthetic Approver 01</v>
      </c>
      <c r="I7" s="15">
        <f>IF('MASTER DATA'!I39="","",'MASTER DATA'!I39)</f>
        <v>45899</v>
      </c>
      <c r="J7" s="16" t="str">
        <f>IF('MASTER DATA'!J39="","",'MASTER DATA'!J39)</f>
        <v>N</v>
      </c>
      <c r="K7" s="15" t="str">
        <f>IF('MASTER DATA'!K39="","",'MASTER DATA'!K39)</f>
        <v/>
      </c>
      <c r="L7" s="16" t="str">
        <f>IF('MASTER DATA'!L39="","",'MASTER DATA'!L39)</f>
        <v>N</v>
      </c>
      <c r="M7" s="16" t="str">
        <f>IF('MASTER DATA'!M39="","",'MASTER DATA'!M39)</f>
        <v>N</v>
      </c>
      <c r="N7" s="15" t="str">
        <f>IF('MASTER DATA'!N39="","",'MASTER DATA'!N39)</f>
        <v/>
      </c>
      <c r="O7" s="16" t="str">
        <f>IF('MASTER DATA'!O39="","",'MASTER DATA'!O39)</f>
        <v/>
      </c>
      <c r="P7" s="16" t="str">
        <f>IF('MASTER DATA'!P39="","",'MASTER DATA'!P39)</f>
        <v>N</v>
      </c>
      <c r="Q7" s="16" t="str">
        <f>IF('MASTER DATA'!Q39="","",'MASTER DATA'!Q39)</f>
        <v/>
      </c>
      <c r="R7" s="16" t="str">
        <f>IF('MASTER DATA'!R39="","",'MASTER DATA'!R39)</f>
        <v/>
      </c>
      <c r="S7" s="16" t="str">
        <f>IF('MASTER DATA'!S39="","",'MASTER DATA'!S39)</f>
        <v>N</v>
      </c>
      <c r="T7" s="15" t="str">
        <f>IF('MASTER DATA'!T39="","",'MASTER DATA'!T39)</f>
        <v/>
      </c>
      <c r="U7" s="16" t="str">
        <f>IF('MASTER DATA'!U39="","",'MASTER DATA'!U39)</f>
        <v>N</v>
      </c>
      <c r="V7" s="16" t="str">
        <f>IF('MASTER DATA'!V39="","",'MASTER DATA'!V39)</f>
        <v>N</v>
      </c>
      <c r="W7" s="16" t="str">
        <f>IF('MASTER DATA'!W39="","",'MASTER DATA'!W39)</f>
        <v>N</v>
      </c>
      <c r="X7" s="16" t="str">
        <f>IF('MASTER DATA'!X39="","",'MASTER DATA'!X39)</f>
        <v>N</v>
      </c>
      <c r="Y7" s="16" t="str">
        <f>IF('MASTER DATA'!Y39="","",'MASTER DATA'!Y39)</f>
        <v>N</v>
      </c>
      <c r="Z7" s="16" t="str">
        <f>IF('MASTER DATA'!Z39="","",'MASTER DATA'!Z39)</f>
        <v>N</v>
      </c>
      <c r="AA7" s="16">
        <f>IF('MASTER DATA'!AA39="","",'MASTER DATA'!AA39)</f>
        <v>1</v>
      </c>
      <c r="AB7" s="16" t="str">
        <f>IF('MASTER DATA'!AB39="","",'MASTER DATA'!AB39)</f>
        <v>SINGLE-SIGNAL</v>
      </c>
      <c r="AC7" s="16" t="str">
        <f>IF('MASTER DATA'!AC39="","",'MASTER DATA'!AC39)</f>
        <v>Settlement Authorization</v>
      </c>
    </row>
    <row r="8" spans="1:29" x14ac:dyDescent="0.45">
      <c r="A8" t="str">
        <f>IF('MASTER DATA'!A40="","",'MASTER DATA'!A40)</f>
        <v>SYN-CLM-0039</v>
      </c>
      <c r="B8" t="str">
        <f>IF('MASTER DATA'!B40="","",'MASTER DATA'!B40)</f>
        <v>Synthetic Claimant 0039</v>
      </c>
      <c r="C8" t="str">
        <f>IF('MASTER DATA'!C40="","",'MASTER DATA'!C40)</f>
        <v>Claims Analyst E</v>
      </c>
      <c r="D8" t="str">
        <f>IF('MASTER DATA'!D40="","",'MASTER DATA'!D40)</f>
        <v>Synthetic Policyholder 010, LLC</v>
      </c>
      <c r="E8" s="15">
        <f>IF('MASTER DATA'!E40="","",'MASTER DATA'!E40)</f>
        <v>44918</v>
      </c>
      <c r="F8" s="16" t="str">
        <f>IF('MASTER DATA'!F40="","",'MASTER DATA'!F40)</f>
        <v>Y</v>
      </c>
      <c r="G8" s="17">
        <f>IF('MASTER DATA'!G40="","",'MASTER DATA'!G40)</f>
        <v>67250</v>
      </c>
      <c r="H8" s="16" t="str">
        <f>IF('MASTER DATA'!H40="","",'MASTER DATA'!H40)</f>
        <v>Synthetic Approver 07</v>
      </c>
      <c r="I8" s="15">
        <f>IF('MASTER DATA'!I40="","",'MASTER DATA'!I40)</f>
        <v>45655</v>
      </c>
      <c r="J8" s="16" t="str">
        <f>IF('MASTER DATA'!J40="","",'MASTER DATA'!J40)</f>
        <v>Y</v>
      </c>
      <c r="K8" s="15">
        <f>IF('MASTER DATA'!K40="","",'MASTER DATA'!K40)</f>
        <v>45131</v>
      </c>
      <c r="L8" s="16" t="str">
        <f>IF('MASTER DATA'!L40="","",'MASTER DATA'!L40)</f>
        <v>N</v>
      </c>
      <c r="M8" s="16" t="str">
        <f>IF('MASTER DATA'!M40="","",'MASTER DATA'!M40)</f>
        <v>N</v>
      </c>
      <c r="N8" s="15" t="str">
        <f>IF('MASTER DATA'!N40="","",'MASTER DATA'!N40)</f>
        <v/>
      </c>
      <c r="O8" s="16" t="str">
        <f>IF('MASTER DATA'!O40="","",'MASTER DATA'!O40)</f>
        <v/>
      </c>
      <c r="P8" s="16" t="str">
        <f>IF('MASTER DATA'!P40="","",'MASTER DATA'!P40)</f>
        <v>N</v>
      </c>
      <c r="Q8" s="16" t="str">
        <f>IF('MASTER DATA'!Q40="","",'MASTER DATA'!Q40)</f>
        <v/>
      </c>
      <c r="R8" s="16" t="str">
        <f>IF('MASTER DATA'!R40="","",'MASTER DATA'!R40)</f>
        <v/>
      </c>
      <c r="S8" s="16" t="str">
        <f>IF('MASTER DATA'!S40="","",'MASTER DATA'!S40)</f>
        <v>N</v>
      </c>
      <c r="T8" s="15" t="str">
        <f>IF('MASTER DATA'!T40="","",'MASTER DATA'!T40)</f>
        <v/>
      </c>
      <c r="U8" s="16" t="str">
        <f>IF('MASTER DATA'!U40="","",'MASTER DATA'!U40)</f>
        <v>N</v>
      </c>
      <c r="V8" s="16" t="str">
        <f>IF('MASTER DATA'!V40="","",'MASTER DATA'!V40)</f>
        <v>N</v>
      </c>
      <c r="W8" s="16" t="str">
        <f>IF('MASTER DATA'!W40="","",'MASTER DATA'!W40)</f>
        <v>N</v>
      </c>
      <c r="X8" s="16" t="str">
        <f>IF('MASTER DATA'!X40="","",'MASTER DATA'!X40)</f>
        <v>N</v>
      </c>
      <c r="Y8" s="16" t="str">
        <f>IF('MASTER DATA'!Y40="","",'MASTER DATA'!Y40)</f>
        <v>N</v>
      </c>
      <c r="Z8" s="16" t="str">
        <f>IF('MASTER DATA'!Z40="","",'MASTER DATA'!Z40)</f>
        <v>N</v>
      </c>
      <c r="AA8" s="16">
        <f>IF('MASTER DATA'!AA40="","",'MASTER DATA'!AA40)</f>
        <v>2</v>
      </c>
      <c r="AB8" s="16" t="str">
        <f>IF('MASTER DATA'!AB40="","",'MASTER DATA'!AB40)</f>
        <v>MULTI-SIGNAL</v>
      </c>
      <c r="AC8" s="16" t="str">
        <f>IF('MASTER DATA'!AC40="","",'MASTER DATA'!AC40)</f>
        <v>Settlement Authorization | Open Stipulation</v>
      </c>
    </row>
    <row r="9" spans="1:29" x14ac:dyDescent="0.45">
      <c r="A9" t="str">
        <f>IF('MASTER DATA'!A41="","",'MASTER DATA'!A41)</f>
        <v>SYN-CLM-0040</v>
      </c>
      <c r="B9" t="str">
        <f>IF('MASTER DATA'!B41="","",'MASTER DATA'!B41)</f>
        <v>Synthetic Claimant 0040</v>
      </c>
      <c r="C9" t="str">
        <f>IF('MASTER DATA'!C41="","",'MASTER DATA'!C41)</f>
        <v>Claims Analyst E</v>
      </c>
      <c r="D9" t="str">
        <f>IF('MASTER DATA'!D41="","",'MASTER DATA'!D41)</f>
        <v>Synthetic Policyholder 032, LLC</v>
      </c>
      <c r="E9" s="15">
        <f>IF('MASTER DATA'!E41="","",'MASTER DATA'!E41)</f>
        <v>43740</v>
      </c>
      <c r="F9" s="16" t="str">
        <f>IF('MASTER DATA'!F41="","",'MASTER DATA'!F41)</f>
        <v>N</v>
      </c>
      <c r="G9" s="17" t="str">
        <f>IF('MASTER DATA'!G41="","",'MASTER DATA'!G41)</f>
        <v/>
      </c>
      <c r="H9" s="16" t="str">
        <f>IF('MASTER DATA'!H41="","",'MASTER DATA'!H41)</f>
        <v/>
      </c>
      <c r="I9" s="15" t="str">
        <f>IF('MASTER DATA'!I41="","",'MASTER DATA'!I41)</f>
        <v/>
      </c>
      <c r="J9" s="16" t="str">
        <f>IF('MASTER DATA'!J41="","",'MASTER DATA'!J41)</f>
        <v>N</v>
      </c>
      <c r="K9" s="15" t="str">
        <f>IF('MASTER DATA'!K41="","",'MASTER DATA'!K41)</f>
        <v/>
      </c>
      <c r="L9" s="16" t="str">
        <f>IF('MASTER DATA'!L41="","",'MASTER DATA'!L41)</f>
        <v/>
      </c>
      <c r="M9" s="16" t="str">
        <f>IF('MASTER DATA'!M41="","",'MASTER DATA'!M41)</f>
        <v>N</v>
      </c>
      <c r="N9" s="15" t="str">
        <f>IF('MASTER DATA'!N41="","",'MASTER DATA'!N41)</f>
        <v/>
      </c>
      <c r="O9" s="16" t="str">
        <f>IF('MASTER DATA'!O41="","",'MASTER DATA'!O41)</f>
        <v/>
      </c>
      <c r="P9" s="16" t="str">
        <f>IF('MASTER DATA'!P41="","",'MASTER DATA'!P41)</f>
        <v>Y</v>
      </c>
      <c r="Q9" s="16" t="str">
        <f>IF('MASTER DATA'!Q41="","",'MASTER DATA'!Q41)</f>
        <v>Surgery Requested; MSA Eligible in Next 3 Years</v>
      </c>
      <c r="R9" s="16" t="str">
        <f>IF('MASTER DATA'!R41="","",'MASTER DATA'!R41)</f>
        <v/>
      </c>
      <c r="S9" s="16" t="str">
        <f>IF('MASTER DATA'!S41="","",'MASTER DATA'!S41)</f>
        <v>Y</v>
      </c>
      <c r="T9" s="15">
        <f>IF('MASTER DATA'!T41="","",'MASTER DATA'!T41)</f>
        <v>45416</v>
      </c>
      <c r="U9" s="16" t="str">
        <f>IF('MASTER DATA'!U41="","",'MASTER DATA'!U41)</f>
        <v>Y</v>
      </c>
      <c r="V9" s="16" t="str">
        <f>IF('MASTER DATA'!V41="","",'MASTER DATA'!V41)</f>
        <v>N</v>
      </c>
      <c r="W9" s="16" t="str">
        <f>IF('MASTER DATA'!W41="","",'MASTER DATA'!W41)</f>
        <v>N</v>
      </c>
      <c r="X9" s="16" t="str">
        <f>IF('MASTER DATA'!X41="","",'MASTER DATA'!X41)</f>
        <v>N</v>
      </c>
      <c r="Y9" s="16" t="str">
        <f>IF('MASTER DATA'!Y41="","",'MASTER DATA'!Y41)</f>
        <v>N</v>
      </c>
      <c r="Z9" s="16" t="str">
        <f>IF('MASTER DATA'!Z41="","",'MASTER DATA'!Z41)</f>
        <v>Y</v>
      </c>
      <c r="AA9" s="16">
        <f>IF('MASTER DATA'!AA41="","",'MASTER DATA'!AA41)</f>
        <v>2</v>
      </c>
      <c r="AB9" s="16" t="str">
        <f>IF('MASTER DATA'!AB41="","",'MASTER DATA'!AB41)</f>
        <v>MULTI-SIGNAL</v>
      </c>
      <c r="AC9" s="16" t="str">
        <f>IF('MASTER DATA'!AC41="","",'MASTER DATA'!AC41)</f>
        <v>Automated Claim Alert | Inactive Customer</v>
      </c>
    </row>
    <row r="10" spans="1:29" x14ac:dyDescent="0.45">
      <c r="A10" t="str">
        <f>IF('MASTER DATA'!A42="","",'MASTER DATA'!A42)</f>
        <v>SYN-CLM-0041</v>
      </c>
      <c r="B10" t="str">
        <f>IF('MASTER DATA'!B42="","",'MASTER DATA'!B42)</f>
        <v>Synthetic Claimant 0041</v>
      </c>
      <c r="C10" t="str">
        <f>IF('MASTER DATA'!C42="","",'MASTER DATA'!C42)</f>
        <v>Claims Analyst E</v>
      </c>
      <c r="D10" t="str">
        <f>IF('MASTER DATA'!D42="","",'MASTER DATA'!D42)</f>
        <v>Synthetic Policyholder 153, LLC</v>
      </c>
      <c r="E10" s="15">
        <f>IF('MASTER DATA'!E42="","",'MASTER DATA'!E42)</f>
        <v>45878</v>
      </c>
      <c r="F10" s="16" t="str">
        <f>IF('MASTER DATA'!F42="","",'MASTER DATA'!F42)</f>
        <v>N</v>
      </c>
      <c r="G10" s="17" t="str">
        <f>IF('MASTER DATA'!G42="","",'MASTER DATA'!G42)</f>
        <v/>
      </c>
      <c r="H10" s="16" t="str">
        <f>IF('MASTER DATA'!H42="","",'MASTER DATA'!H42)</f>
        <v/>
      </c>
      <c r="I10" s="15" t="str">
        <f>IF('MASTER DATA'!I42="","",'MASTER DATA'!I42)</f>
        <v/>
      </c>
      <c r="J10" s="16" t="str">
        <f>IF('MASTER DATA'!J42="","",'MASTER DATA'!J42)</f>
        <v>N</v>
      </c>
      <c r="K10" s="15" t="str">
        <f>IF('MASTER DATA'!K42="","",'MASTER DATA'!K42)</f>
        <v/>
      </c>
      <c r="L10" s="16" t="str">
        <f>IF('MASTER DATA'!L42="","",'MASTER DATA'!L42)</f>
        <v/>
      </c>
      <c r="M10" s="16" t="str">
        <f>IF('MASTER DATA'!M42="","",'MASTER DATA'!M42)</f>
        <v>N</v>
      </c>
      <c r="N10" s="15" t="str">
        <f>IF('MASTER DATA'!N42="","",'MASTER DATA'!N42)</f>
        <v/>
      </c>
      <c r="O10" s="16" t="str">
        <f>IF('MASTER DATA'!O42="","",'MASTER DATA'!O42)</f>
        <v/>
      </c>
      <c r="P10" s="16" t="str">
        <f>IF('MASTER DATA'!P42="","",'MASTER DATA'!P42)</f>
        <v>N</v>
      </c>
      <c r="Q10" s="16" t="str">
        <f>IF('MASTER DATA'!Q42="","",'MASTER DATA'!Q42)</f>
        <v/>
      </c>
      <c r="R10" s="16" t="str">
        <f>IF('MASTER DATA'!R42="","",'MASTER DATA'!R42)</f>
        <v/>
      </c>
      <c r="S10" s="16" t="str">
        <f>IF('MASTER DATA'!S42="","",'MASTER DATA'!S42)</f>
        <v>Y</v>
      </c>
      <c r="T10" s="15">
        <f>IF('MASTER DATA'!T42="","",'MASTER DATA'!T42)</f>
        <v>47930</v>
      </c>
      <c r="U10" s="16" t="str">
        <f>IF('MASTER DATA'!U42="","",'MASTER DATA'!U42)</f>
        <v>N</v>
      </c>
      <c r="V10" s="16" t="str">
        <f>IF('MASTER DATA'!V42="","",'MASTER DATA'!V42)</f>
        <v>N</v>
      </c>
      <c r="W10" s="16" t="str">
        <f>IF('MASTER DATA'!W42="","",'MASTER DATA'!W42)</f>
        <v>N</v>
      </c>
      <c r="X10" s="16" t="str">
        <f>IF('MASTER DATA'!X42="","",'MASTER DATA'!X42)</f>
        <v>N</v>
      </c>
      <c r="Y10" s="16" t="str">
        <f>IF('MASTER DATA'!Y42="","",'MASTER DATA'!Y42)</f>
        <v>N</v>
      </c>
      <c r="Z10" s="16" t="str">
        <f>IF('MASTER DATA'!Z42="","",'MASTER DATA'!Z42)</f>
        <v>N</v>
      </c>
      <c r="AA10" s="16">
        <f>IF('MASTER DATA'!AA42="","",'MASTER DATA'!AA42)</f>
        <v>1</v>
      </c>
      <c r="AB10" s="16" t="str">
        <f>IF('MASTER DATA'!AB42="","",'MASTER DATA'!AB42)</f>
        <v>SINGLE-SIGNAL</v>
      </c>
      <c r="AC10" s="16" t="str">
        <f>IF('MASTER DATA'!AC42="","",'MASTER DATA'!AC42)</f>
        <v>Inactive Customer</v>
      </c>
    </row>
    <row r="11" spans="1:29" x14ac:dyDescent="0.45">
      <c r="A11" t="str">
        <f>IF('MASTER DATA'!A43="","",'MASTER DATA'!A43)</f>
        <v>SYN-CLM-0042</v>
      </c>
      <c r="B11" t="str">
        <f>IF('MASTER DATA'!B43="","",'MASTER DATA'!B43)</f>
        <v>Synthetic Claimant 0042</v>
      </c>
      <c r="C11" t="str">
        <f>IF('MASTER DATA'!C43="","",'MASTER DATA'!C43)</f>
        <v>Claims Analyst E</v>
      </c>
      <c r="D11" t="str">
        <f>IF('MASTER DATA'!D43="","",'MASTER DATA'!D43)</f>
        <v>Synthetic Policyholder 139, LLC</v>
      </c>
      <c r="E11" s="15">
        <f>IF('MASTER DATA'!E43="","",'MASTER DATA'!E43)</f>
        <v>45682</v>
      </c>
      <c r="F11" s="16" t="str">
        <f>IF('MASTER DATA'!F43="","",'MASTER DATA'!F43)</f>
        <v>Y</v>
      </c>
      <c r="G11" s="17">
        <f>IF('MASTER DATA'!G43="","",'MASTER DATA'!G43)</f>
        <v>114250</v>
      </c>
      <c r="H11" s="16" t="str">
        <f>IF('MASTER DATA'!H43="","",'MASTER DATA'!H43)</f>
        <v>Synthetic Approver 04</v>
      </c>
      <c r="I11" s="15">
        <f>IF('MASTER DATA'!I43="","",'MASTER DATA'!I43)</f>
        <v>46407</v>
      </c>
      <c r="J11" s="16" t="str">
        <f>IF('MASTER DATA'!J43="","",'MASTER DATA'!J43)</f>
        <v>N</v>
      </c>
      <c r="K11" s="15" t="str">
        <f>IF('MASTER DATA'!K43="","",'MASTER DATA'!K43)</f>
        <v/>
      </c>
      <c r="L11" s="16" t="str">
        <f>IF('MASTER DATA'!L43="","",'MASTER DATA'!L43)</f>
        <v>N</v>
      </c>
      <c r="M11" s="16" t="str">
        <f>IF('MASTER DATA'!M43="","",'MASTER DATA'!M43)</f>
        <v>N</v>
      </c>
      <c r="N11" s="15" t="str">
        <f>IF('MASTER DATA'!N43="","",'MASTER DATA'!N43)</f>
        <v/>
      </c>
      <c r="O11" s="16" t="str">
        <f>IF('MASTER DATA'!O43="","",'MASTER DATA'!O43)</f>
        <v/>
      </c>
      <c r="P11" s="16" t="str">
        <f>IF('MASTER DATA'!P43="","",'MASTER DATA'!P43)</f>
        <v>N</v>
      </c>
      <c r="Q11" s="16" t="str">
        <f>IF('MASTER DATA'!Q43="","",'MASTER DATA'!Q43)</f>
        <v/>
      </c>
      <c r="R11" s="16" t="str">
        <f>IF('MASTER DATA'!R43="","",'MASTER DATA'!R43)</f>
        <v/>
      </c>
      <c r="S11" s="16" t="str">
        <f>IF('MASTER DATA'!S43="","",'MASTER DATA'!S43)</f>
        <v>N</v>
      </c>
      <c r="T11" s="15" t="str">
        <f>IF('MASTER DATA'!T43="","",'MASTER DATA'!T43)</f>
        <v/>
      </c>
      <c r="U11" s="16" t="str">
        <f>IF('MASTER DATA'!U43="","",'MASTER DATA'!U43)</f>
        <v>N</v>
      </c>
      <c r="V11" s="16" t="str">
        <f>IF('MASTER DATA'!V43="","",'MASTER DATA'!V43)</f>
        <v>N</v>
      </c>
      <c r="W11" s="16" t="str">
        <f>IF('MASTER DATA'!W43="","",'MASTER DATA'!W43)</f>
        <v>N</v>
      </c>
      <c r="X11" s="16" t="str">
        <f>IF('MASTER DATA'!X43="","",'MASTER DATA'!X43)</f>
        <v>N</v>
      </c>
      <c r="Y11" s="16" t="str">
        <f>IF('MASTER DATA'!Y43="","",'MASTER DATA'!Y43)</f>
        <v>N</v>
      </c>
      <c r="Z11" s="16" t="str">
        <f>IF('MASTER DATA'!Z43="","",'MASTER DATA'!Z43)</f>
        <v>N</v>
      </c>
      <c r="AA11" s="16">
        <f>IF('MASTER DATA'!AA43="","",'MASTER DATA'!AA43)</f>
        <v>1</v>
      </c>
      <c r="AB11" s="16" t="str">
        <f>IF('MASTER DATA'!AB43="","",'MASTER DATA'!AB43)</f>
        <v>SINGLE-SIGNAL</v>
      </c>
      <c r="AC11" s="16" t="str">
        <f>IF('MASTER DATA'!AC43="","",'MASTER DATA'!AC43)</f>
        <v>Settlement Authorization</v>
      </c>
    </row>
    <row r="12" spans="1:29" x14ac:dyDescent="0.45">
      <c r="A12" t="str">
        <f>IF('MASTER DATA'!A235="","",'MASTER DATA'!A235)</f>
        <v>SYN-CLM-0234</v>
      </c>
      <c r="B12" t="str">
        <f>IF('MASTER DATA'!B235="","",'MASTER DATA'!B235)</f>
        <v>Synthetic Claimant 0234</v>
      </c>
      <c r="C12" t="str">
        <f>IF('MASTER DATA'!C235="","",'MASTER DATA'!C235)</f>
        <v>Claims Analyst E</v>
      </c>
      <c r="D12" t="str">
        <f>IF('MASTER DATA'!D235="","",'MASTER DATA'!D235)</f>
        <v>Synthetic Policyholder 017, LLC</v>
      </c>
      <c r="E12" s="15">
        <f>IF('MASTER DATA'!E235="","",'MASTER DATA'!E235)</f>
        <v>44724</v>
      </c>
      <c r="F12" s="16" t="str">
        <f>IF('MASTER DATA'!F235="","",'MASTER DATA'!F235)</f>
        <v>Y</v>
      </c>
      <c r="G12" s="17">
        <f>IF('MASTER DATA'!G235="","",'MASTER DATA'!G235)</f>
        <v>107500</v>
      </c>
      <c r="H12" s="16" t="str">
        <f>IF('MASTER DATA'!H235="","",'MASTER DATA'!H235)</f>
        <v>Synthetic Approver 03</v>
      </c>
      <c r="I12" s="15">
        <f>IF('MASTER DATA'!I235="","",'MASTER DATA'!I235)</f>
        <v>46388</v>
      </c>
      <c r="J12" s="16" t="str">
        <f>IF('MASTER DATA'!J235="","",'MASTER DATA'!J235)</f>
        <v>N</v>
      </c>
      <c r="K12" s="15" t="str">
        <f>IF('MASTER DATA'!K235="","",'MASTER DATA'!K235)</f>
        <v/>
      </c>
      <c r="L12" s="16" t="str">
        <f>IF('MASTER DATA'!L235="","",'MASTER DATA'!L235)</f>
        <v>Y</v>
      </c>
      <c r="M12" s="16" t="str">
        <f>IF('MASTER DATA'!M235="","",'MASTER DATA'!M235)</f>
        <v>N</v>
      </c>
      <c r="N12" s="15" t="str">
        <f>IF('MASTER DATA'!N235="","",'MASTER DATA'!N235)</f>
        <v/>
      </c>
      <c r="O12" s="16" t="str">
        <f>IF('MASTER DATA'!O235="","",'MASTER DATA'!O235)</f>
        <v/>
      </c>
      <c r="P12" s="16" t="str">
        <f>IF('MASTER DATA'!P235="","",'MASTER DATA'!P235)</f>
        <v>N</v>
      </c>
      <c r="Q12" s="16" t="str">
        <f>IF('MASTER DATA'!Q235="","",'MASTER DATA'!Q235)</f>
        <v/>
      </c>
      <c r="R12" s="16" t="str">
        <f>IF('MASTER DATA'!R235="","",'MASTER DATA'!R235)</f>
        <v/>
      </c>
      <c r="S12" s="16" t="str">
        <f>IF('MASTER DATA'!S235="","",'MASTER DATA'!S235)</f>
        <v>N</v>
      </c>
      <c r="T12" s="15" t="str">
        <f>IF('MASTER DATA'!T235="","",'MASTER DATA'!T235)</f>
        <v/>
      </c>
      <c r="U12" s="16" t="str">
        <f>IF('MASTER DATA'!U235="","",'MASTER DATA'!U235)</f>
        <v>N</v>
      </c>
      <c r="V12" s="16" t="str">
        <f>IF('MASTER DATA'!V235="","",'MASTER DATA'!V235)</f>
        <v>N</v>
      </c>
      <c r="W12" s="16" t="str">
        <f>IF('MASTER DATA'!W235="","",'MASTER DATA'!W235)</f>
        <v>N</v>
      </c>
      <c r="X12" s="16" t="str">
        <f>IF('MASTER DATA'!X235="","",'MASTER DATA'!X235)</f>
        <v>N</v>
      </c>
      <c r="Y12" s="16" t="str">
        <f>IF('MASTER DATA'!Y235="","",'MASTER DATA'!Y235)</f>
        <v>N</v>
      </c>
      <c r="Z12" s="16" t="str">
        <f>IF('MASTER DATA'!Z235="","",'MASTER DATA'!Z235)</f>
        <v>N</v>
      </c>
      <c r="AA12" s="16">
        <f>IF('MASTER DATA'!AA235="","",'MASTER DATA'!AA235)</f>
        <v>1</v>
      </c>
      <c r="AB12" s="16" t="str">
        <f>IF('MASTER DATA'!AB235="","",'MASTER DATA'!AB235)</f>
        <v>SINGLE-SIGNAL</v>
      </c>
      <c r="AC12" s="16" t="str">
        <f>IF('MASTER DATA'!AC235="","",'MASTER DATA'!AC235)</f>
        <v>Settlement Authorization</v>
      </c>
    </row>
    <row r="13" spans="1:29" x14ac:dyDescent="0.45">
      <c r="A13" t="str">
        <f>IF('MASTER DATA'!A236="","",'MASTER DATA'!A236)</f>
        <v>SYN-CLM-0235</v>
      </c>
      <c r="B13" t="str">
        <f>IF('MASTER DATA'!B236="","",'MASTER DATA'!B236)</f>
        <v>Synthetic Claimant 0235</v>
      </c>
      <c r="C13" t="str">
        <f>IF('MASTER DATA'!C236="","",'MASTER DATA'!C236)</f>
        <v>Claims Analyst E</v>
      </c>
      <c r="D13" t="str">
        <f>IF('MASTER DATA'!D236="","",'MASTER DATA'!D236)</f>
        <v>Synthetic Policyholder 075, LLC</v>
      </c>
      <c r="E13" s="15">
        <f>IF('MASTER DATA'!E236="","",'MASTER DATA'!E236)</f>
        <v>44785</v>
      </c>
      <c r="F13" s="16" t="str">
        <f>IF('MASTER DATA'!F236="","",'MASTER DATA'!F236)</f>
        <v>Y</v>
      </c>
      <c r="G13" s="17">
        <f>IF('MASTER DATA'!G236="","",'MASTER DATA'!G236)</f>
        <v>56500</v>
      </c>
      <c r="H13" s="16" t="str">
        <f>IF('MASTER DATA'!H236="","",'MASTER DATA'!H236)</f>
        <v>Synthetic Approver 04</v>
      </c>
      <c r="I13" s="15">
        <f>IF('MASTER DATA'!I236="","",'MASTER DATA'!I236)</f>
        <v>45409</v>
      </c>
      <c r="J13" s="16" t="str">
        <f>IF('MASTER DATA'!J236="","",'MASTER DATA'!J236)</f>
        <v>N</v>
      </c>
      <c r="K13" s="15" t="str">
        <f>IF('MASTER DATA'!K236="","",'MASTER DATA'!K236)</f>
        <v/>
      </c>
      <c r="L13" s="16" t="str">
        <f>IF('MASTER DATA'!L236="","",'MASTER DATA'!L236)</f>
        <v>N</v>
      </c>
      <c r="M13" s="16" t="str">
        <f>IF('MASTER DATA'!M236="","",'MASTER DATA'!M236)</f>
        <v>Y</v>
      </c>
      <c r="N13" s="15">
        <f>IF('MASTER DATA'!N236="","",'MASTER DATA'!N236)</f>
        <v>45239</v>
      </c>
      <c r="O13" s="16" t="str">
        <f>IF('MASTER DATA'!O236="","",'MASTER DATA'!O236)</f>
        <v>Synthetic QME Evaluator 23</v>
      </c>
      <c r="P13" s="16" t="str">
        <f>IF('MASTER DATA'!P236="","",'MASTER DATA'!P236)</f>
        <v>N</v>
      </c>
      <c r="Q13" s="16" t="str">
        <f>IF('MASTER DATA'!Q236="","",'MASTER DATA'!Q236)</f>
        <v/>
      </c>
      <c r="R13" s="16" t="str">
        <f>IF('MASTER DATA'!R236="","",'MASTER DATA'!R236)</f>
        <v/>
      </c>
      <c r="S13" s="16" t="str">
        <f>IF('MASTER DATA'!S236="","",'MASTER DATA'!S236)</f>
        <v>N</v>
      </c>
      <c r="T13" s="15" t="str">
        <f>IF('MASTER DATA'!T236="","",'MASTER DATA'!T236)</f>
        <v/>
      </c>
      <c r="U13" s="16" t="str">
        <f>IF('MASTER DATA'!U236="","",'MASTER DATA'!U236)</f>
        <v>N</v>
      </c>
      <c r="V13" s="16" t="str">
        <f>IF('MASTER DATA'!V236="","",'MASTER DATA'!V236)</f>
        <v>N</v>
      </c>
      <c r="W13" s="16" t="str">
        <f>IF('MASTER DATA'!W236="","",'MASTER DATA'!W236)</f>
        <v>N</v>
      </c>
      <c r="X13" s="16" t="str">
        <f>IF('MASTER DATA'!X236="","",'MASTER DATA'!X236)</f>
        <v>N</v>
      </c>
      <c r="Y13" s="16" t="str">
        <f>IF('MASTER DATA'!Y236="","",'MASTER DATA'!Y236)</f>
        <v>N</v>
      </c>
      <c r="Z13" s="16" t="str">
        <f>IF('MASTER DATA'!Z236="","",'MASTER DATA'!Z236)</f>
        <v>N</v>
      </c>
      <c r="AA13" s="16">
        <f>IF('MASTER DATA'!AA236="","",'MASTER DATA'!AA236)</f>
        <v>2</v>
      </c>
      <c r="AB13" s="16" t="str">
        <f>IF('MASTER DATA'!AB236="","",'MASTER DATA'!AB236)</f>
        <v>MULTI-SIGNAL</v>
      </c>
      <c r="AC13" s="16" t="str">
        <f>IF('MASTER DATA'!AC236="","",'MASTER DATA'!AC236)</f>
        <v>Settlement Authorization | Pending QME</v>
      </c>
    </row>
    <row r="14" spans="1:29" x14ac:dyDescent="0.45">
      <c r="A14" t="str">
        <f>IF('MASTER DATA'!A237="","",'MASTER DATA'!A237)</f>
        <v>SYN-CLM-0236</v>
      </c>
      <c r="B14" t="str">
        <f>IF('MASTER DATA'!B237="","",'MASTER DATA'!B237)</f>
        <v>Synthetic Claimant 0236</v>
      </c>
      <c r="C14" t="str">
        <f>IF('MASTER DATA'!C237="","",'MASTER DATA'!C237)</f>
        <v>Claims Analyst E</v>
      </c>
      <c r="D14" t="str">
        <f>IF('MASTER DATA'!D237="","",'MASTER DATA'!D237)</f>
        <v>Synthetic Policyholder 095, LLC</v>
      </c>
      <c r="E14" s="15">
        <f>IF('MASTER DATA'!E237="","",'MASTER DATA'!E237)</f>
        <v>43782</v>
      </c>
      <c r="F14" s="16" t="str">
        <f>IF('MASTER DATA'!F237="","",'MASTER DATA'!F237)</f>
        <v>Y</v>
      </c>
      <c r="G14" s="17">
        <f>IF('MASTER DATA'!G237="","",'MASTER DATA'!G237)</f>
        <v>55500</v>
      </c>
      <c r="H14" s="16" t="str">
        <f>IF('MASTER DATA'!H237="","",'MASTER DATA'!H237)</f>
        <v>Synthetic Approver 04</v>
      </c>
      <c r="I14" s="15">
        <f>IF('MASTER DATA'!I237="","",'MASTER DATA'!I237)</f>
        <v>43988</v>
      </c>
      <c r="J14" s="16" t="str">
        <f>IF('MASTER DATA'!J237="","",'MASTER DATA'!J237)</f>
        <v>N</v>
      </c>
      <c r="K14" s="15" t="str">
        <f>IF('MASTER DATA'!K237="","",'MASTER DATA'!K237)</f>
        <v/>
      </c>
      <c r="L14" s="16" t="str">
        <f>IF('MASTER DATA'!L237="","",'MASTER DATA'!L237)</f>
        <v>N</v>
      </c>
      <c r="M14" s="16" t="str">
        <f>IF('MASTER DATA'!M237="","",'MASTER DATA'!M237)</f>
        <v>N</v>
      </c>
      <c r="N14" s="15" t="str">
        <f>IF('MASTER DATA'!N237="","",'MASTER DATA'!N237)</f>
        <v/>
      </c>
      <c r="O14" s="16" t="str">
        <f>IF('MASTER DATA'!O237="","",'MASTER DATA'!O237)</f>
        <v/>
      </c>
      <c r="P14" s="16" t="str">
        <f>IF('MASTER DATA'!P237="","",'MASTER DATA'!P237)</f>
        <v>N</v>
      </c>
      <c r="Q14" s="16" t="str">
        <f>IF('MASTER DATA'!Q237="","",'MASTER DATA'!Q237)</f>
        <v/>
      </c>
      <c r="R14" s="16" t="str">
        <f>IF('MASTER DATA'!R237="","",'MASTER DATA'!R237)</f>
        <v/>
      </c>
      <c r="S14" s="16" t="str">
        <f>IF('MASTER DATA'!S237="","",'MASTER DATA'!S237)</f>
        <v>N</v>
      </c>
      <c r="T14" s="15" t="str">
        <f>IF('MASTER DATA'!T237="","",'MASTER DATA'!T237)</f>
        <v/>
      </c>
      <c r="U14" s="16" t="str">
        <f>IF('MASTER DATA'!U237="","",'MASTER DATA'!U237)</f>
        <v>N</v>
      </c>
      <c r="V14" s="16" t="str">
        <f>IF('MASTER DATA'!V237="","",'MASTER DATA'!V237)</f>
        <v>N</v>
      </c>
      <c r="W14" s="16" t="str">
        <f>IF('MASTER DATA'!W237="","",'MASTER DATA'!W237)</f>
        <v>N</v>
      </c>
      <c r="X14" s="16" t="str">
        <f>IF('MASTER DATA'!X237="","",'MASTER DATA'!X237)</f>
        <v>N</v>
      </c>
      <c r="Y14" s="16" t="str">
        <f>IF('MASTER DATA'!Y237="","",'MASTER DATA'!Y237)</f>
        <v>N</v>
      </c>
      <c r="Z14" s="16" t="str">
        <f>IF('MASTER DATA'!Z237="","",'MASTER DATA'!Z237)</f>
        <v>N</v>
      </c>
      <c r="AA14" s="16">
        <f>IF('MASTER DATA'!AA237="","",'MASTER DATA'!AA237)</f>
        <v>1</v>
      </c>
      <c r="AB14" s="16" t="str">
        <f>IF('MASTER DATA'!AB237="","",'MASTER DATA'!AB237)</f>
        <v>SINGLE-SIGNAL</v>
      </c>
      <c r="AC14" s="16" t="str">
        <f>IF('MASTER DATA'!AC237="","",'MASTER DATA'!AC237)</f>
        <v>Settlement Authorization</v>
      </c>
    </row>
    <row r="15" spans="1:29" x14ac:dyDescent="0.45">
      <c r="A15" t="str">
        <f>IF('MASTER DATA'!A238="","",'MASTER DATA'!A238)</f>
        <v>SYN-CLM-0237</v>
      </c>
      <c r="B15" t="str">
        <f>IF('MASTER DATA'!B238="","",'MASTER DATA'!B238)</f>
        <v>Synthetic Claimant 0237</v>
      </c>
      <c r="C15" t="str">
        <f>IF('MASTER DATA'!C238="","",'MASTER DATA'!C238)</f>
        <v>Claims Analyst E</v>
      </c>
      <c r="D15" t="str">
        <f>IF('MASTER DATA'!D238="","",'MASTER DATA'!D238)</f>
        <v>Synthetic Policyholder 127, LLC</v>
      </c>
      <c r="E15" s="15">
        <f>IF('MASTER DATA'!E238="","",'MASTER DATA'!E238)</f>
        <v>43813</v>
      </c>
      <c r="F15" s="16" t="str">
        <f>IF('MASTER DATA'!F238="","",'MASTER DATA'!F238)</f>
        <v>Y</v>
      </c>
      <c r="G15" s="17">
        <f>IF('MASTER DATA'!G238="","",'MASTER DATA'!G238)</f>
        <v>111500</v>
      </c>
      <c r="H15" s="16" t="str">
        <f>IF('MASTER DATA'!H238="","",'MASTER DATA'!H238)</f>
        <v>Synthetic Approver 01</v>
      </c>
      <c r="I15" s="15">
        <f>IF('MASTER DATA'!I238="","",'MASTER DATA'!I238)</f>
        <v>43866</v>
      </c>
      <c r="J15" s="16" t="str">
        <f>IF('MASTER DATA'!J238="","",'MASTER DATA'!J238)</f>
        <v>N</v>
      </c>
      <c r="K15" s="15" t="str">
        <f>IF('MASTER DATA'!K238="","",'MASTER DATA'!K238)</f>
        <v/>
      </c>
      <c r="L15" s="16" t="str">
        <f>IF('MASTER DATA'!L238="","",'MASTER DATA'!L238)</f>
        <v>Y</v>
      </c>
      <c r="M15" s="16" t="str">
        <f>IF('MASTER DATA'!M238="","",'MASTER DATA'!M238)</f>
        <v>N</v>
      </c>
      <c r="N15" s="15" t="str">
        <f>IF('MASTER DATA'!N238="","",'MASTER DATA'!N238)</f>
        <v/>
      </c>
      <c r="O15" s="16" t="str">
        <f>IF('MASTER DATA'!O238="","",'MASTER DATA'!O238)</f>
        <v/>
      </c>
      <c r="P15" s="16" t="str">
        <f>IF('MASTER DATA'!P238="","",'MASTER DATA'!P238)</f>
        <v>Y</v>
      </c>
      <c r="Q15" s="16" t="str">
        <f>IF('MASTER DATA'!Q238="","",'MASTER DATA'!Q238)</f>
        <v>Surgery Requested</v>
      </c>
      <c r="R15" s="16" t="str">
        <f>IF('MASTER DATA'!R238="","",'MASTER DATA'!R238)</f>
        <v/>
      </c>
      <c r="S15" s="16" t="str">
        <f>IF('MASTER DATA'!S238="","",'MASTER DATA'!S238)</f>
        <v>N</v>
      </c>
      <c r="T15" s="15" t="str">
        <f>IF('MASTER DATA'!T238="","",'MASTER DATA'!T238)</f>
        <v/>
      </c>
      <c r="U15" s="16" t="str">
        <f>IF('MASTER DATA'!U238="","",'MASTER DATA'!U238)</f>
        <v>Y</v>
      </c>
      <c r="V15" s="16" t="str">
        <f>IF('MASTER DATA'!V238="","",'MASTER DATA'!V238)</f>
        <v>N</v>
      </c>
      <c r="W15" s="16" t="str">
        <f>IF('MASTER DATA'!W238="","",'MASTER DATA'!W238)</f>
        <v>N</v>
      </c>
      <c r="X15" s="16" t="str">
        <f>IF('MASTER DATA'!X238="","",'MASTER DATA'!X238)</f>
        <v>N</v>
      </c>
      <c r="Y15" s="16" t="str">
        <f>IF('MASTER DATA'!Y238="","",'MASTER DATA'!Y238)</f>
        <v>N</v>
      </c>
      <c r="Z15" s="16" t="str">
        <f>IF('MASTER DATA'!Z238="","",'MASTER DATA'!Z238)</f>
        <v>N</v>
      </c>
      <c r="AA15" s="16">
        <f>IF('MASTER DATA'!AA238="","",'MASTER DATA'!AA238)</f>
        <v>2</v>
      </c>
      <c r="AB15" s="16" t="str">
        <f>IF('MASTER DATA'!AB238="","",'MASTER DATA'!AB238)</f>
        <v>MULTI-SIGNAL</v>
      </c>
      <c r="AC15" s="16" t="str">
        <f>IF('MASTER DATA'!AC238="","",'MASTER DATA'!AC238)</f>
        <v>Settlement Authorization | Automated Claim Alert</v>
      </c>
    </row>
    <row r="16" spans="1:29" x14ac:dyDescent="0.45">
      <c r="A16" t="str">
        <f>IF('MASTER DATA'!A239="","",'MASTER DATA'!A239)</f>
        <v>SYN-CLM-0238</v>
      </c>
      <c r="B16" t="str">
        <f>IF('MASTER DATA'!B239="","",'MASTER DATA'!B239)</f>
        <v>Synthetic Claimant 0238</v>
      </c>
      <c r="C16" t="str">
        <f>IF('MASTER DATA'!C239="","",'MASTER DATA'!C239)</f>
        <v>Claims Analyst E</v>
      </c>
      <c r="D16" t="str">
        <f>IF('MASTER DATA'!D239="","",'MASTER DATA'!D239)</f>
        <v>Synthetic Policyholder 004, LLC</v>
      </c>
      <c r="E16" s="15">
        <f>IF('MASTER DATA'!E239="","",'MASTER DATA'!E239)</f>
        <v>45334</v>
      </c>
      <c r="F16" s="16" t="str">
        <f>IF('MASTER DATA'!F239="","",'MASTER DATA'!F239)</f>
        <v>Y</v>
      </c>
      <c r="G16" s="17">
        <f>IF('MASTER DATA'!G239="","",'MASTER DATA'!G239)</f>
        <v>48000</v>
      </c>
      <c r="H16" s="16" t="str">
        <f>IF('MASTER DATA'!H239="","",'MASTER DATA'!H239)</f>
        <v>Synthetic Approver 05</v>
      </c>
      <c r="I16" s="15">
        <f>IF('MASTER DATA'!I239="","",'MASTER DATA'!I239)</f>
        <v>45436</v>
      </c>
      <c r="J16" s="16" t="str">
        <f>IF('MASTER DATA'!J239="","",'MASTER DATA'!J239)</f>
        <v>N</v>
      </c>
      <c r="K16" s="15" t="str">
        <f>IF('MASTER DATA'!K239="","",'MASTER DATA'!K239)</f>
        <v/>
      </c>
      <c r="L16" s="16" t="str">
        <f>IF('MASTER DATA'!L239="","",'MASTER DATA'!L239)</f>
        <v>N</v>
      </c>
      <c r="M16" s="16" t="str">
        <f>IF('MASTER DATA'!M239="","",'MASTER DATA'!M239)</f>
        <v>N</v>
      </c>
      <c r="N16" s="15" t="str">
        <f>IF('MASTER DATA'!N239="","",'MASTER DATA'!N239)</f>
        <v/>
      </c>
      <c r="O16" s="16" t="str">
        <f>IF('MASTER DATA'!O239="","",'MASTER DATA'!O239)</f>
        <v/>
      </c>
      <c r="P16" s="16" t="str">
        <f>IF('MASTER DATA'!P239="","",'MASTER DATA'!P239)</f>
        <v>N</v>
      </c>
      <c r="Q16" s="16" t="str">
        <f>IF('MASTER DATA'!Q239="","",'MASTER DATA'!Q239)</f>
        <v/>
      </c>
      <c r="R16" s="16" t="str">
        <f>IF('MASTER DATA'!R239="","",'MASTER DATA'!R239)</f>
        <v/>
      </c>
      <c r="S16" s="16" t="str">
        <f>IF('MASTER DATA'!S239="","",'MASTER DATA'!S239)</f>
        <v>Y</v>
      </c>
      <c r="T16" s="15">
        <f>IF('MASTER DATA'!T239="","",'MASTER DATA'!T239)</f>
        <v>47448</v>
      </c>
      <c r="U16" s="16" t="str">
        <f>IF('MASTER DATA'!U239="","",'MASTER DATA'!U239)</f>
        <v>N</v>
      </c>
      <c r="V16" s="16" t="str">
        <f>IF('MASTER DATA'!V239="","",'MASTER DATA'!V239)</f>
        <v>N</v>
      </c>
      <c r="W16" s="16" t="str">
        <f>IF('MASTER DATA'!W239="","",'MASTER DATA'!W239)</f>
        <v>N</v>
      </c>
      <c r="X16" s="16" t="str">
        <f>IF('MASTER DATA'!X239="","",'MASTER DATA'!X239)</f>
        <v>N</v>
      </c>
      <c r="Y16" s="16" t="str">
        <f>IF('MASTER DATA'!Y239="","",'MASTER DATA'!Y239)</f>
        <v>N</v>
      </c>
      <c r="Z16" s="16" t="str">
        <f>IF('MASTER DATA'!Z239="","",'MASTER DATA'!Z239)</f>
        <v>N</v>
      </c>
      <c r="AA16" s="16">
        <f>IF('MASTER DATA'!AA239="","",'MASTER DATA'!AA239)</f>
        <v>2</v>
      </c>
      <c r="AB16" s="16" t="str">
        <f>IF('MASTER DATA'!AB239="","",'MASTER DATA'!AB239)</f>
        <v>MULTI-SIGNAL</v>
      </c>
      <c r="AC16" s="16" t="str">
        <f>IF('MASTER DATA'!AC239="","",'MASTER DATA'!AC239)</f>
        <v>Settlement Authorization | Inactive Customer</v>
      </c>
    </row>
    <row r="17" spans="1:29" x14ac:dyDescent="0.45">
      <c r="A17" t="str">
        <f>IF('MASTER DATA'!A240="","",'MASTER DATA'!A240)</f>
        <v>SYN-CLM-0239</v>
      </c>
      <c r="B17" t="str">
        <f>IF('MASTER DATA'!B240="","",'MASTER DATA'!B240)</f>
        <v>Synthetic Claimant 0239</v>
      </c>
      <c r="C17" t="str">
        <f>IF('MASTER DATA'!C240="","",'MASTER DATA'!C240)</f>
        <v>Claims Analyst E</v>
      </c>
      <c r="D17" t="str">
        <f>IF('MASTER DATA'!D240="","",'MASTER DATA'!D240)</f>
        <v>Synthetic Policyholder 179, LLC</v>
      </c>
      <c r="E17" s="15">
        <f>IF('MASTER DATA'!E240="","",'MASTER DATA'!E240)</f>
        <v>45127</v>
      </c>
      <c r="F17" s="16" t="str">
        <f>IF('MASTER DATA'!F240="","",'MASTER DATA'!F240)</f>
        <v>N</v>
      </c>
      <c r="G17" s="17" t="str">
        <f>IF('MASTER DATA'!G240="","",'MASTER DATA'!G240)</f>
        <v/>
      </c>
      <c r="H17" s="16" t="str">
        <f>IF('MASTER DATA'!H240="","",'MASTER DATA'!H240)</f>
        <v/>
      </c>
      <c r="I17" s="15" t="str">
        <f>IF('MASTER DATA'!I240="","",'MASTER DATA'!I240)</f>
        <v/>
      </c>
      <c r="J17" s="16" t="str">
        <f>IF('MASTER DATA'!J240="","",'MASTER DATA'!J240)</f>
        <v>N</v>
      </c>
      <c r="K17" s="15" t="str">
        <f>IF('MASTER DATA'!K240="","",'MASTER DATA'!K240)</f>
        <v/>
      </c>
      <c r="L17" s="16" t="str">
        <f>IF('MASTER DATA'!L240="","",'MASTER DATA'!L240)</f>
        <v/>
      </c>
      <c r="M17" s="16" t="str">
        <f>IF('MASTER DATA'!M240="","",'MASTER DATA'!M240)</f>
        <v>N</v>
      </c>
      <c r="N17" s="15" t="str">
        <f>IF('MASTER DATA'!N240="","",'MASTER DATA'!N240)</f>
        <v/>
      </c>
      <c r="O17" s="16" t="str">
        <f>IF('MASTER DATA'!O240="","",'MASTER DATA'!O240)</f>
        <v/>
      </c>
      <c r="P17" s="16" t="str">
        <f>IF('MASTER DATA'!P240="","",'MASTER DATA'!P240)</f>
        <v>Y</v>
      </c>
      <c r="Q17" s="16" t="str">
        <f>IF('MASTER DATA'!Q240="","",'MASTER DATA'!Q240)</f>
        <v>Denied Treatment Requests; MMI Date Reported; MSA Eligible in Next 3 Years</v>
      </c>
      <c r="R17" s="16" t="str">
        <f>IF('MASTER DATA'!R240="","",'MASTER DATA'!R240)</f>
        <v>Surgery Requested</v>
      </c>
      <c r="S17" s="16" t="str">
        <f>IF('MASTER DATA'!S240="","",'MASTER DATA'!S240)</f>
        <v>N</v>
      </c>
      <c r="T17" s="15" t="str">
        <f>IF('MASTER DATA'!T240="","",'MASTER DATA'!T240)</f>
        <v/>
      </c>
      <c r="U17" s="16" t="str">
        <f>IF('MASTER DATA'!U240="","",'MASTER DATA'!U240)</f>
        <v>Y</v>
      </c>
      <c r="V17" s="16" t="str">
        <f>IF('MASTER DATA'!V240="","",'MASTER DATA'!V240)</f>
        <v>Y</v>
      </c>
      <c r="W17" s="16" t="str">
        <f>IF('MASTER DATA'!W240="","",'MASTER DATA'!W240)</f>
        <v>Y</v>
      </c>
      <c r="X17" s="16" t="str">
        <f>IF('MASTER DATA'!X240="","",'MASTER DATA'!X240)</f>
        <v>N</v>
      </c>
      <c r="Y17" s="16" t="str">
        <f>IF('MASTER DATA'!Y240="","",'MASTER DATA'!Y240)</f>
        <v>N</v>
      </c>
      <c r="Z17" s="16" t="str">
        <f>IF('MASTER DATA'!Z240="","",'MASTER DATA'!Z240)</f>
        <v>Y</v>
      </c>
      <c r="AA17" s="16">
        <f>IF('MASTER DATA'!AA240="","",'MASTER DATA'!AA240)</f>
        <v>1</v>
      </c>
      <c r="AB17" s="16" t="str">
        <f>IF('MASTER DATA'!AB240="","",'MASTER DATA'!AB240)</f>
        <v>SINGLE-SIGNAL</v>
      </c>
      <c r="AC17" s="16" t="str">
        <f>IF('MASTER DATA'!AC240="","",'MASTER DATA'!AC240)</f>
        <v>Automated Claim Alert</v>
      </c>
    </row>
    <row r="18" spans="1:29" x14ac:dyDescent="0.45">
      <c r="A18" t="str">
        <f>IF('MASTER DATA'!A241="","",'MASTER DATA'!A241)</f>
        <v>SYN-CLM-0240</v>
      </c>
      <c r="B18" t="str">
        <f>IF('MASTER DATA'!B241="","",'MASTER DATA'!B241)</f>
        <v>Synthetic Claimant 0240</v>
      </c>
      <c r="C18" t="str">
        <f>IF('MASTER DATA'!C241="","",'MASTER DATA'!C241)</f>
        <v>Claims Analyst E</v>
      </c>
      <c r="D18" t="str">
        <f>IF('MASTER DATA'!D241="","",'MASTER DATA'!D241)</f>
        <v>Synthetic Policyholder 087, LLC</v>
      </c>
      <c r="E18" s="15">
        <f>IF('MASTER DATA'!E241="","",'MASTER DATA'!E241)</f>
        <v>45588</v>
      </c>
      <c r="F18" s="16" t="str">
        <f>IF('MASTER DATA'!F241="","",'MASTER DATA'!F241)</f>
        <v>N</v>
      </c>
      <c r="G18" s="17" t="str">
        <f>IF('MASTER DATA'!G241="","",'MASTER DATA'!G241)</f>
        <v/>
      </c>
      <c r="H18" s="16" t="str">
        <f>IF('MASTER DATA'!H241="","",'MASTER DATA'!H241)</f>
        <v/>
      </c>
      <c r="I18" s="15" t="str">
        <f>IF('MASTER DATA'!I241="","",'MASTER DATA'!I241)</f>
        <v/>
      </c>
      <c r="J18" s="16" t="str">
        <f>IF('MASTER DATA'!J241="","",'MASTER DATA'!J241)</f>
        <v>N</v>
      </c>
      <c r="K18" s="15" t="str">
        <f>IF('MASTER DATA'!K241="","",'MASTER DATA'!K241)</f>
        <v/>
      </c>
      <c r="L18" s="16" t="str">
        <f>IF('MASTER DATA'!L241="","",'MASTER DATA'!L241)</f>
        <v/>
      </c>
      <c r="M18" s="16" t="str">
        <f>IF('MASTER DATA'!M241="","",'MASTER DATA'!M241)</f>
        <v>Y</v>
      </c>
      <c r="N18" s="15">
        <f>IF('MASTER DATA'!N241="","",'MASTER DATA'!N241)</f>
        <v>46523</v>
      </c>
      <c r="O18" s="16" t="str">
        <f>IF('MASTER DATA'!O241="","",'MASTER DATA'!O241)</f>
        <v>Synthetic QME Evaluator 07</v>
      </c>
      <c r="P18" s="16" t="str">
        <f>IF('MASTER DATA'!P241="","",'MASTER DATA'!P241)</f>
        <v>N</v>
      </c>
      <c r="Q18" s="16" t="str">
        <f>IF('MASTER DATA'!Q241="","",'MASTER DATA'!Q241)</f>
        <v/>
      </c>
      <c r="R18" s="16" t="str">
        <f>IF('MASTER DATA'!R241="","",'MASTER DATA'!R241)</f>
        <v/>
      </c>
      <c r="S18" s="16" t="str">
        <f>IF('MASTER DATA'!S241="","",'MASTER DATA'!S241)</f>
        <v>N</v>
      </c>
      <c r="T18" s="15" t="str">
        <f>IF('MASTER DATA'!T241="","",'MASTER DATA'!T241)</f>
        <v/>
      </c>
      <c r="U18" s="16" t="str">
        <f>IF('MASTER DATA'!U241="","",'MASTER DATA'!U241)</f>
        <v>N</v>
      </c>
      <c r="V18" s="16" t="str">
        <f>IF('MASTER DATA'!V241="","",'MASTER DATA'!V241)</f>
        <v>N</v>
      </c>
      <c r="W18" s="16" t="str">
        <f>IF('MASTER DATA'!W241="","",'MASTER DATA'!W241)</f>
        <v>N</v>
      </c>
      <c r="X18" s="16" t="str">
        <f>IF('MASTER DATA'!X241="","",'MASTER DATA'!X241)</f>
        <v>N</v>
      </c>
      <c r="Y18" s="16" t="str">
        <f>IF('MASTER DATA'!Y241="","",'MASTER DATA'!Y241)</f>
        <v>N</v>
      </c>
      <c r="Z18" s="16" t="str">
        <f>IF('MASTER DATA'!Z241="","",'MASTER DATA'!Z241)</f>
        <v>N</v>
      </c>
      <c r="AA18" s="16">
        <f>IF('MASTER DATA'!AA241="","",'MASTER DATA'!AA241)</f>
        <v>1</v>
      </c>
      <c r="AB18" s="16" t="str">
        <f>IF('MASTER DATA'!AB241="","",'MASTER DATA'!AB241)</f>
        <v>SINGLE-SIGNAL</v>
      </c>
      <c r="AC18" s="16" t="str">
        <f>IF('MASTER DATA'!AC241="","",'MASTER DATA'!AC241)</f>
        <v>Pending QME</v>
      </c>
    </row>
    <row r="19" spans="1:29" x14ac:dyDescent="0.45">
      <c r="A19" t="str">
        <f>IF('MASTER DATA'!A242="","",'MASTER DATA'!A242)</f>
        <v>SYN-CLM-0241</v>
      </c>
      <c r="B19" t="str">
        <f>IF('MASTER DATA'!B242="","",'MASTER DATA'!B242)</f>
        <v>Synthetic Claimant 0241</v>
      </c>
      <c r="C19" t="str">
        <f>IF('MASTER DATA'!C242="","",'MASTER DATA'!C242)</f>
        <v>Claims Analyst E</v>
      </c>
      <c r="D19" t="str">
        <f>IF('MASTER DATA'!D242="","",'MASTER DATA'!D242)</f>
        <v>Synthetic Policyholder 071, LLC</v>
      </c>
      <c r="E19" s="15">
        <f>IF('MASTER DATA'!E242="","",'MASTER DATA'!E242)</f>
        <v>45645</v>
      </c>
      <c r="F19" s="16" t="str">
        <f>IF('MASTER DATA'!F242="","",'MASTER DATA'!F242)</f>
        <v>N</v>
      </c>
      <c r="G19" s="17" t="str">
        <f>IF('MASTER DATA'!G242="","",'MASTER DATA'!G242)</f>
        <v/>
      </c>
      <c r="H19" s="16" t="str">
        <f>IF('MASTER DATA'!H242="","",'MASTER DATA'!H242)</f>
        <v/>
      </c>
      <c r="I19" s="15" t="str">
        <f>IF('MASTER DATA'!I242="","",'MASTER DATA'!I242)</f>
        <v/>
      </c>
      <c r="J19" s="16" t="str">
        <f>IF('MASTER DATA'!J242="","",'MASTER DATA'!J242)</f>
        <v>N</v>
      </c>
      <c r="K19" s="15" t="str">
        <f>IF('MASTER DATA'!K242="","",'MASTER DATA'!K242)</f>
        <v/>
      </c>
      <c r="L19" s="16" t="str">
        <f>IF('MASTER DATA'!L242="","",'MASTER DATA'!L242)</f>
        <v/>
      </c>
      <c r="M19" s="16" t="str">
        <f>IF('MASTER DATA'!M242="","",'MASTER DATA'!M242)</f>
        <v>Y</v>
      </c>
      <c r="N19" s="15">
        <f>IF('MASTER DATA'!N242="","",'MASTER DATA'!N242)</f>
        <v>47239</v>
      </c>
      <c r="O19" s="16" t="str">
        <f>IF('MASTER DATA'!O242="","",'MASTER DATA'!O242)</f>
        <v>Synthetic QME Evaluator 28</v>
      </c>
      <c r="P19" s="16" t="str">
        <f>IF('MASTER DATA'!P242="","",'MASTER DATA'!P242)</f>
        <v>N</v>
      </c>
      <c r="Q19" s="16" t="str">
        <f>IF('MASTER DATA'!Q242="","",'MASTER DATA'!Q242)</f>
        <v/>
      </c>
      <c r="R19" s="16" t="str">
        <f>IF('MASTER DATA'!R242="","",'MASTER DATA'!R242)</f>
        <v/>
      </c>
      <c r="S19" s="16" t="str">
        <f>IF('MASTER DATA'!S242="","",'MASTER DATA'!S242)</f>
        <v>N</v>
      </c>
      <c r="T19" s="15" t="str">
        <f>IF('MASTER DATA'!T242="","",'MASTER DATA'!T242)</f>
        <v/>
      </c>
      <c r="U19" s="16" t="str">
        <f>IF('MASTER DATA'!U242="","",'MASTER DATA'!U242)</f>
        <v>N</v>
      </c>
      <c r="V19" s="16" t="str">
        <f>IF('MASTER DATA'!V242="","",'MASTER DATA'!V242)</f>
        <v>N</v>
      </c>
      <c r="W19" s="16" t="str">
        <f>IF('MASTER DATA'!W242="","",'MASTER DATA'!W242)</f>
        <v>N</v>
      </c>
      <c r="X19" s="16" t="str">
        <f>IF('MASTER DATA'!X242="","",'MASTER DATA'!X242)</f>
        <v>N</v>
      </c>
      <c r="Y19" s="16" t="str">
        <f>IF('MASTER DATA'!Y242="","",'MASTER DATA'!Y242)</f>
        <v>N</v>
      </c>
      <c r="Z19" s="16" t="str">
        <f>IF('MASTER DATA'!Z242="","",'MASTER DATA'!Z242)</f>
        <v>N</v>
      </c>
      <c r="AA19" s="16">
        <f>IF('MASTER DATA'!AA242="","",'MASTER DATA'!AA242)</f>
        <v>1</v>
      </c>
      <c r="AB19" s="16" t="str">
        <f>IF('MASTER DATA'!AB242="","",'MASTER DATA'!AB242)</f>
        <v>SINGLE-SIGNAL</v>
      </c>
      <c r="AC19" s="16" t="str">
        <f>IF('MASTER DATA'!AC242="","",'MASTER DATA'!AC242)</f>
        <v>Pending QME</v>
      </c>
    </row>
    <row r="20" spans="1:29" x14ac:dyDescent="0.45">
      <c r="A20" t="str">
        <f>IF('MASTER DATA'!A243="","",'MASTER DATA'!A243)</f>
        <v>SYN-CLM-0242</v>
      </c>
      <c r="B20" t="str">
        <f>IF('MASTER DATA'!B243="","",'MASTER DATA'!B243)</f>
        <v>Synthetic Claimant 0242</v>
      </c>
      <c r="C20" t="str">
        <f>IF('MASTER DATA'!C243="","",'MASTER DATA'!C243)</f>
        <v>Claims Analyst E</v>
      </c>
      <c r="D20" t="str">
        <f>IF('MASTER DATA'!D243="","",'MASTER DATA'!D243)</f>
        <v>Synthetic Policyholder 108, LLC</v>
      </c>
      <c r="E20" s="15">
        <f>IF('MASTER DATA'!E243="","",'MASTER DATA'!E243)</f>
        <v>44429</v>
      </c>
      <c r="F20" s="16" t="str">
        <f>IF('MASTER DATA'!F243="","",'MASTER DATA'!F243)</f>
        <v>N</v>
      </c>
      <c r="G20" s="17" t="str">
        <f>IF('MASTER DATA'!G243="","",'MASTER DATA'!G243)</f>
        <v/>
      </c>
      <c r="H20" s="16" t="str">
        <f>IF('MASTER DATA'!H243="","",'MASTER DATA'!H243)</f>
        <v/>
      </c>
      <c r="I20" s="15" t="str">
        <f>IF('MASTER DATA'!I243="","",'MASTER DATA'!I243)</f>
        <v/>
      </c>
      <c r="J20" s="16" t="str">
        <f>IF('MASTER DATA'!J243="","",'MASTER DATA'!J243)</f>
        <v>N</v>
      </c>
      <c r="K20" s="15" t="str">
        <f>IF('MASTER DATA'!K243="","",'MASTER DATA'!K243)</f>
        <v/>
      </c>
      <c r="L20" s="16" t="str">
        <f>IF('MASTER DATA'!L243="","",'MASTER DATA'!L243)</f>
        <v/>
      </c>
      <c r="M20" s="16" t="str">
        <f>IF('MASTER DATA'!M243="","",'MASTER DATA'!M243)</f>
        <v>Y</v>
      </c>
      <c r="N20" s="15">
        <f>IF('MASTER DATA'!N243="","",'MASTER DATA'!N243)</f>
        <v>44689</v>
      </c>
      <c r="O20" s="16" t="str">
        <f>IF('MASTER DATA'!O243="","",'MASTER DATA'!O243)</f>
        <v>Synthetic QME Evaluator 12</v>
      </c>
      <c r="P20" s="16" t="str">
        <f>IF('MASTER DATA'!P243="","",'MASTER DATA'!P243)</f>
        <v>N</v>
      </c>
      <c r="Q20" s="16" t="str">
        <f>IF('MASTER DATA'!Q243="","",'MASTER DATA'!Q243)</f>
        <v/>
      </c>
      <c r="R20" s="16" t="str">
        <f>IF('MASTER DATA'!R243="","",'MASTER DATA'!R243)</f>
        <v/>
      </c>
      <c r="S20" s="16" t="str">
        <f>IF('MASTER DATA'!S243="","",'MASTER DATA'!S243)</f>
        <v>N</v>
      </c>
      <c r="T20" s="15" t="str">
        <f>IF('MASTER DATA'!T243="","",'MASTER DATA'!T243)</f>
        <v/>
      </c>
      <c r="U20" s="16" t="str">
        <f>IF('MASTER DATA'!U243="","",'MASTER DATA'!U243)</f>
        <v>N</v>
      </c>
      <c r="V20" s="16" t="str">
        <f>IF('MASTER DATA'!V243="","",'MASTER DATA'!V243)</f>
        <v>N</v>
      </c>
      <c r="W20" s="16" t="str">
        <f>IF('MASTER DATA'!W243="","",'MASTER DATA'!W243)</f>
        <v>N</v>
      </c>
      <c r="X20" s="16" t="str">
        <f>IF('MASTER DATA'!X243="","",'MASTER DATA'!X243)</f>
        <v>N</v>
      </c>
      <c r="Y20" s="16" t="str">
        <f>IF('MASTER DATA'!Y243="","",'MASTER DATA'!Y243)</f>
        <v>N</v>
      </c>
      <c r="Z20" s="16" t="str">
        <f>IF('MASTER DATA'!Z243="","",'MASTER DATA'!Z243)</f>
        <v>N</v>
      </c>
      <c r="AA20" s="16">
        <f>IF('MASTER DATA'!AA243="","",'MASTER DATA'!AA243)</f>
        <v>1</v>
      </c>
      <c r="AB20" s="16" t="str">
        <f>IF('MASTER DATA'!AB243="","",'MASTER DATA'!AB243)</f>
        <v>SINGLE-SIGNAL</v>
      </c>
      <c r="AC20" s="16" t="str">
        <f>IF('MASTER DATA'!AC243="","",'MASTER DATA'!AC243)</f>
        <v>Pending QME</v>
      </c>
    </row>
    <row r="21" spans="1:29" x14ac:dyDescent="0.45">
      <c r="A21" t="str">
        <f>IF('MASTER DATA'!A244="","",'MASTER DATA'!A244)</f>
        <v>SYN-CLM-0243</v>
      </c>
      <c r="B21" t="str">
        <f>IF('MASTER DATA'!B244="","",'MASTER DATA'!B244)</f>
        <v>Synthetic Claimant 0243</v>
      </c>
      <c r="C21" t="str">
        <f>IF('MASTER DATA'!C244="","",'MASTER DATA'!C244)</f>
        <v>Claims Analyst E</v>
      </c>
      <c r="D21" t="str">
        <f>IF('MASTER DATA'!D244="","",'MASTER DATA'!D244)</f>
        <v>Synthetic Policyholder 016, LLC</v>
      </c>
      <c r="E21" s="15">
        <f>IF('MASTER DATA'!E244="","",'MASTER DATA'!E244)</f>
        <v>46084</v>
      </c>
      <c r="F21" s="16" t="str">
        <f>IF('MASTER DATA'!F244="","",'MASTER DATA'!F244)</f>
        <v>N</v>
      </c>
      <c r="G21" s="17" t="str">
        <f>IF('MASTER DATA'!G244="","",'MASTER DATA'!G244)</f>
        <v/>
      </c>
      <c r="H21" s="16" t="str">
        <f>IF('MASTER DATA'!H244="","",'MASTER DATA'!H244)</f>
        <v/>
      </c>
      <c r="I21" s="15" t="str">
        <f>IF('MASTER DATA'!I244="","",'MASTER DATA'!I244)</f>
        <v/>
      </c>
      <c r="J21" s="16" t="str">
        <f>IF('MASTER DATA'!J244="","",'MASTER DATA'!J244)</f>
        <v>N</v>
      </c>
      <c r="K21" s="15" t="str">
        <f>IF('MASTER DATA'!K244="","",'MASTER DATA'!K244)</f>
        <v/>
      </c>
      <c r="L21" s="16" t="str">
        <f>IF('MASTER DATA'!L244="","",'MASTER DATA'!L244)</f>
        <v/>
      </c>
      <c r="M21" s="16" t="str">
        <f>IF('MASTER DATA'!M244="","",'MASTER DATA'!M244)</f>
        <v>N</v>
      </c>
      <c r="N21" s="15" t="str">
        <f>IF('MASTER DATA'!N244="","",'MASTER DATA'!N244)</f>
        <v/>
      </c>
      <c r="O21" s="16" t="str">
        <f>IF('MASTER DATA'!O244="","",'MASTER DATA'!O244)</f>
        <v/>
      </c>
      <c r="P21" s="16" t="str">
        <f>IF('MASTER DATA'!P244="","",'MASTER DATA'!P244)</f>
        <v>N</v>
      </c>
      <c r="Q21" s="16" t="str">
        <f>IF('MASTER DATA'!Q244="","",'MASTER DATA'!Q244)</f>
        <v/>
      </c>
      <c r="R21" s="16" t="str">
        <f>IF('MASTER DATA'!R244="","",'MASTER DATA'!R244)</f>
        <v/>
      </c>
      <c r="S21" s="16" t="str">
        <f>IF('MASTER DATA'!S244="","",'MASTER DATA'!S244)</f>
        <v>Y</v>
      </c>
      <c r="T21" s="15">
        <f>IF('MASTER DATA'!T244="","",'MASTER DATA'!T244)</f>
        <v>47552</v>
      </c>
      <c r="U21" s="16" t="str">
        <f>IF('MASTER DATA'!U244="","",'MASTER DATA'!U244)</f>
        <v>N</v>
      </c>
      <c r="V21" s="16" t="str">
        <f>IF('MASTER DATA'!V244="","",'MASTER DATA'!V244)</f>
        <v>N</v>
      </c>
      <c r="W21" s="16" t="str">
        <f>IF('MASTER DATA'!W244="","",'MASTER DATA'!W244)</f>
        <v>N</v>
      </c>
      <c r="X21" s="16" t="str">
        <f>IF('MASTER DATA'!X244="","",'MASTER DATA'!X244)</f>
        <v>N</v>
      </c>
      <c r="Y21" s="16" t="str">
        <f>IF('MASTER DATA'!Y244="","",'MASTER DATA'!Y244)</f>
        <v>N</v>
      </c>
      <c r="Z21" s="16" t="str">
        <f>IF('MASTER DATA'!Z244="","",'MASTER DATA'!Z244)</f>
        <v>N</v>
      </c>
      <c r="AA21" s="16">
        <f>IF('MASTER DATA'!AA244="","",'MASTER DATA'!AA244)</f>
        <v>1</v>
      </c>
      <c r="AB21" s="16" t="str">
        <f>IF('MASTER DATA'!AB244="","",'MASTER DATA'!AB244)</f>
        <v>SINGLE-SIGNAL</v>
      </c>
      <c r="AC21" s="16" t="str">
        <f>IF('MASTER DATA'!AC244="","",'MASTER DATA'!AC244)</f>
        <v>Inactive Customer</v>
      </c>
    </row>
    <row r="22" spans="1:29" x14ac:dyDescent="0.45">
      <c r="A22" t="str">
        <f>IF('MASTER DATA'!A245="","",'MASTER DATA'!A245)</f>
        <v>SYN-CLM-0244</v>
      </c>
      <c r="B22" t="str">
        <f>IF('MASTER DATA'!B245="","",'MASTER DATA'!B245)</f>
        <v>Synthetic Claimant 0244</v>
      </c>
      <c r="C22" t="str">
        <f>IF('MASTER DATA'!C245="","",'MASTER DATA'!C245)</f>
        <v>Claims Analyst E</v>
      </c>
      <c r="D22" t="str">
        <f>IF('MASTER DATA'!D245="","",'MASTER DATA'!D245)</f>
        <v>Synthetic Policyholder 090, LLC</v>
      </c>
      <c r="E22" s="15">
        <f>IF('MASTER DATA'!E245="","",'MASTER DATA'!E245)</f>
        <v>43604</v>
      </c>
      <c r="F22" s="16" t="str">
        <f>IF('MASTER DATA'!F245="","",'MASTER DATA'!F245)</f>
        <v>Y</v>
      </c>
      <c r="G22" s="17">
        <f>IF('MASTER DATA'!G245="","",'MASTER DATA'!G245)</f>
        <v>76000</v>
      </c>
      <c r="H22" s="16" t="str">
        <f>IF('MASTER DATA'!H245="","",'MASTER DATA'!H245)</f>
        <v>Synthetic Approver 06</v>
      </c>
      <c r="I22" s="15">
        <f>IF('MASTER DATA'!I245="","",'MASTER DATA'!I245)</f>
        <v>45318</v>
      </c>
      <c r="J22" s="16" t="str">
        <f>IF('MASTER DATA'!J245="","",'MASTER DATA'!J245)</f>
        <v>N</v>
      </c>
      <c r="K22" s="15" t="str">
        <f>IF('MASTER DATA'!K245="","",'MASTER DATA'!K245)</f>
        <v/>
      </c>
      <c r="L22" s="16" t="str">
        <f>IF('MASTER DATA'!L245="","",'MASTER DATA'!L245)</f>
        <v>N</v>
      </c>
      <c r="M22" s="16" t="str">
        <f>IF('MASTER DATA'!M245="","",'MASTER DATA'!M245)</f>
        <v>N</v>
      </c>
      <c r="N22" s="15" t="str">
        <f>IF('MASTER DATA'!N245="","",'MASTER DATA'!N245)</f>
        <v/>
      </c>
      <c r="O22" s="16" t="str">
        <f>IF('MASTER DATA'!O245="","",'MASTER DATA'!O245)</f>
        <v/>
      </c>
      <c r="P22" s="16" t="str">
        <f>IF('MASTER DATA'!P245="","",'MASTER DATA'!P245)</f>
        <v>N</v>
      </c>
      <c r="Q22" s="16" t="str">
        <f>IF('MASTER DATA'!Q245="","",'MASTER DATA'!Q245)</f>
        <v/>
      </c>
      <c r="R22" s="16" t="str">
        <f>IF('MASTER DATA'!R245="","",'MASTER DATA'!R245)</f>
        <v/>
      </c>
      <c r="S22" s="16" t="str">
        <f>IF('MASTER DATA'!S245="","",'MASTER DATA'!S245)</f>
        <v>N</v>
      </c>
      <c r="T22" s="15" t="str">
        <f>IF('MASTER DATA'!T245="","",'MASTER DATA'!T245)</f>
        <v/>
      </c>
      <c r="U22" s="16" t="str">
        <f>IF('MASTER DATA'!U245="","",'MASTER DATA'!U245)</f>
        <v>N</v>
      </c>
      <c r="V22" s="16" t="str">
        <f>IF('MASTER DATA'!V245="","",'MASTER DATA'!V245)</f>
        <v>N</v>
      </c>
      <c r="W22" s="16" t="str">
        <f>IF('MASTER DATA'!W245="","",'MASTER DATA'!W245)</f>
        <v>N</v>
      </c>
      <c r="X22" s="16" t="str">
        <f>IF('MASTER DATA'!X245="","",'MASTER DATA'!X245)</f>
        <v>N</v>
      </c>
      <c r="Y22" s="16" t="str">
        <f>IF('MASTER DATA'!Y245="","",'MASTER DATA'!Y245)</f>
        <v>N</v>
      </c>
      <c r="Z22" s="16" t="str">
        <f>IF('MASTER DATA'!Z245="","",'MASTER DATA'!Z245)</f>
        <v>N</v>
      </c>
      <c r="AA22" s="16">
        <f>IF('MASTER DATA'!AA245="","",'MASTER DATA'!AA245)</f>
        <v>1</v>
      </c>
      <c r="AB22" s="16" t="str">
        <f>IF('MASTER DATA'!AB245="","",'MASTER DATA'!AB245)</f>
        <v>SINGLE-SIGNAL</v>
      </c>
      <c r="AC22" s="16" t="str">
        <f>IF('MASTER DATA'!AC245="","",'MASTER DATA'!AC245)</f>
        <v>Settlement Authorization</v>
      </c>
    </row>
    <row r="23" spans="1:29" x14ac:dyDescent="0.45">
      <c r="A23" t="str">
        <f>IF('MASTER DATA'!A246="","",'MASTER DATA'!A246)</f>
        <v>SYN-CLM-0245</v>
      </c>
      <c r="B23" t="str">
        <f>IF('MASTER DATA'!B246="","",'MASTER DATA'!B246)</f>
        <v>Synthetic Claimant 0245</v>
      </c>
      <c r="C23" t="str">
        <f>IF('MASTER DATA'!C246="","",'MASTER DATA'!C246)</f>
        <v>Claims Analyst E</v>
      </c>
      <c r="D23" t="str">
        <f>IF('MASTER DATA'!D246="","",'MASTER DATA'!D246)</f>
        <v>Synthetic Policyholder 106, LLC</v>
      </c>
      <c r="E23" s="15">
        <f>IF('MASTER DATA'!E246="","",'MASTER DATA'!E246)</f>
        <v>45867</v>
      </c>
      <c r="F23" s="16" t="str">
        <f>IF('MASTER DATA'!F246="","",'MASTER DATA'!F246)</f>
        <v>N</v>
      </c>
      <c r="G23" s="17" t="str">
        <f>IF('MASTER DATA'!G246="","",'MASTER DATA'!G246)</f>
        <v/>
      </c>
      <c r="H23" s="16" t="str">
        <f>IF('MASTER DATA'!H246="","",'MASTER DATA'!H246)</f>
        <v/>
      </c>
      <c r="I23" s="15" t="str">
        <f>IF('MASTER DATA'!I246="","",'MASTER DATA'!I246)</f>
        <v/>
      </c>
      <c r="J23" s="16" t="str">
        <f>IF('MASTER DATA'!J246="","",'MASTER DATA'!J246)</f>
        <v>Y</v>
      </c>
      <c r="K23" s="15">
        <f>IF('MASTER DATA'!K246="","",'MASTER DATA'!K246)</f>
        <v>46367</v>
      </c>
      <c r="L23" s="16" t="str">
        <f>IF('MASTER DATA'!L246="","",'MASTER DATA'!L246)</f>
        <v>Y</v>
      </c>
      <c r="M23" s="16" t="str">
        <f>IF('MASTER DATA'!M246="","",'MASTER DATA'!M246)</f>
        <v>N</v>
      </c>
      <c r="N23" s="15" t="str">
        <f>IF('MASTER DATA'!N246="","",'MASTER DATA'!N246)</f>
        <v/>
      </c>
      <c r="O23" s="16" t="str">
        <f>IF('MASTER DATA'!O246="","",'MASTER DATA'!O246)</f>
        <v/>
      </c>
      <c r="P23" s="16" t="str">
        <f>IF('MASTER DATA'!P246="","",'MASTER DATA'!P246)</f>
        <v>N</v>
      </c>
      <c r="Q23" s="16" t="str">
        <f>IF('MASTER DATA'!Q246="","",'MASTER DATA'!Q246)</f>
        <v/>
      </c>
      <c r="R23" s="16" t="str">
        <f>IF('MASTER DATA'!R246="","",'MASTER DATA'!R246)</f>
        <v/>
      </c>
      <c r="S23" s="16" t="str">
        <f>IF('MASTER DATA'!S246="","",'MASTER DATA'!S246)</f>
        <v>N</v>
      </c>
      <c r="T23" s="15" t="str">
        <f>IF('MASTER DATA'!T246="","",'MASTER DATA'!T246)</f>
        <v/>
      </c>
      <c r="U23" s="16" t="str">
        <f>IF('MASTER DATA'!U246="","",'MASTER DATA'!U246)</f>
        <v>N</v>
      </c>
      <c r="V23" s="16" t="str">
        <f>IF('MASTER DATA'!V246="","",'MASTER DATA'!V246)</f>
        <v>N</v>
      </c>
      <c r="W23" s="16" t="str">
        <f>IF('MASTER DATA'!W246="","",'MASTER DATA'!W246)</f>
        <v>N</v>
      </c>
      <c r="X23" s="16" t="str">
        <f>IF('MASTER DATA'!X246="","",'MASTER DATA'!X246)</f>
        <v>N</v>
      </c>
      <c r="Y23" s="16" t="str">
        <f>IF('MASTER DATA'!Y246="","",'MASTER DATA'!Y246)</f>
        <v>N</v>
      </c>
      <c r="Z23" s="16" t="str">
        <f>IF('MASTER DATA'!Z246="","",'MASTER DATA'!Z246)</f>
        <v>N</v>
      </c>
      <c r="AA23" s="16">
        <f>IF('MASTER DATA'!AA246="","",'MASTER DATA'!AA246)</f>
        <v>1</v>
      </c>
      <c r="AB23" s="16" t="str">
        <f>IF('MASTER DATA'!AB246="","",'MASTER DATA'!AB246)</f>
        <v>SINGLE-SIGNAL</v>
      </c>
      <c r="AC23" s="16" t="str">
        <f>IF('MASTER DATA'!AC246="","",'MASTER DATA'!AC246)</f>
        <v>Open Stipulation</v>
      </c>
    </row>
    <row r="24" spans="1:29" x14ac:dyDescent="0.45">
      <c r="A24" t="str">
        <f>IF('MASTER DATA'!A247="","",'MASTER DATA'!A247)</f>
        <v>SYN-CLM-0246</v>
      </c>
      <c r="B24" t="str">
        <f>IF('MASTER DATA'!B247="","",'MASTER DATA'!B247)</f>
        <v>Synthetic Claimant 0246</v>
      </c>
      <c r="C24" t="str">
        <f>IF('MASTER DATA'!C247="","",'MASTER DATA'!C247)</f>
        <v>Claims Analyst E</v>
      </c>
      <c r="D24" t="str">
        <f>IF('MASTER DATA'!D247="","",'MASTER DATA'!D247)</f>
        <v>Synthetic Policyholder 170, LLC</v>
      </c>
      <c r="E24" s="15">
        <f>IF('MASTER DATA'!E247="","",'MASTER DATA'!E247)</f>
        <v>43999</v>
      </c>
      <c r="F24" s="16" t="str">
        <f>IF('MASTER DATA'!F247="","",'MASTER DATA'!F247)</f>
        <v>N</v>
      </c>
      <c r="G24" s="17" t="str">
        <f>IF('MASTER DATA'!G247="","",'MASTER DATA'!G247)</f>
        <v/>
      </c>
      <c r="H24" s="16" t="str">
        <f>IF('MASTER DATA'!H247="","",'MASTER DATA'!H247)</f>
        <v/>
      </c>
      <c r="I24" s="15" t="str">
        <f>IF('MASTER DATA'!I247="","",'MASTER DATA'!I247)</f>
        <v/>
      </c>
      <c r="J24" s="16" t="str">
        <f>IF('MASTER DATA'!J247="","",'MASTER DATA'!J247)</f>
        <v>Y</v>
      </c>
      <c r="K24" s="15">
        <f>IF('MASTER DATA'!K247="","",'MASTER DATA'!K247)</f>
        <v>44408</v>
      </c>
      <c r="L24" s="16" t="str">
        <f>IF('MASTER DATA'!L247="","",'MASTER DATA'!L247)</f>
        <v>N</v>
      </c>
      <c r="M24" s="16" t="str">
        <f>IF('MASTER DATA'!M247="","",'MASTER DATA'!M247)</f>
        <v>N</v>
      </c>
      <c r="N24" s="15" t="str">
        <f>IF('MASTER DATA'!N247="","",'MASTER DATA'!N247)</f>
        <v/>
      </c>
      <c r="O24" s="16" t="str">
        <f>IF('MASTER DATA'!O247="","",'MASTER DATA'!O247)</f>
        <v/>
      </c>
      <c r="P24" s="16" t="str">
        <f>IF('MASTER DATA'!P247="","",'MASTER DATA'!P247)</f>
        <v>N</v>
      </c>
      <c r="Q24" s="16" t="str">
        <f>IF('MASTER DATA'!Q247="","",'MASTER DATA'!Q247)</f>
        <v/>
      </c>
      <c r="R24" s="16" t="str">
        <f>IF('MASTER DATA'!R247="","",'MASTER DATA'!R247)</f>
        <v/>
      </c>
      <c r="S24" s="16" t="str">
        <f>IF('MASTER DATA'!S247="","",'MASTER DATA'!S247)</f>
        <v>N</v>
      </c>
      <c r="T24" s="15" t="str">
        <f>IF('MASTER DATA'!T247="","",'MASTER DATA'!T247)</f>
        <v/>
      </c>
      <c r="U24" s="16" t="str">
        <f>IF('MASTER DATA'!U247="","",'MASTER DATA'!U247)</f>
        <v>N</v>
      </c>
      <c r="V24" s="16" t="str">
        <f>IF('MASTER DATA'!V247="","",'MASTER DATA'!V247)</f>
        <v>N</v>
      </c>
      <c r="W24" s="16" t="str">
        <f>IF('MASTER DATA'!W247="","",'MASTER DATA'!W247)</f>
        <v>N</v>
      </c>
      <c r="X24" s="16" t="str">
        <f>IF('MASTER DATA'!X247="","",'MASTER DATA'!X247)</f>
        <v>N</v>
      </c>
      <c r="Y24" s="16" t="str">
        <f>IF('MASTER DATA'!Y247="","",'MASTER DATA'!Y247)</f>
        <v>N</v>
      </c>
      <c r="Z24" s="16" t="str">
        <f>IF('MASTER DATA'!Z247="","",'MASTER DATA'!Z247)</f>
        <v>N</v>
      </c>
      <c r="AA24" s="16">
        <f>IF('MASTER DATA'!AA247="","",'MASTER DATA'!AA247)</f>
        <v>1</v>
      </c>
      <c r="AB24" s="16" t="str">
        <f>IF('MASTER DATA'!AB247="","",'MASTER DATA'!AB247)</f>
        <v>SINGLE-SIGNAL</v>
      </c>
      <c r="AC24" s="16" t="str">
        <f>IF('MASTER DATA'!AC247="","",'MASTER DATA'!AC247)</f>
        <v>Open Stipulation</v>
      </c>
    </row>
    <row r="25" spans="1:29" x14ac:dyDescent="0.45">
      <c r="A25" t="str">
        <f>IF('MASTER DATA'!A248="","",'MASTER DATA'!A248)</f>
        <v>SYN-CLM-0247</v>
      </c>
      <c r="B25" t="str">
        <f>IF('MASTER DATA'!B248="","",'MASTER DATA'!B248)</f>
        <v>Synthetic Claimant 0247</v>
      </c>
      <c r="C25" t="str">
        <f>IF('MASTER DATA'!C248="","",'MASTER DATA'!C248)</f>
        <v>Claims Analyst E</v>
      </c>
      <c r="D25" t="str">
        <f>IF('MASTER DATA'!D248="","",'MASTER DATA'!D248)</f>
        <v>Synthetic Policyholder 088, LLC</v>
      </c>
      <c r="E25" s="15">
        <f>IF('MASTER DATA'!E248="","",'MASTER DATA'!E248)</f>
        <v>44189</v>
      </c>
      <c r="F25" s="16" t="str">
        <f>IF('MASTER DATA'!F248="","",'MASTER DATA'!F248)</f>
        <v>N</v>
      </c>
      <c r="G25" s="17" t="str">
        <f>IF('MASTER DATA'!G248="","",'MASTER DATA'!G248)</f>
        <v/>
      </c>
      <c r="H25" s="16" t="str">
        <f>IF('MASTER DATA'!H248="","",'MASTER DATA'!H248)</f>
        <v/>
      </c>
      <c r="I25" s="15" t="str">
        <f>IF('MASTER DATA'!I248="","",'MASTER DATA'!I248)</f>
        <v/>
      </c>
      <c r="J25" s="16" t="str">
        <f>IF('MASTER DATA'!J248="","",'MASTER DATA'!J248)</f>
        <v>Y</v>
      </c>
      <c r="K25" s="15">
        <f>IF('MASTER DATA'!K248="","",'MASTER DATA'!K248)</f>
        <v>45575</v>
      </c>
      <c r="L25" s="16" t="str">
        <f>IF('MASTER DATA'!L248="","",'MASTER DATA'!L248)</f>
        <v>Y</v>
      </c>
      <c r="M25" s="16" t="str">
        <f>IF('MASTER DATA'!M248="","",'MASTER DATA'!M248)</f>
        <v>N</v>
      </c>
      <c r="N25" s="15" t="str">
        <f>IF('MASTER DATA'!N248="","",'MASTER DATA'!N248)</f>
        <v/>
      </c>
      <c r="O25" s="16" t="str">
        <f>IF('MASTER DATA'!O248="","",'MASTER DATA'!O248)</f>
        <v/>
      </c>
      <c r="P25" s="16" t="str">
        <f>IF('MASTER DATA'!P248="","",'MASTER DATA'!P248)</f>
        <v>N</v>
      </c>
      <c r="Q25" s="16" t="str">
        <f>IF('MASTER DATA'!Q248="","",'MASTER DATA'!Q248)</f>
        <v/>
      </c>
      <c r="R25" s="16" t="str">
        <f>IF('MASTER DATA'!R248="","",'MASTER DATA'!R248)</f>
        <v/>
      </c>
      <c r="S25" s="16" t="str">
        <f>IF('MASTER DATA'!S248="","",'MASTER DATA'!S248)</f>
        <v>N</v>
      </c>
      <c r="T25" s="15" t="str">
        <f>IF('MASTER DATA'!T248="","",'MASTER DATA'!T248)</f>
        <v/>
      </c>
      <c r="U25" s="16" t="str">
        <f>IF('MASTER DATA'!U248="","",'MASTER DATA'!U248)</f>
        <v>N</v>
      </c>
      <c r="V25" s="16" t="str">
        <f>IF('MASTER DATA'!V248="","",'MASTER DATA'!V248)</f>
        <v>N</v>
      </c>
      <c r="W25" s="16" t="str">
        <f>IF('MASTER DATA'!W248="","",'MASTER DATA'!W248)</f>
        <v>N</v>
      </c>
      <c r="X25" s="16" t="str">
        <f>IF('MASTER DATA'!X248="","",'MASTER DATA'!X248)</f>
        <v>N</v>
      </c>
      <c r="Y25" s="16" t="str">
        <f>IF('MASTER DATA'!Y248="","",'MASTER DATA'!Y248)</f>
        <v>N</v>
      </c>
      <c r="Z25" s="16" t="str">
        <f>IF('MASTER DATA'!Z248="","",'MASTER DATA'!Z248)</f>
        <v>N</v>
      </c>
      <c r="AA25" s="16">
        <f>IF('MASTER DATA'!AA248="","",'MASTER DATA'!AA248)</f>
        <v>1</v>
      </c>
      <c r="AB25" s="16" t="str">
        <f>IF('MASTER DATA'!AB248="","",'MASTER DATA'!AB248)</f>
        <v>SINGLE-SIGNAL</v>
      </c>
      <c r="AC25" s="16" t="str">
        <f>IF('MASTER DATA'!AC248="","",'MASTER DATA'!AC248)</f>
        <v>Open Stipulation</v>
      </c>
    </row>
    <row r="26" spans="1:29" x14ac:dyDescent="0.45">
      <c r="A26" t="str">
        <f>IF('MASTER DATA'!A249="","",'MASTER DATA'!A249)</f>
        <v>SYN-CLM-0248</v>
      </c>
      <c r="B26" t="str">
        <f>IF('MASTER DATA'!B249="","",'MASTER DATA'!B249)</f>
        <v>Synthetic Claimant 0248</v>
      </c>
      <c r="C26" t="str">
        <f>IF('MASTER DATA'!C249="","",'MASTER DATA'!C249)</f>
        <v>Claims Analyst E</v>
      </c>
      <c r="D26" t="str">
        <f>IF('MASTER DATA'!D249="","",'MASTER DATA'!D249)</f>
        <v>Synthetic Policyholder 030, LLC</v>
      </c>
      <c r="E26" s="15">
        <f>IF('MASTER DATA'!E249="","",'MASTER DATA'!E249)</f>
        <v>44885</v>
      </c>
      <c r="F26" s="16" t="str">
        <f>IF('MASTER DATA'!F249="","",'MASTER DATA'!F249)</f>
        <v>N</v>
      </c>
      <c r="G26" s="17" t="str">
        <f>IF('MASTER DATA'!G249="","",'MASTER DATA'!G249)</f>
        <v/>
      </c>
      <c r="H26" s="16" t="str">
        <f>IF('MASTER DATA'!H249="","",'MASTER DATA'!H249)</f>
        <v/>
      </c>
      <c r="I26" s="15" t="str">
        <f>IF('MASTER DATA'!I249="","",'MASTER DATA'!I249)</f>
        <v/>
      </c>
      <c r="J26" s="16" t="str">
        <f>IF('MASTER DATA'!J249="","",'MASTER DATA'!J249)</f>
        <v>N</v>
      </c>
      <c r="K26" s="15" t="str">
        <f>IF('MASTER DATA'!K249="","",'MASTER DATA'!K249)</f>
        <v/>
      </c>
      <c r="L26" s="16" t="str">
        <f>IF('MASTER DATA'!L249="","",'MASTER DATA'!L249)</f>
        <v/>
      </c>
      <c r="M26" s="16" t="str">
        <f>IF('MASTER DATA'!M249="","",'MASTER DATA'!M249)</f>
        <v>N</v>
      </c>
      <c r="N26" s="15" t="str">
        <f>IF('MASTER DATA'!N249="","",'MASTER DATA'!N249)</f>
        <v/>
      </c>
      <c r="O26" s="16" t="str">
        <f>IF('MASTER DATA'!O249="","",'MASTER DATA'!O249)</f>
        <v/>
      </c>
      <c r="P26" s="16" t="str">
        <f>IF('MASTER DATA'!P249="","",'MASTER DATA'!P249)</f>
        <v>Y</v>
      </c>
      <c r="Q26" s="16" t="str">
        <f>IF('MASTER DATA'!Q249="","",'MASTER DATA'!Q249)</f>
        <v>Specialist Consultation Requested; MMI Date Reported</v>
      </c>
      <c r="R26" s="16" t="str">
        <f>IF('MASTER DATA'!R249="","",'MASTER DATA'!R249)</f>
        <v>Non-Renewed Account</v>
      </c>
      <c r="S26" s="16" t="str">
        <f>IF('MASTER DATA'!S249="","",'MASTER DATA'!S249)</f>
        <v>N</v>
      </c>
      <c r="T26" s="15" t="str">
        <f>IF('MASTER DATA'!T249="","",'MASTER DATA'!T249)</f>
        <v/>
      </c>
      <c r="U26" s="16" t="str">
        <f>IF('MASTER DATA'!U249="","",'MASTER DATA'!U249)</f>
        <v>N</v>
      </c>
      <c r="V26" s="16" t="str">
        <f>IF('MASTER DATA'!V249="","",'MASTER DATA'!V249)</f>
        <v>Y</v>
      </c>
      <c r="W26" s="16" t="str">
        <f>IF('MASTER DATA'!W249="","",'MASTER DATA'!W249)</f>
        <v>N</v>
      </c>
      <c r="X26" s="16" t="str">
        <f>IF('MASTER DATA'!X249="","",'MASTER DATA'!X249)</f>
        <v>Y</v>
      </c>
      <c r="Y26" s="16" t="str">
        <f>IF('MASTER DATA'!Y249="","",'MASTER DATA'!Y249)</f>
        <v>Y</v>
      </c>
      <c r="Z26" s="16" t="str">
        <f>IF('MASTER DATA'!Z249="","",'MASTER DATA'!Z249)</f>
        <v>N</v>
      </c>
      <c r="AA26" s="16">
        <f>IF('MASTER DATA'!AA249="","",'MASTER DATA'!AA249)</f>
        <v>1</v>
      </c>
      <c r="AB26" s="16" t="str">
        <f>IF('MASTER DATA'!AB249="","",'MASTER DATA'!AB249)</f>
        <v>SINGLE-SIGNAL</v>
      </c>
      <c r="AC26" s="16" t="str">
        <f>IF('MASTER DATA'!AC249="","",'MASTER DATA'!AC249)</f>
        <v>Automated Claim Alert</v>
      </c>
    </row>
    <row r="27" spans="1:29" x14ac:dyDescent="0.45">
      <c r="A27" t="str">
        <f>IF('MASTER DATA'!A250="","",'MASTER DATA'!A250)</f>
        <v>SYN-CLM-0249</v>
      </c>
      <c r="B27" t="str">
        <f>IF('MASTER DATA'!B250="","",'MASTER DATA'!B250)</f>
        <v>Synthetic Claimant 0249</v>
      </c>
      <c r="C27" t="str">
        <f>IF('MASTER DATA'!C250="","",'MASTER DATA'!C250)</f>
        <v>Claims Analyst E</v>
      </c>
      <c r="D27" t="str">
        <f>IF('MASTER DATA'!D250="","",'MASTER DATA'!D250)</f>
        <v>Synthetic Policyholder 174, LLC</v>
      </c>
      <c r="E27" s="15">
        <f>IF('MASTER DATA'!E250="","",'MASTER DATA'!E250)</f>
        <v>44886</v>
      </c>
      <c r="F27" s="16" t="str">
        <f>IF('MASTER DATA'!F250="","",'MASTER DATA'!F250)</f>
        <v>N</v>
      </c>
      <c r="G27" s="17" t="str">
        <f>IF('MASTER DATA'!G250="","",'MASTER DATA'!G250)</f>
        <v/>
      </c>
      <c r="H27" s="16" t="str">
        <f>IF('MASTER DATA'!H250="","",'MASTER DATA'!H250)</f>
        <v/>
      </c>
      <c r="I27" s="15" t="str">
        <f>IF('MASTER DATA'!I250="","",'MASTER DATA'!I250)</f>
        <v/>
      </c>
      <c r="J27" s="16" t="str">
        <f>IF('MASTER DATA'!J250="","",'MASTER DATA'!J250)</f>
        <v>N</v>
      </c>
      <c r="K27" s="15" t="str">
        <f>IF('MASTER DATA'!K250="","",'MASTER DATA'!K250)</f>
        <v/>
      </c>
      <c r="L27" s="16" t="str">
        <f>IF('MASTER DATA'!L250="","",'MASTER DATA'!L250)</f>
        <v/>
      </c>
      <c r="M27" s="16" t="str">
        <f>IF('MASTER DATA'!M250="","",'MASTER DATA'!M250)</f>
        <v>N</v>
      </c>
      <c r="N27" s="15" t="str">
        <f>IF('MASTER DATA'!N250="","",'MASTER DATA'!N250)</f>
        <v/>
      </c>
      <c r="O27" s="16" t="str">
        <f>IF('MASTER DATA'!O250="","",'MASTER DATA'!O250)</f>
        <v/>
      </c>
      <c r="P27" s="16" t="str">
        <f>IF('MASTER DATA'!P250="","",'MASTER DATA'!P250)</f>
        <v>Y</v>
      </c>
      <c r="Q27" s="16" t="str">
        <f>IF('MASTER DATA'!Q250="","",'MASTER DATA'!Q250)</f>
        <v>MMI Date Reported; MSA Eligible in Next 3 Years</v>
      </c>
      <c r="R27" s="16" t="str">
        <f>IF('MASTER DATA'!R250="","",'MASTER DATA'!R250)</f>
        <v>Non-Renewed Account; Surgery Requested</v>
      </c>
      <c r="S27" s="16" t="str">
        <f>IF('MASTER DATA'!S250="","",'MASTER DATA'!S250)</f>
        <v>Y</v>
      </c>
      <c r="T27" s="15">
        <f>IF('MASTER DATA'!T250="","",'MASTER DATA'!T250)</f>
        <v>46991</v>
      </c>
      <c r="U27" s="16" t="str">
        <f>IF('MASTER DATA'!U250="","",'MASTER DATA'!U250)</f>
        <v>Y</v>
      </c>
      <c r="V27" s="16" t="str">
        <f>IF('MASTER DATA'!V250="","",'MASTER DATA'!V250)</f>
        <v>Y</v>
      </c>
      <c r="W27" s="16" t="str">
        <f>IF('MASTER DATA'!W250="","",'MASTER DATA'!W250)</f>
        <v>N</v>
      </c>
      <c r="X27" s="16" t="str">
        <f>IF('MASTER DATA'!X250="","",'MASTER DATA'!X250)</f>
        <v>N</v>
      </c>
      <c r="Y27" s="16" t="str">
        <f>IF('MASTER DATA'!Y250="","",'MASTER DATA'!Y250)</f>
        <v>Y</v>
      </c>
      <c r="Z27" s="16" t="str">
        <f>IF('MASTER DATA'!Z250="","",'MASTER DATA'!Z250)</f>
        <v>Y</v>
      </c>
      <c r="AA27" s="16">
        <f>IF('MASTER DATA'!AA250="","",'MASTER DATA'!AA250)</f>
        <v>2</v>
      </c>
      <c r="AB27" s="16" t="str">
        <f>IF('MASTER DATA'!AB250="","",'MASTER DATA'!AB250)</f>
        <v>MULTI-SIGNAL</v>
      </c>
      <c r="AC27" s="16" t="str">
        <f>IF('MASTER DATA'!AC250="","",'MASTER DATA'!AC250)</f>
        <v>Automated Claim Alert | Inactive Customer</v>
      </c>
    </row>
    <row r="28" spans="1:29" x14ac:dyDescent="0.45">
      <c r="A28" t="str">
        <f>IF('MASTER DATA'!A251="","",'MASTER DATA'!A251)</f>
        <v>SYN-CLM-0250</v>
      </c>
      <c r="B28" t="str">
        <f>IF('MASTER DATA'!B251="","",'MASTER DATA'!B251)</f>
        <v>Synthetic Claimant 0250</v>
      </c>
      <c r="C28" t="str">
        <f>IF('MASTER DATA'!C251="","",'MASTER DATA'!C251)</f>
        <v>Claims Analyst E</v>
      </c>
      <c r="D28" t="str">
        <f>IF('MASTER DATA'!D251="","",'MASTER DATA'!D251)</f>
        <v>Synthetic Policyholder 019, LLC</v>
      </c>
      <c r="E28" s="15">
        <f>IF('MASTER DATA'!E251="","",'MASTER DATA'!E251)</f>
        <v>44142</v>
      </c>
      <c r="F28" s="16" t="str">
        <f>IF('MASTER DATA'!F251="","",'MASTER DATA'!F251)</f>
        <v>Y</v>
      </c>
      <c r="G28" s="17">
        <f>IF('MASTER DATA'!G251="","",'MASTER DATA'!G251)</f>
        <v>52500</v>
      </c>
      <c r="H28" s="16" t="str">
        <f>IF('MASTER DATA'!H251="","",'MASTER DATA'!H251)</f>
        <v>Synthetic Approver 03</v>
      </c>
      <c r="I28" s="15">
        <f>IF('MASTER DATA'!I251="","",'MASTER DATA'!I251)</f>
        <v>44416</v>
      </c>
      <c r="J28" s="16" t="str">
        <f>IF('MASTER DATA'!J251="","",'MASTER DATA'!J251)</f>
        <v>N</v>
      </c>
      <c r="K28" s="15" t="str">
        <f>IF('MASTER DATA'!K251="","",'MASTER DATA'!K251)</f>
        <v/>
      </c>
      <c r="L28" s="16" t="str">
        <f>IF('MASTER DATA'!L251="","",'MASTER DATA'!L251)</f>
        <v>N</v>
      </c>
      <c r="M28" s="16" t="str">
        <f>IF('MASTER DATA'!M251="","",'MASTER DATA'!M251)</f>
        <v>N</v>
      </c>
      <c r="N28" s="15" t="str">
        <f>IF('MASTER DATA'!N251="","",'MASTER DATA'!N251)</f>
        <v/>
      </c>
      <c r="O28" s="16" t="str">
        <f>IF('MASTER DATA'!O251="","",'MASTER DATA'!O251)</f>
        <v/>
      </c>
      <c r="P28" s="16" t="str">
        <f>IF('MASTER DATA'!P251="","",'MASTER DATA'!P251)</f>
        <v>N</v>
      </c>
      <c r="Q28" s="16" t="str">
        <f>IF('MASTER DATA'!Q251="","",'MASTER DATA'!Q251)</f>
        <v/>
      </c>
      <c r="R28" s="16" t="str">
        <f>IF('MASTER DATA'!R251="","",'MASTER DATA'!R251)</f>
        <v/>
      </c>
      <c r="S28" s="16" t="str">
        <f>IF('MASTER DATA'!S251="","",'MASTER DATA'!S251)</f>
        <v>N</v>
      </c>
      <c r="T28" s="15" t="str">
        <f>IF('MASTER DATA'!T251="","",'MASTER DATA'!T251)</f>
        <v/>
      </c>
      <c r="U28" s="16" t="str">
        <f>IF('MASTER DATA'!U251="","",'MASTER DATA'!U251)</f>
        <v>N</v>
      </c>
      <c r="V28" s="16" t="str">
        <f>IF('MASTER DATA'!V251="","",'MASTER DATA'!V251)</f>
        <v>N</v>
      </c>
      <c r="W28" s="16" t="str">
        <f>IF('MASTER DATA'!W251="","",'MASTER DATA'!W251)</f>
        <v>N</v>
      </c>
      <c r="X28" s="16" t="str">
        <f>IF('MASTER DATA'!X251="","",'MASTER DATA'!X251)</f>
        <v>N</v>
      </c>
      <c r="Y28" s="16" t="str">
        <f>IF('MASTER DATA'!Y251="","",'MASTER DATA'!Y251)</f>
        <v>N</v>
      </c>
      <c r="Z28" s="16" t="str">
        <f>IF('MASTER DATA'!Z251="","",'MASTER DATA'!Z251)</f>
        <v>N</v>
      </c>
      <c r="AA28" s="16">
        <f>IF('MASTER DATA'!AA251="","",'MASTER DATA'!AA251)</f>
        <v>1</v>
      </c>
      <c r="AB28" s="16" t="str">
        <f>IF('MASTER DATA'!AB251="","",'MASTER DATA'!AB251)</f>
        <v>SINGLE-SIGNAL</v>
      </c>
      <c r="AC28" s="16" t="str">
        <f>IF('MASTER DATA'!AC251="","",'MASTER DATA'!AC251)</f>
        <v>Settlement Authorization</v>
      </c>
    </row>
    <row r="29" spans="1:29" x14ac:dyDescent="0.45">
      <c r="A29" t="str">
        <f>IF('MASTER DATA'!A252="","",'MASTER DATA'!A252)</f>
        <v>SYN-CLM-0251</v>
      </c>
      <c r="B29" t="str">
        <f>IF('MASTER DATA'!B252="","",'MASTER DATA'!B252)</f>
        <v>Synthetic Claimant 0251</v>
      </c>
      <c r="C29" t="str">
        <f>IF('MASTER DATA'!C252="","",'MASTER DATA'!C252)</f>
        <v>Claims Analyst E</v>
      </c>
      <c r="D29" t="str">
        <f>IF('MASTER DATA'!D252="","",'MASTER DATA'!D252)</f>
        <v>Synthetic Policyholder 010, LLC</v>
      </c>
      <c r="E29" s="15">
        <f>IF('MASTER DATA'!E252="","",'MASTER DATA'!E252)</f>
        <v>45091</v>
      </c>
      <c r="F29" s="16" t="str">
        <f>IF('MASTER DATA'!F252="","",'MASTER DATA'!F252)</f>
        <v>N</v>
      </c>
      <c r="G29" s="17" t="str">
        <f>IF('MASTER DATA'!G252="","",'MASTER DATA'!G252)</f>
        <v/>
      </c>
      <c r="H29" s="16" t="str">
        <f>IF('MASTER DATA'!H252="","",'MASTER DATA'!H252)</f>
        <v/>
      </c>
      <c r="I29" s="15" t="str">
        <f>IF('MASTER DATA'!I252="","",'MASTER DATA'!I252)</f>
        <v/>
      </c>
      <c r="J29" s="16" t="str">
        <f>IF('MASTER DATA'!J252="","",'MASTER DATA'!J252)</f>
        <v>N</v>
      </c>
      <c r="K29" s="15" t="str">
        <f>IF('MASTER DATA'!K252="","",'MASTER DATA'!K252)</f>
        <v/>
      </c>
      <c r="L29" s="16" t="str">
        <f>IF('MASTER DATA'!L252="","",'MASTER DATA'!L252)</f>
        <v/>
      </c>
      <c r="M29" s="16" t="str">
        <f>IF('MASTER DATA'!M252="","",'MASTER DATA'!M252)</f>
        <v>N</v>
      </c>
      <c r="N29" s="15" t="str">
        <f>IF('MASTER DATA'!N252="","",'MASTER DATA'!N252)</f>
        <v/>
      </c>
      <c r="O29" s="16" t="str">
        <f>IF('MASTER DATA'!O252="","",'MASTER DATA'!O252)</f>
        <v/>
      </c>
      <c r="P29" s="16" t="str">
        <f>IF('MASTER DATA'!P252="","",'MASTER DATA'!P252)</f>
        <v>Y</v>
      </c>
      <c r="Q29" s="16" t="str">
        <f>IF('MASTER DATA'!Q252="","",'MASTER DATA'!Q252)</f>
        <v>MSA Eligible in Next 3 Years</v>
      </c>
      <c r="R29" s="16" t="str">
        <f>IF('MASTER DATA'!R252="","",'MASTER DATA'!R252)</f>
        <v/>
      </c>
      <c r="S29" s="16" t="str">
        <f>IF('MASTER DATA'!S252="","",'MASTER DATA'!S252)</f>
        <v>N</v>
      </c>
      <c r="T29" s="15" t="str">
        <f>IF('MASTER DATA'!T252="","",'MASTER DATA'!T252)</f>
        <v/>
      </c>
      <c r="U29" s="16" t="str">
        <f>IF('MASTER DATA'!U252="","",'MASTER DATA'!U252)</f>
        <v>N</v>
      </c>
      <c r="V29" s="16" t="str">
        <f>IF('MASTER DATA'!V252="","",'MASTER DATA'!V252)</f>
        <v>N</v>
      </c>
      <c r="W29" s="16" t="str">
        <f>IF('MASTER DATA'!W252="","",'MASTER DATA'!W252)</f>
        <v>N</v>
      </c>
      <c r="X29" s="16" t="str">
        <f>IF('MASTER DATA'!X252="","",'MASTER DATA'!X252)</f>
        <v>N</v>
      </c>
      <c r="Y29" s="16" t="str">
        <f>IF('MASTER DATA'!Y252="","",'MASTER DATA'!Y252)</f>
        <v>N</v>
      </c>
      <c r="Z29" s="16" t="str">
        <f>IF('MASTER DATA'!Z252="","",'MASTER DATA'!Z252)</f>
        <v>Y</v>
      </c>
      <c r="AA29" s="16">
        <f>IF('MASTER DATA'!AA252="","",'MASTER DATA'!AA252)</f>
        <v>1</v>
      </c>
      <c r="AB29" s="16" t="str">
        <f>IF('MASTER DATA'!AB252="","",'MASTER DATA'!AB252)</f>
        <v>SINGLE-SIGNAL</v>
      </c>
      <c r="AC29" s="16" t="str">
        <f>IF('MASTER DATA'!AC252="","",'MASTER DATA'!AC252)</f>
        <v>Automated Claim Alert</v>
      </c>
    </row>
    <row r="30" spans="1:29" x14ac:dyDescent="0.45">
      <c r="A30" t="str">
        <f>IF('MASTER DATA'!A253="","",'MASTER DATA'!A253)</f>
        <v>SYN-CLM-0252</v>
      </c>
      <c r="B30" t="str">
        <f>IF('MASTER DATA'!B253="","",'MASTER DATA'!B253)</f>
        <v>Synthetic Claimant 0252</v>
      </c>
      <c r="C30" t="str">
        <f>IF('MASTER DATA'!C253="","",'MASTER DATA'!C253)</f>
        <v>Claims Analyst E</v>
      </c>
      <c r="D30" t="str">
        <f>IF('MASTER DATA'!D253="","",'MASTER DATA'!D253)</f>
        <v>Synthetic Policyholder 180, LLC</v>
      </c>
      <c r="E30" s="15">
        <f>IF('MASTER DATA'!E253="","",'MASTER DATA'!E253)</f>
        <v>43686</v>
      </c>
      <c r="F30" s="16" t="str">
        <f>IF('MASTER DATA'!F253="","",'MASTER DATA'!F253)</f>
        <v>Y</v>
      </c>
      <c r="G30" s="17">
        <f>IF('MASTER DATA'!G253="","",'MASTER DATA'!G253)</f>
        <v>104750</v>
      </c>
      <c r="H30" s="16" t="str">
        <f>IF('MASTER DATA'!H253="","",'MASTER DATA'!H253)</f>
        <v>Synthetic Approver 11</v>
      </c>
      <c r="I30" s="15">
        <f>IF('MASTER DATA'!I253="","",'MASTER DATA'!I253)</f>
        <v>44398</v>
      </c>
      <c r="J30" s="16" t="str">
        <f>IF('MASTER DATA'!J253="","",'MASTER DATA'!J253)</f>
        <v>N</v>
      </c>
      <c r="K30" s="15" t="str">
        <f>IF('MASTER DATA'!K253="","",'MASTER DATA'!K253)</f>
        <v/>
      </c>
      <c r="L30" s="16" t="str">
        <f>IF('MASTER DATA'!L253="","",'MASTER DATA'!L253)</f>
        <v>Y</v>
      </c>
      <c r="M30" s="16" t="str">
        <f>IF('MASTER DATA'!M253="","",'MASTER DATA'!M253)</f>
        <v>N</v>
      </c>
      <c r="N30" s="15" t="str">
        <f>IF('MASTER DATA'!N253="","",'MASTER DATA'!N253)</f>
        <v/>
      </c>
      <c r="O30" s="16" t="str">
        <f>IF('MASTER DATA'!O253="","",'MASTER DATA'!O253)</f>
        <v/>
      </c>
      <c r="P30" s="16" t="str">
        <f>IF('MASTER DATA'!P253="","",'MASTER DATA'!P253)</f>
        <v>N</v>
      </c>
      <c r="Q30" s="16" t="str">
        <f>IF('MASTER DATA'!Q253="","",'MASTER DATA'!Q253)</f>
        <v/>
      </c>
      <c r="R30" s="16" t="str">
        <f>IF('MASTER DATA'!R253="","",'MASTER DATA'!R253)</f>
        <v/>
      </c>
      <c r="S30" s="16" t="str">
        <f>IF('MASTER DATA'!S253="","",'MASTER DATA'!S253)</f>
        <v>N</v>
      </c>
      <c r="T30" s="15" t="str">
        <f>IF('MASTER DATA'!T253="","",'MASTER DATA'!T253)</f>
        <v/>
      </c>
      <c r="U30" s="16" t="str">
        <f>IF('MASTER DATA'!U253="","",'MASTER DATA'!U253)</f>
        <v>N</v>
      </c>
      <c r="V30" s="16" t="str">
        <f>IF('MASTER DATA'!V253="","",'MASTER DATA'!V253)</f>
        <v>N</v>
      </c>
      <c r="W30" s="16" t="str">
        <f>IF('MASTER DATA'!W253="","",'MASTER DATA'!W253)</f>
        <v>N</v>
      </c>
      <c r="X30" s="16" t="str">
        <f>IF('MASTER DATA'!X253="","",'MASTER DATA'!X253)</f>
        <v>N</v>
      </c>
      <c r="Y30" s="16" t="str">
        <f>IF('MASTER DATA'!Y253="","",'MASTER DATA'!Y253)</f>
        <v>N</v>
      </c>
      <c r="Z30" s="16" t="str">
        <f>IF('MASTER DATA'!Z253="","",'MASTER DATA'!Z253)</f>
        <v>N</v>
      </c>
      <c r="AA30" s="16">
        <f>IF('MASTER DATA'!AA253="","",'MASTER DATA'!AA253)</f>
        <v>1</v>
      </c>
      <c r="AB30" s="16" t="str">
        <f>IF('MASTER DATA'!AB253="","",'MASTER DATA'!AB253)</f>
        <v>SINGLE-SIGNAL</v>
      </c>
      <c r="AC30" s="16" t="str">
        <f>IF('MASTER DATA'!AC253="","",'MASTER DATA'!AC253)</f>
        <v>Settlement Authorization</v>
      </c>
    </row>
    <row r="31" spans="1:29" x14ac:dyDescent="0.45">
      <c r="A31" t="str">
        <f>IF('MASTER DATA'!A254="","",'MASTER DATA'!A254)</f>
        <v>SYN-CLM-0253</v>
      </c>
      <c r="B31" t="str">
        <f>IF('MASTER DATA'!B254="","",'MASTER DATA'!B254)</f>
        <v>Synthetic Claimant 0253</v>
      </c>
      <c r="C31" t="str">
        <f>IF('MASTER DATA'!C254="","",'MASTER DATA'!C254)</f>
        <v>Claims Analyst E</v>
      </c>
      <c r="D31" t="str">
        <f>IF('MASTER DATA'!D254="","",'MASTER DATA'!D254)</f>
        <v>Synthetic Policyholder 102, LLC</v>
      </c>
      <c r="E31" s="15">
        <f>IF('MASTER DATA'!E254="","",'MASTER DATA'!E254)</f>
        <v>45508</v>
      </c>
      <c r="F31" s="16" t="str">
        <f>IF('MASTER DATA'!F254="","",'MASTER DATA'!F254)</f>
        <v>Y</v>
      </c>
      <c r="G31" s="17">
        <f>IF('MASTER DATA'!G254="","",'MASTER DATA'!G254)</f>
        <v>143000</v>
      </c>
      <c r="H31" s="16" t="str">
        <f>IF('MASTER DATA'!H254="","",'MASTER DATA'!H254)</f>
        <v>Synthetic Approver 10</v>
      </c>
      <c r="I31" s="15">
        <f>IF('MASTER DATA'!I254="","",'MASTER DATA'!I254)</f>
        <v>45755</v>
      </c>
      <c r="J31" s="16" t="str">
        <f>IF('MASTER DATA'!J254="","",'MASTER DATA'!J254)</f>
        <v>N</v>
      </c>
      <c r="K31" s="15" t="str">
        <f>IF('MASTER DATA'!K254="","",'MASTER DATA'!K254)</f>
        <v/>
      </c>
      <c r="L31" s="16" t="str">
        <f>IF('MASTER DATA'!L254="","",'MASTER DATA'!L254)</f>
        <v>Y</v>
      </c>
      <c r="M31" s="16" t="str">
        <f>IF('MASTER DATA'!M254="","",'MASTER DATA'!M254)</f>
        <v>N</v>
      </c>
      <c r="N31" s="15" t="str">
        <f>IF('MASTER DATA'!N254="","",'MASTER DATA'!N254)</f>
        <v/>
      </c>
      <c r="O31" s="16" t="str">
        <f>IF('MASTER DATA'!O254="","",'MASTER DATA'!O254)</f>
        <v/>
      </c>
      <c r="P31" s="16" t="str">
        <f>IF('MASTER DATA'!P254="","",'MASTER DATA'!P254)</f>
        <v>N</v>
      </c>
      <c r="Q31" s="16" t="str">
        <f>IF('MASTER DATA'!Q254="","",'MASTER DATA'!Q254)</f>
        <v/>
      </c>
      <c r="R31" s="16" t="str">
        <f>IF('MASTER DATA'!R254="","",'MASTER DATA'!R254)</f>
        <v/>
      </c>
      <c r="S31" s="16" t="str">
        <f>IF('MASTER DATA'!S254="","",'MASTER DATA'!S254)</f>
        <v>N</v>
      </c>
      <c r="T31" s="15" t="str">
        <f>IF('MASTER DATA'!T254="","",'MASTER DATA'!T254)</f>
        <v/>
      </c>
      <c r="U31" s="16" t="str">
        <f>IF('MASTER DATA'!U254="","",'MASTER DATA'!U254)</f>
        <v>N</v>
      </c>
      <c r="V31" s="16" t="str">
        <f>IF('MASTER DATA'!V254="","",'MASTER DATA'!V254)</f>
        <v>N</v>
      </c>
      <c r="W31" s="16" t="str">
        <f>IF('MASTER DATA'!W254="","",'MASTER DATA'!W254)</f>
        <v>N</v>
      </c>
      <c r="X31" s="16" t="str">
        <f>IF('MASTER DATA'!X254="","",'MASTER DATA'!X254)</f>
        <v>N</v>
      </c>
      <c r="Y31" s="16" t="str">
        <f>IF('MASTER DATA'!Y254="","",'MASTER DATA'!Y254)</f>
        <v>N</v>
      </c>
      <c r="Z31" s="16" t="str">
        <f>IF('MASTER DATA'!Z254="","",'MASTER DATA'!Z254)</f>
        <v>N</v>
      </c>
      <c r="AA31" s="16">
        <f>IF('MASTER DATA'!AA254="","",'MASTER DATA'!AA254)</f>
        <v>1</v>
      </c>
      <c r="AB31" s="16" t="str">
        <f>IF('MASTER DATA'!AB254="","",'MASTER DATA'!AB254)</f>
        <v>SINGLE-SIGNAL</v>
      </c>
      <c r="AC31" s="16" t="str">
        <f>IF('MASTER DATA'!AC254="","",'MASTER DATA'!AC254)</f>
        <v>Settlement Authorization</v>
      </c>
    </row>
    <row r="32" spans="1:29" x14ac:dyDescent="0.45">
      <c r="A32" t="str">
        <f>IF('MASTER DATA'!A255="","",'MASTER DATA'!A255)</f>
        <v>SYN-CLM-0254</v>
      </c>
      <c r="B32" t="str">
        <f>IF('MASTER DATA'!B255="","",'MASTER DATA'!B255)</f>
        <v>Synthetic Claimant 0254</v>
      </c>
      <c r="C32" t="str">
        <f>IF('MASTER DATA'!C255="","",'MASTER DATA'!C255)</f>
        <v>Claims Analyst E</v>
      </c>
      <c r="D32" t="str">
        <f>IF('MASTER DATA'!D255="","",'MASTER DATA'!D255)</f>
        <v>Synthetic Policyholder 143, LLC</v>
      </c>
      <c r="E32" s="15">
        <f>IF('MASTER DATA'!E255="","",'MASTER DATA'!E255)</f>
        <v>44648</v>
      </c>
      <c r="F32" s="16" t="str">
        <f>IF('MASTER DATA'!F255="","",'MASTER DATA'!F255)</f>
        <v>Y</v>
      </c>
      <c r="G32" s="17">
        <f>IF('MASTER DATA'!G255="","",'MASTER DATA'!G255)</f>
        <v>35500</v>
      </c>
      <c r="H32" s="16" t="str">
        <f>IF('MASTER DATA'!H255="","",'MASTER DATA'!H255)</f>
        <v>Synthetic Approver 05</v>
      </c>
      <c r="I32" s="15">
        <f>IF('MASTER DATA'!I255="","",'MASTER DATA'!I255)</f>
        <v>45046</v>
      </c>
      <c r="J32" s="16" t="str">
        <f>IF('MASTER DATA'!J255="","",'MASTER DATA'!J255)</f>
        <v>N</v>
      </c>
      <c r="K32" s="15" t="str">
        <f>IF('MASTER DATA'!K255="","",'MASTER DATA'!K255)</f>
        <v/>
      </c>
      <c r="L32" s="16" t="str">
        <f>IF('MASTER DATA'!L255="","",'MASTER DATA'!L255)</f>
        <v>Y</v>
      </c>
      <c r="M32" s="16" t="str">
        <f>IF('MASTER DATA'!M255="","",'MASTER DATA'!M255)</f>
        <v>N</v>
      </c>
      <c r="N32" s="15" t="str">
        <f>IF('MASTER DATA'!N255="","",'MASTER DATA'!N255)</f>
        <v/>
      </c>
      <c r="O32" s="16" t="str">
        <f>IF('MASTER DATA'!O255="","",'MASTER DATA'!O255)</f>
        <v/>
      </c>
      <c r="P32" s="16" t="str">
        <f>IF('MASTER DATA'!P255="","",'MASTER DATA'!P255)</f>
        <v>N</v>
      </c>
      <c r="Q32" s="16" t="str">
        <f>IF('MASTER DATA'!Q255="","",'MASTER DATA'!Q255)</f>
        <v/>
      </c>
      <c r="R32" s="16" t="str">
        <f>IF('MASTER DATA'!R255="","",'MASTER DATA'!R255)</f>
        <v/>
      </c>
      <c r="S32" s="16" t="str">
        <f>IF('MASTER DATA'!S255="","",'MASTER DATA'!S255)</f>
        <v>Y</v>
      </c>
      <c r="T32" s="15">
        <f>IF('MASTER DATA'!T255="","",'MASTER DATA'!T255)</f>
        <v>46509</v>
      </c>
      <c r="U32" s="16" t="str">
        <f>IF('MASTER DATA'!U255="","",'MASTER DATA'!U255)</f>
        <v>N</v>
      </c>
      <c r="V32" s="16" t="str">
        <f>IF('MASTER DATA'!V255="","",'MASTER DATA'!V255)</f>
        <v>N</v>
      </c>
      <c r="W32" s="16" t="str">
        <f>IF('MASTER DATA'!W255="","",'MASTER DATA'!W255)</f>
        <v>N</v>
      </c>
      <c r="X32" s="16" t="str">
        <f>IF('MASTER DATA'!X255="","",'MASTER DATA'!X255)</f>
        <v>N</v>
      </c>
      <c r="Y32" s="16" t="str">
        <f>IF('MASTER DATA'!Y255="","",'MASTER DATA'!Y255)</f>
        <v>N</v>
      </c>
      <c r="Z32" s="16" t="str">
        <f>IF('MASTER DATA'!Z255="","",'MASTER DATA'!Z255)</f>
        <v>N</v>
      </c>
      <c r="AA32" s="16">
        <f>IF('MASTER DATA'!AA255="","",'MASTER DATA'!AA255)</f>
        <v>2</v>
      </c>
      <c r="AB32" s="16" t="str">
        <f>IF('MASTER DATA'!AB255="","",'MASTER DATA'!AB255)</f>
        <v>MULTI-SIGNAL</v>
      </c>
      <c r="AC32" s="16" t="str">
        <f>IF('MASTER DATA'!AC255="","",'MASTER DATA'!AC255)</f>
        <v>Settlement Authorization | Inactive Customer</v>
      </c>
    </row>
    <row r="33" spans="1:29" x14ac:dyDescent="0.45">
      <c r="A33" t="str">
        <f>IF('MASTER DATA'!A256="","",'MASTER DATA'!A256)</f>
        <v>SYN-CLM-0255</v>
      </c>
      <c r="B33" t="str">
        <f>IF('MASTER DATA'!B256="","",'MASTER DATA'!B256)</f>
        <v>Synthetic Claimant 0255</v>
      </c>
      <c r="C33" t="str">
        <f>IF('MASTER DATA'!C256="","",'MASTER DATA'!C256)</f>
        <v>Claims Analyst E</v>
      </c>
      <c r="D33" t="str">
        <f>IF('MASTER DATA'!D256="","",'MASTER DATA'!D256)</f>
        <v>Synthetic Policyholder 087, LLC</v>
      </c>
      <c r="E33" s="15">
        <f>IF('MASTER DATA'!E256="","",'MASTER DATA'!E256)</f>
        <v>44731</v>
      </c>
      <c r="F33" s="16" t="str">
        <f>IF('MASTER DATA'!F256="","",'MASTER DATA'!F256)</f>
        <v>Y</v>
      </c>
      <c r="G33" s="17">
        <f>IF('MASTER DATA'!G256="","",'MASTER DATA'!G256)</f>
        <v>34000</v>
      </c>
      <c r="H33" s="16" t="str">
        <f>IF('MASTER DATA'!H256="","",'MASTER DATA'!H256)</f>
        <v>Synthetic Approver 06</v>
      </c>
      <c r="I33" s="15">
        <f>IF('MASTER DATA'!I256="","",'MASTER DATA'!I256)</f>
        <v>45319</v>
      </c>
      <c r="J33" s="16" t="str">
        <f>IF('MASTER DATA'!J256="","",'MASTER DATA'!J256)</f>
        <v>N</v>
      </c>
      <c r="K33" s="15" t="str">
        <f>IF('MASTER DATA'!K256="","",'MASTER DATA'!K256)</f>
        <v/>
      </c>
      <c r="L33" s="16" t="str">
        <f>IF('MASTER DATA'!L256="","",'MASTER DATA'!L256)</f>
        <v>Y</v>
      </c>
      <c r="M33" s="16" t="str">
        <f>IF('MASTER DATA'!M256="","",'MASTER DATA'!M256)</f>
        <v>N</v>
      </c>
      <c r="N33" s="15" t="str">
        <f>IF('MASTER DATA'!N256="","",'MASTER DATA'!N256)</f>
        <v/>
      </c>
      <c r="O33" s="16" t="str">
        <f>IF('MASTER DATA'!O256="","",'MASTER DATA'!O256)</f>
        <v/>
      </c>
      <c r="P33" s="16" t="str">
        <f>IF('MASTER DATA'!P256="","",'MASTER DATA'!P256)</f>
        <v>N</v>
      </c>
      <c r="Q33" s="16" t="str">
        <f>IF('MASTER DATA'!Q256="","",'MASTER DATA'!Q256)</f>
        <v/>
      </c>
      <c r="R33" s="16" t="str">
        <f>IF('MASTER DATA'!R256="","",'MASTER DATA'!R256)</f>
        <v/>
      </c>
      <c r="S33" s="16" t="str">
        <f>IF('MASTER DATA'!S256="","",'MASTER DATA'!S256)</f>
        <v>N</v>
      </c>
      <c r="T33" s="15" t="str">
        <f>IF('MASTER DATA'!T256="","",'MASTER DATA'!T256)</f>
        <v/>
      </c>
      <c r="U33" s="16" t="str">
        <f>IF('MASTER DATA'!U256="","",'MASTER DATA'!U256)</f>
        <v>N</v>
      </c>
      <c r="V33" s="16" t="str">
        <f>IF('MASTER DATA'!V256="","",'MASTER DATA'!V256)</f>
        <v>N</v>
      </c>
      <c r="W33" s="16" t="str">
        <f>IF('MASTER DATA'!W256="","",'MASTER DATA'!W256)</f>
        <v>N</v>
      </c>
      <c r="X33" s="16" t="str">
        <f>IF('MASTER DATA'!X256="","",'MASTER DATA'!X256)</f>
        <v>N</v>
      </c>
      <c r="Y33" s="16" t="str">
        <f>IF('MASTER DATA'!Y256="","",'MASTER DATA'!Y256)</f>
        <v>N</v>
      </c>
      <c r="Z33" s="16" t="str">
        <f>IF('MASTER DATA'!Z256="","",'MASTER DATA'!Z256)</f>
        <v>N</v>
      </c>
      <c r="AA33" s="16">
        <f>IF('MASTER DATA'!AA256="","",'MASTER DATA'!AA256)</f>
        <v>1</v>
      </c>
      <c r="AB33" s="16" t="str">
        <f>IF('MASTER DATA'!AB256="","",'MASTER DATA'!AB256)</f>
        <v>SINGLE-SIGNAL</v>
      </c>
      <c r="AC33" s="16" t="str">
        <f>IF('MASTER DATA'!AC256="","",'MASTER DATA'!AC256)</f>
        <v>Settlement Authorization</v>
      </c>
    </row>
    <row r="34" spans="1:29" x14ac:dyDescent="0.45">
      <c r="A34" t="str">
        <f>IF('MASTER DATA'!A257="","",'MASTER DATA'!A257)</f>
        <v>SYN-CLM-0256</v>
      </c>
      <c r="B34" t="str">
        <f>IF('MASTER DATA'!B257="","",'MASTER DATA'!B257)</f>
        <v>Synthetic Claimant 0256</v>
      </c>
      <c r="C34" t="str">
        <f>IF('MASTER DATA'!C257="","",'MASTER DATA'!C257)</f>
        <v>Claims Analyst E</v>
      </c>
      <c r="D34" t="str">
        <f>IF('MASTER DATA'!D257="","",'MASTER DATA'!D257)</f>
        <v>Synthetic Policyholder 049, LLC</v>
      </c>
      <c r="E34" s="15">
        <f>IF('MASTER DATA'!E257="","",'MASTER DATA'!E257)</f>
        <v>43518</v>
      </c>
      <c r="F34" s="16" t="str">
        <f>IF('MASTER DATA'!F257="","",'MASTER DATA'!F257)</f>
        <v>Y</v>
      </c>
      <c r="G34" s="17">
        <f>IF('MASTER DATA'!G257="","",'MASTER DATA'!G257)</f>
        <v>96000</v>
      </c>
      <c r="H34" s="16" t="str">
        <f>IF('MASTER DATA'!H257="","",'MASTER DATA'!H257)</f>
        <v>Synthetic Approver 10</v>
      </c>
      <c r="I34" s="15">
        <f>IF('MASTER DATA'!I257="","",'MASTER DATA'!I257)</f>
        <v>44166</v>
      </c>
      <c r="J34" s="16" t="str">
        <f>IF('MASTER DATA'!J257="","",'MASTER DATA'!J257)</f>
        <v>N</v>
      </c>
      <c r="K34" s="15" t="str">
        <f>IF('MASTER DATA'!K257="","",'MASTER DATA'!K257)</f>
        <v/>
      </c>
      <c r="L34" s="16" t="str">
        <f>IF('MASTER DATA'!L257="","",'MASTER DATA'!L257)</f>
        <v>Y</v>
      </c>
      <c r="M34" s="16" t="str">
        <f>IF('MASTER DATA'!M257="","",'MASTER DATA'!M257)</f>
        <v>N</v>
      </c>
      <c r="N34" s="15" t="str">
        <f>IF('MASTER DATA'!N257="","",'MASTER DATA'!N257)</f>
        <v/>
      </c>
      <c r="O34" s="16" t="str">
        <f>IF('MASTER DATA'!O257="","",'MASTER DATA'!O257)</f>
        <v/>
      </c>
      <c r="P34" s="16" t="str">
        <f>IF('MASTER DATA'!P257="","",'MASTER DATA'!P257)</f>
        <v>Y</v>
      </c>
      <c r="Q34" s="16" t="str">
        <f>IF('MASTER DATA'!Q257="","",'MASTER DATA'!Q257)</f>
        <v>Surgery Requested; MSA Eligible in Next 3 Years; Denied Treatment Requests</v>
      </c>
      <c r="R34" s="16" t="str">
        <f>IF('MASTER DATA'!R257="","",'MASTER DATA'!R257)</f>
        <v>MMI Date Reported</v>
      </c>
      <c r="S34" s="16" t="str">
        <f>IF('MASTER DATA'!S257="","",'MASTER DATA'!S257)</f>
        <v>Y</v>
      </c>
      <c r="T34" s="15">
        <f>IF('MASTER DATA'!T257="","",'MASTER DATA'!T257)</f>
        <v>45426</v>
      </c>
      <c r="U34" s="16" t="str">
        <f>IF('MASTER DATA'!U257="","",'MASTER DATA'!U257)</f>
        <v>Y</v>
      </c>
      <c r="V34" s="16" t="str">
        <f>IF('MASTER DATA'!V257="","",'MASTER DATA'!V257)</f>
        <v>Y</v>
      </c>
      <c r="W34" s="16" t="str">
        <f>IF('MASTER DATA'!W257="","",'MASTER DATA'!W257)</f>
        <v>Y</v>
      </c>
      <c r="X34" s="16" t="str">
        <f>IF('MASTER DATA'!X257="","",'MASTER DATA'!X257)</f>
        <v>N</v>
      </c>
      <c r="Y34" s="16" t="str">
        <f>IF('MASTER DATA'!Y257="","",'MASTER DATA'!Y257)</f>
        <v>N</v>
      </c>
      <c r="Z34" s="16" t="str">
        <f>IF('MASTER DATA'!Z257="","",'MASTER DATA'!Z257)</f>
        <v>Y</v>
      </c>
      <c r="AA34" s="16">
        <f>IF('MASTER DATA'!AA257="","",'MASTER DATA'!AA257)</f>
        <v>3</v>
      </c>
      <c r="AB34" s="16" t="str">
        <f>IF('MASTER DATA'!AB257="","",'MASTER DATA'!AB257)</f>
        <v>ELEVATED MULTI-SIGNAL</v>
      </c>
      <c r="AC34" s="16" t="str">
        <f>IF('MASTER DATA'!AC257="","",'MASTER DATA'!AC257)</f>
        <v>Settlement Authorization | Automated Claim Alert | Inactive Customer</v>
      </c>
    </row>
    <row r="35" spans="1:29" x14ac:dyDescent="0.45">
      <c r="A35" t="str">
        <f>IF('MASTER DATA'!A258="","",'MASTER DATA'!A258)</f>
        <v>SYN-CLM-0257</v>
      </c>
      <c r="B35" t="str">
        <f>IF('MASTER DATA'!B258="","",'MASTER DATA'!B258)</f>
        <v>Synthetic Claimant 0257</v>
      </c>
      <c r="C35" t="str">
        <f>IF('MASTER DATA'!C258="","",'MASTER DATA'!C258)</f>
        <v>Claims Analyst E</v>
      </c>
      <c r="D35" t="str">
        <f>IF('MASTER DATA'!D258="","",'MASTER DATA'!D258)</f>
        <v>Synthetic Policyholder 174, LLC</v>
      </c>
      <c r="E35" s="15">
        <f>IF('MASTER DATA'!E258="","",'MASTER DATA'!E258)</f>
        <v>44360</v>
      </c>
      <c r="F35" s="16" t="str">
        <f>IF('MASTER DATA'!F258="","",'MASTER DATA'!F258)</f>
        <v>Y</v>
      </c>
      <c r="G35" s="17">
        <f>IF('MASTER DATA'!G258="","",'MASTER DATA'!G258)</f>
        <v>41750</v>
      </c>
      <c r="H35" s="16" t="str">
        <f>IF('MASTER DATA'!H258="","",'MASTER DATA'!H258)</f>
        <v>Synthetic Approver 01</v>
      </c>
      <c r="I35" s="15">
        <f>IF('MASTER DATA'!I258="","",'MASTER DATA'!I258)</f>
        <v>44407</v>
      </c>
      <c r="J35" s="16" t="str">
        <f>IF('MASTER DATA'!J258="","",'MASTER DATA'!J258)</f>
        <v>N</v>
      </c>
      <c r="K35" s="15" t="str">
        <f>IF('MASTER DATA'!K258="","",'MASTER DATA'!K258)</f>
        <v/>
      </c>
      <c r="L35" s="16" t="str">
        <f>IF('MASTER DATA'!L258="","",'MASTER DATA'!L258)</f>
        <v>Y</v>
      </c>
      <c r="M35" s="16" t="str">
        <f>IF('MASTER DATA'!M258="","",'MASTER DATA'!M258)</f>
        <v>N</v>
      </c>
      <c r="N35" s="15" t="str">
        <f>IF('MASTER DATA'!N258="","",'MASTER DATA'!N258)</f>
        <v/>
      </c>
      <c r="O35" s="16" t="str">
        <f>IF('MASTER DATA'!O258="","",'MASTER DATA'!O258)</f>
        <v/>
      </c>
      <c r="P35" s="16" t="str">
        <f>IF('MASTER DATA'!P258="","",'MASTER DATA'!P258)</f>
        <v>N</v>
      </c>
      <c r="Q35" s="16" t="str">
        <f>IF('MASTER DATA'!Q258="","",'MASTER DATA'!Q258)</f>
        <v/>
      </c>
      <c r="R35" s="16" t="str">
        <f>IF('MASTER DATA'!R258="","",'MASTER DATA'!R258)</f>
        <v/>
      </c>
      <c r="S35" s="16" t="str">
        <f>IF('MASTER DATA'!S258="","",'MASTER DATA'!S258)</f>
        <v>N</v>
      </c>
      <c r="T35" s="15" t="str">
        <f>IF('MASTER DATA'!T258="","",'MASTER DATA'!T258)</f>
        <v/>
      </c>
      <c r="U35" s="16" t="str">
        <f>IF('MASTER DATA'!U258="","",'MASTER DATA'!U258)</f>
        <v>N</v>
      </c>
      <c r="V35" s="16" t="str">
        <f>IF('MASTER DATA'!V258="","",'MASTER DATA'!V258)</f>
        <v>N</v>
      </c>
      <c r="W35" s="16" t="str">
        <f>IF('MASTER DATA'!W258="","",'MASTER DATA'!W258)</f>
        <v>N</v>
      </c>
      <c r="X35" s="16" t="str">
        <f>IF('MASTER DATA'!X258="","",'MASTER DATA'!X258)</f>
        <v>N</v>
      </c>
      <c r="Y35" s="16" t="str">
        <f>IF('MASTER DATA'!Y258="","",'MASTER DATA'!Y258)</f>
        <v>N</v>
      </c>
      <c r="Z35" s="16" t="str">
        <f>IF('MASTER DATA'!Z258="","",'MASTER DATA'!Z258)</f>
        <v>N</v>
      </c>
      <c r="AA35" s="16">
        <f>IF('MASTER DATA'!AA258="","",'MASTER DATA'!AA258)</f>
        <v>1</v>
      </c>
      <c r="AB35" s="16" t="str">
        <f>IF('MASTER DATA'!AB258="","",'MASTER DATA'!AB258)</f>
        <v>SINGLE-SIGNAL</v>
      </c>
      <c r="AC35" s="16" t="str">
        <f>IF('MASTER DATA'!AC258="","",'MASTER DATA'!AC258)</f>
        <v>Settlement Authorization</v>
      </c>
    </row>
    <row r="36" spans="1:29" x14ac:dyDescent="0.45">
      <c r="A36" t="str">
        <f>IF('MASTER DATA'!A259="","",'MASTER DATA'!A259)</f>
        <v>SYN-CLM-0258</v>
      </c>
      <c r="B36" t="str">
        <f>IF('MASTER DATA'!B259="","",'MASTER DATA'!B259)</f>
        <v>Synthetic Claimant 0258</v>
      </c>
      <c r="C36" t="str">
        <f>IF('MASTER DATA'!C259="","",'MASTER DATA'!C259)</f>
        <v>Claims Analyst E</v>
      </c>
      <c r="D36" t="str">
        <f>IF('MASTER DATA'!D259="","",'MASTER DATA'!D259)</f>
        <v>Synthetic Policyholder 071, LLC</v>
      </c>
      <c r="E36" s="15">
        <f>IF('MASTER DATA'!E259="","",'MASTER DATA'!E259)</f>
        <v>43271</v>
      </c>
      <c r="F36" s="16" t="str">
        <f>IF('MASTER DATA'!F259="","",'MASTER DATA'!F259)</f>
        <v>N</v>
      </c>
      <c r="G36" s="17" t="str">
        <f>IF('MASTER DATA'!G259="","",'MASTER DATA'!G259)</f>
        <v/>
      </c>
      <c r="H36" s="16" t="str">
        <f>IF('MASTER DATA'!H259="","",'MASTER DATA'!H259)</f>
        <v/>
      </c>
      <c r="I36" s="15" t="str">
        <f>IF('MASTER DATA'!I259="","",'MASTER DATA'!I259)</f>
        <v/>
      </c>
      <c r="J36" s="16" t="str">
        <f>IF('MASTER DATA'!J259="","",'MASTER DATA'!J259)</f>
        <v>Y</v>
      </c>
      <c r="K36" s="15">
        <f>IF('MASTER DATA'!K259="","",'MASTER DATA'!K259)</f>
        <v>43840</v>
      </c>
      <c r="L36" s="16" t="str">
        <f>IF('MASTER DATA'!L259="","",'MASTER DATA'!L259)</f>
        <v>Y</v>
      </c>
      <c r="M36" s="16" t="str">
        <f>IF('MASTER DATA'!M259="","",'MASTER DATA'!M259)</f>
        <v>N</v>
      </c>
      <c r="N36" s="15" t="str">
        <f>IF('MASTER DATA'!N259="","",'MASTER DATA'!N259)</f>
        <v/>
      </c>
      <c r="O36" s="16" t="str">
        <f>IF('MASTER DATA'!O259="","",'MASTER DATA'!O259)</f>
        <v/>
      </c>
      <c r="P36" s="16" t="str">
        <f>IF('MASTER DATA'!P259="","",'MASTER DATA'!P259)</f>
        <v>N</v>
      </c>
      <c r="Q36" s="16" t="str">
        <f>IF('MASTER DATA'!Q259="","",'MASTER DATA'!Q259)</f>
        <v/>
      </c>
      <c r="R36" s="16" t="str">
        <f>IF('MASTER DATA'!R259="","",'MASTER DATA'!R259)</f>
        <v/>
      </c>
      <c r="S36" s="16" t="str">
        <f>IF('MASTER DATA'!S259="","",'MASTER DATA'!S259)</f>
        <v>N</v>
      </c>
      <c r="T36" s="15" t="str">
        <f>IF('MASTER DATA'!T259="","",'MASTER DATA'!T259)</f>
        <v/>
      </c>
      <c r="U36" s="16" t="str">
        <f>IF('MASTER DATA'!U259="","",'MASTER DATA'!U259)</f>
        <v>N</v>
      </c>
      <c r="V36" s="16" t="str">
        <f>IF('MASTER DATA'!V259="","",'MASTER DATA'!V259)</f>
        <v>N</v>
      </c>
      <c r="W36" s="16" t="str">
        <f>IF('MASTER DATA'!W259="","",'MASTER DATA'!W259)</f>
        <v>N</v>
      </c>
      <c r="X36" s="16" t="str">
        <f>IF('MASTER DATA'!X259="","",'MASTER DATA'!X259)</f>
        <v>N</v>
      </c>
      <c r="Y36" s="16" t="str">
        <f>IF('MASTER DATA'!Y259="","",'MASTER DATA'!Y259)</f>
        <v>N</v>
      </c>
      <c r="Z36" s="16" t="str">
        <f>IF('MASTER DATA'!Z259="","",'MASTER DATA'!Z259)</f>
        <v>N</v>
      </c>
      <c r="AA36" s="16">
        <f>IF('MASTER DATA'!AA259="","",'MASTER DATA'!AA259)</f>
        <v>1</v>
      </c>
      <c r="AB36" s="16" t="str">
        <f>IF('MASTER DATA'!AB259="","",'MASTER DATA'!AB259)</f>
        <v>SINGLE-SIGNAL</v>
      </c>
      <c r="AC36" s="16" t="str">
        <f>IF('MASTER DATA'!AC259="","",'MASTER DATA'!AC259)</f>
        <v>Open Stipulation</v>
      </c>
    </row>
    <row r="37" spans="1:29" x14ac:dyDescent="0.45">
      <c r="A37" t="str">
        <f>IF('MASTER DATA'!A260="","",'MASTER DATA'!A260)</f>
        <v>SYN-CLM-0259</v>
      </c>
      <c r="B37" t="str">
        <f>IF('MASTER DATA'!B260="","",'MASTER DATA'!B260)</f>
        <v>Synthetic Claimant 0259</v>
      </c>
      <c r="C37" t="str">
        <f>IF('MASTER DATA'!C260="","",'MASTER DATA'!C260)</f>
        <v>Claims Analyst E</v>
      </c>
      <c r="D37" t="str">
        <f>IF('MASTER DATA'!D260="","",'MASTER DATA'!D260)</f>
        <v>Synthetic Policyholder 118, LLC</v>
      </c>
      <c r="E37" s="15">
        <f>IF('MASTER DATA'!E260="","",'MASTER DATA'!E260)</f>
        <v>43156</v>
      </c>
      <c r="F37" s="16" t="str">
        <f>IF('MASTER DATA'!F260="","",'MASTER DATA'!F260)</f>
        <v>N</v>
      </c>
      <c r="G37" s="17" t="str">
        <f>IF('MASTER DATA'!G260="","",'MASTER DATA'!G260)</f>
        <v/>
      </c>
      <c r="H37" s="16" t="str">
        <f>IF('MASTER DATA'!H260="","",'MASTER DATA'!H260)</f>
        <v/>
      </c>
      <c r="I37" s="15" t="str">
        <f>IF('MASTER DATA'!I260="","",'MASTER DATA'!I260)</f>
        <v/>
      </c>
      <c r="J37" s="16" t="str">
        <f>IF('MASTER DATA'!J260="","",'MASTER DATA'!J260)</f>
        <v>Y</v>
      </c>
      <c r="K37" s="15">
        <f>IF('MASTER DATA'!K260="","",'MASTER DATA'!K260)</f>
        <v>43188</v>
      </c>
      <c r="L37" s="16" t="str">
        <f>IF('MASTER DATA'!L260="","",'MASTER DATA'!L260)</f>
        <v>N</v>
      </c>
      <c r="M37" s="16" t="str">
        <f>IF('MASTER DATA'!M260="","",'MASTER DATA'!M260)</f>
        <v>N</v>
      </c>
      <c r="N37" s="15" t="str">
        <f>IF('MASTER DATA'!N260="","",'MASTER DATA'!N260)</f>
        <v/>
      </c>
      <c r="O37" s="16" t="str">
        <f>IF('MASTER DATA'!O260="","",'MASTER DATA'!O260)</f>
        <v/>
      </c>
      <c r="P37" s="16" t="str">
        <f>IF('MASTER DATA'!P260="","",'MASTER DATA'!P260)</f>
        <v>Y</v>
      </c>
      <c r="Q37" s="16" t="str">
        <f>IF('MASTER DATA'!Q260="","",'MASTER DATA'!Q260)</f>
        <v>Specialist Consultation Requested; MSA Eligible in Next 3 Years</v>
      </c>
      <c r="R37" s="16" t="str">
        <f>IF('MASTER DATA'!R260="","",'MASTER DATA'!R260)</f>
        <v>Surgery Requested; Non-Renewed Account</v>
      </c>
      <c r="S37" s="16" t="str">
        <f>IF('MASTER DATA'!S260="","",'MASTER DATA'!S260)</f>
        <v>N</v>
      </c>
      <c r="T37" s="15" t="str">
        <f>IF('MASTER DATA'!T260="","",'MASTER DATA'!T260)</f>
        <v/>
      </c>
      <c r="U37" s="16" t="str">
        <f>IF('MASTER DATA'!U260="","",'MASTER DATA'!U260)</f>
        <v>Y</v>
      </c>
      <c r="V37" s="16" t="str">
        <f>IF('MASTER DATA'!V260="","",'MASTER DATA'!V260)</f>
        <v>N</v>
      </c>
      <c r="W37" s="16" t="str">
        <f>IF('MASTER DATA'!W260="","",'MASTER DATA'!W260)</f>
        <v>N</v>
      </c>
      <c r="X37" s="16" t="str">
        <f>IF('MASTER DATA'!X260="","",'MASTER DATA'!X260)</f>
        <v>Y</v>
      </c>
      <c r="Y37" s="16" t="str">
        <f>IF('MASTER DATA'!Y260="","",'MASTER DATA'!Y260)</f>
        <v>Y</v>
      </c>
      <c r="Z37" s="16" t="str">
        <f>IF('MASTER DATA'!Z260="","",'MASTER DATA'!Z260)</f>
        <v>Y</v>
      </c>
      <c r="AA37" s="16">
        <f>IF('MASTER DATA'!AA260="","",'MASTER DATA'!AA260)</f>
        <v>2</v>
      </c>
      <c r="AB37" s="16" t="str">
        <f>IF('MASTER DATA'!AB260="","",'MASTER DATA'!AB260)</f>
        <v>MULTI-SIGNAL</v>
      </c>
      <c r="AC37" s="16" t="str">
        <f>IF('MASTER DATA'!AC260="","",'MASTER DATA'!AC260)</f>
        <v>Open Stipulation | Automated Claim Alert</v>
      </c>
    </row>
  </sheetData>
  <conditionalFormatting sqref="A2:AC37">
    <cfRule type="expression" dxfId="7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4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8" width="34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72.39843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DATA'!A3="","",'MASTER DATA'!A3)</f>
        <v>SYN-CLM-0002</v>
      </c>
      <c r="B2" t="str">
        <f>IF('MASTER DATA'!B3="","",'MASTER DATA'!B3)</f>
        <v>Synthetic Claimant 0002</v>
      </c>
      <c r="C2" t="str">
        <f>IF('MASTER DATA'!C3="","",'MASTER DATA'!C3)</f>
        <v>Claims Analyst F</v>
      </c>
      <c r="D2" t="str">
        <f>IF('MASTER DATA'!D3="","",'MASTER DATA'!D3)</f>
        <v>Synthetic Policyholder 170, LLC</v>
      </c>
      <c r="E2" s="15">
        <f>IF('MASTER DATA'!E3="","",'MASTER DATA'!E3)</f>
        <v>43714</v>
      </c>
      <c r="F2" s="16" t="str">
        <f>IF('MASTER DATA'!F3="","",'MASTER DATA'!F3)</f>
        <v>Y</v>
      </c>
      <c r="G2" s="17">
        <f>IF('MASTER DATA'!G3="","",'MASTER DATA'!G3)</f>
        <v>21750</v>
      </c>
      <c r="H2" s="16" t="str">
        <f>IF('MASTER DATA'!H3="","",'MASTER DATA'!H3)</f>
        <v>Synthetic Approver 04</v>
      </c>
      <c r="I2" s="15">
        <f>IF('MASTER DATA'!I3="","",'MASTER DATA'!I3)</f>
        <v>44940</v>
      </c>
      <c r="J2" s="16" t="str">
        <f>IF('MASTER DATA'!J3="","",'MASTER DATA'!J3)</f>
        <v>N</v>
      </c>
      <c r="K2" s="15" t="str">
        <f>IF('MASTER DATA'!K3="","",'MASTER DATA'!K3)</f>
        <v/>
      </c>
      <c r="L2" s="16" t="str">
        <f>IF('MASTER DATA'!L3="","",'MASTER DATA'!L3)</f>
        <v>N</v>
      </c>
      <c r="M2" s="16" t="str">
        <f>IF('MASTER DATA'!M3="","",'MASTER DATA'!M3)</f>
        <v>N</v>
      </c>
      <c r="N2" s="15" t="str">
        <f>IF('MASTER DATA'!N3="","",'MASTER DATA'!N3)</f>
        <v/>
      </c>
      <c r="O2" s="16" t="str">
        <f>IF('MASTER DATA'!O3="","",'MASTER DATA'!O3)</f>
        <v/>
      </c>
      <c r="P2" s="16" t="str">
        <f>IF('MASTER DATA'!P3="","",'MASTER DATA'!P3)</f>
        <v>Y</v>
      </c>
      <c r="Q2" s="16" t="str">
        <f>IF('MASTER DATA'!Q3="","",'MASTER DATA'!Q3)</f>
        <v>Non-Renewed Account; Denied Treatment Requests; Surgery Requested</v>
      </c>
      <c r="R2" s="16" t="str">
        <f>IF('MASTER DATA'!R3="","",'MASTER DATA'!R3)</f>
        <v>MSA Eligible in Next 3 Years; Specialist Consultation Requested</v>
      </c>
      <c r="S2" s="16" t="str">
        <f>IF('MASTER DATA'!S3="","",'MASTER DATA'!S3)</f>
        <v>Y</v>
      </c>
      <c r="T2" s="15">
        <f>IF('MASTER DATA'!T3="","",'MASTER DATA'!T3)</f>
        <v>44492</v>
      </c>
      <c r="U2" s="16" t="str">
        <f>IF('MASTER DATA'!U3="","",'MASTER DATA'!U3)</f>
        <v>Y</v>
      </c>
      <c r="V2" s="16" t="str">
        <f>IF('MASTER DATA'!V3="","",'MASTER DATA'!V3)</f>
        <v>N</v>
      </c>
      <c r="W2" s="16" t="str">
        <f>IF('MASTER DATA'!W3="","",'MASTER DATA'!W3)</f>
        <v>Y</v>
      </c>
      <c r="X2" s="16" t="str">
        <f>IF('MASTER DATA'!X3="","",'MASTER DATA'!X3)</f>
        <v>Y</v>
      </c>
      <c r="Y2" s="16" t="str">
        <f>IF('MASTER DATA'!Y3="","",'MASTER DATA'!Y3)</f>
        <v>Y</v>
      </c>
      <c r="Z2" s="16" t="str">
        <f>IF('MASTER DATA'!Z3="","",'MASTER DATA'!Z3)</f>
        <v>Y</v>
      </c>
      <c r="AA2" s="16">
        <f>IF('MASTER DATA'!AA3="","",'MASTER DATA'!AA3)</f>
        <v>3</v>
      </c>
      <c r="AB2" s="16" t="str">
        <f>IF('MASTER DATA'!AB3="","",'MASTER DATA'!AB3)</f>
        <v>ELEVATED MULTI-SIGNAL</v>
      </c>
      <c r="AC2" s="16" t="str">
        <f>IF('MASTER DATA'!AC3="","",'MASTER DATA'!AC3)</f>
        <v>Settlement Authorization | Automated Claim Alert | Inactive Customer</v>
      </c>
    </row>
    <row r="3" spans="1:29" x14ac:dyDescent="0.45">
      <c r="A3" t="str">
        <f>IF('MASTER DATA'!A44="","",'MASTER DATA'!A44)</f>
        <v>SYN-CLM-0043</v>
      </c>
      <c r="B3" t="str">
        <f>IF('MASTER DATA'!B44="","",'MASTER DATA'!B44)</f>
        <v>Synthetic Claimant 0043</v>
      </c>
      <c r="C3" t="str">
        <f>IF('MASTER DATA'!C44="","",'MASTER DATA'!C44)</f>
        <v>Claims Analyst F</v>
      </c>
      <c r="D3" t="str">
        <f>IF('MASTER DATA'!D44="","",'MASTER DATA'!D44)</f>
        <v>Synthetic Policyholder 159, LLC</v>
      </c>
      <c r="E3" s="15">
        <f>IF('MASTER DATA'!E44="","",'MASTER DATA'!E44)</f>
        <v>45858</v>
      </c>
      <c r="F3" s="16" t="str">
        <f>IF('MASTER DATA'!F44="","",'MASTER DATA'!F44)</f>
        <v>Y</v>
      </c>
      <c r="G3" s="17">
        <f>IF('MASTER DATA'!G44="","",'MASTER DATA'!G44)</f>
        <v>56250</v>
      </c>
      <c r="H3" s="16" t="str">
        <f>IF('MASTER DATA'!H44="","",'MASTER DATA'!H44)</f>
        <v>Synthetic Approver 01</v>
      </c>
      <c r="I3" s="15">
        <f>IF('MASTER DATA'!I44="","",'MASTER DATA'!I44)</f>
        <v>46857</v>
      </c>
      <c r="J3" s="16" t="str">
        <f>IF('MASTER DATA'!J44="","",'MASTER DATA'!J44)</f>
        <v>N</v>
      </c>
      <c r="K3" s="15" t="str">
        <f>IF('MASTER DATA'!K44="","",'MASTER DATA'!K44)</f>
        <v/>
      </c>
      <c r="L3" s="16" t="str">
        <f>IF('MASTER DATA'!L44="","",'MASTER DATA'!L44)</f>
        <v>Y</v>
      </c>
      <c r="M3" s="16" t="str">
        <f>IF('MASTER DATA'!M44="","",'MASTER DATA'!M44)</f>
        <v>N</v>
      </c>
      <c r="N3" s="15" t="str">
        <f>IF('MASTER DATA'!N44="","",'MASTER DATA'!N44)</f>
        <v/>
      </c>
      <c r="O3" s="16" t="str">
        <f>IF('MASTER DATA'!O44="","",'MASTER DATA'!O44)</f>
        <v/>
      </c>
      <c r="P3" s="16" t="str">
        <f>IF('MASTER DATA'!P44="","",'MASTER DATA'!P44)</f>
        <v>N</v>
      </c>
      <c r="Q3" s="16" t="str">
        <f>IF('MASTER DATA'!Q44="","",'MASTER DATA'!Q44)</f>
        <v/>
      </c>
      <c r="R3" s="16" t="str">
        <f>IF('MASTER DATA'!R44="","",'MASTER DATA'!R44)</f>
        <v/>
      </c>
      <c r="S3" s="16" t="str">
        <f>IF('MASTER DATA'!S44="","",'MASTER DATA'!S44)</f>
        <v>N</v>
      </c>
      <c r="T3" s="15" t="str">
        <f>IF('MASTER DATA'!T44="","",'MASTER DATA'!T44)</f>
        <v/>
      </c>
      <c r="U3" s="16" t="str">
        <f>IF('MASTER DATA'!U44="","",'MASTER DATA'!U44)</f>
        <v>N</v>
      </c>
      <c r="V3" s="16" t="str">
        <f>IF('MASTER DATA'!V44="","",'MASTER DATA'!V44)</f>
        <v>N</v>
      </c>
      <c r="W3" s="16" t="str">
        <f>IF('MASTER DATA'!W44="","",'MASTER DATA'!W44)</f>
        <v>N</v>
      </c>
      <c r="X3" s="16" t="str">
        <f>IF('MASTER DATA'!X44="","",'MASTER DATA'!X44)</f>
        <v>N</v>
      </c>
      <c r="Y3" s="16" t="str">
        <f>IF('MASTER DATA'!Y44="","",'MASTER DATA'!Y44)</f>
        <v>N</v>
      </c>
      <c r="Z3" s="16" t="str">
        <f>IF('MASTER DATA'!Z44="","",'MASTER DATA'!Z44)</f>
        <v>N</v>
      </c>
      <c r="AA3" s="16">
        <f>IF('MASTER DATA'!AA44="","",'MASTER DATA'!AA44)</f>
        <v>1</v>
      </c>
      <c r="AB3" s="16" t="str">
        <f>IF('MASTER DATA'!AB44="","",'MASTER DATA'!AB44)</f>
        <v>SINGLE-SIGNAL</v>
      </c>
      <c r="AC3" s="16" t="str">
        <f>IF('MASTER DATA'!AC44="","",'MASTER DATA'!AC44)</f>
        <v>Settlement Authorization</v>
      </c>
    </row>
    <row r="4" spans="1:29" x14ac:dyDescent="0.45">
      <c r="A4" t="str">
        <f>IF('MASTER DATA'!A45="","",'MASTER DATA'!A45)</f>
        <v>SYN-CLM-0044</v>
      </c>
      <c r="B4" t="str">
        <f>IF('MASTER DATA'!B45="","",'MASTER DATA'!B45)</f>
        <v>Synthetic Claimant 0044</v>
      </c>
      <c r="C4" t="str">
        <f>IF('MASTER DATA'!C45="","",'MASTER DATA'!C45)</f>
        <v>Claims Analyst F</v>
      </c>
      <c r="D4" t="str">
        <f>IF('MASTER DATA'!D45="","",'MASTER DATA'!D45)</f>
        <v>Synthetic Policyholder 092, LLC</v>
      </c>
      <c r="E4" s="15">
        <f>IF('MASTER DATA'!E45="","",'MASTER DATA'!E45)</f>
        <v>46026</v>
      </c>
      <c r="F4" s="16" t="str">
        <f>IF('MASTER DATA'!F45="","",'MASTER DATA'!F45)</f>
        <v>Y</v>
      </c>
      <c r="G4" s="17">
        <f>IF('MASTER DATA'!G45="","",'MASTER DATA'!G45)</f>
        <v>48250</v>
      </c>
      <c r="H4" s="16" t="str">
        <f>IF('MASTER DATA'!H45="","",'MASTER DATA'!H45)</f>
        <v>Synthetic Approver 12</v>
      </c>
      <c r="I4" s="15">
        <f>IF('MASTER DATA'!I45="","",'MASTER DATA'!I45)</f>
        <v>47405</v>
      </c>
      <c r="J4" s="16" t="str">
        <f>IF('MASTER DATA'!J45="","",'MASTER DATA'!J45)</f>
        <v>N</v>
      </c>
      <c r="K4" s="15" t="str">
        <f>IF('MASTER DATA'!K45="","",'MASTER DATA'!K45)</f>
        <v/>
      </c>
      <c r="L4" s="16" t="str">
        <f>IF('MASTER DATA'!L45="","",'MASTER DATA'!L45)</f>
        <v>Y</v>
      </c>
      <c r="M4" s="16" t="str">
        <f>IF('MASTER DATA'!M45="","",'MASTER DATA'!M45)</f>
        <v>N</v>
      </c>
      <c r="N4" s="15" t="str">
        <f>IF('MASTER DATA'!N45="","",'MASTER DATA'!N45)</f>
        <v/>
      </c>
      <c r="O4" s="16" t="str">
        <f>IF('MASTER DATA'!O45="","",'MASTER DATA'!O45)</f>
        <v/>
      </c>
      <c r="P4" s="16" t="str">
        <f>IF('MASTER DATA'!P45="","",'MASTER DATA'!P45)</f>
        <v>N</v>
      </c>
      <c r="Q4" s="16" t="str">
        <f>IF('MASTER DATA'!Q45="","",'MASTER DATA'!Q45)</f>
        <v/>
      </c>
      <c r="R4" s="16" t="str">
        <f>IF('MASTER DATA'!R45="","",'MASTER DATA'!R45)</f>
        <v/>
      </c>
      <c r="S4" s="16" t="str">
        <f>IF('MASTER DATA'!S45="","",'MASTER DATA'!S45)</f>
        <v>N</v>
      </c>
      <c r="T4" s="15" t="str">
        <f>IF('MASTER DATA'!T45="","",'MASTER DATA'!T45)</f>
        <v/>
      </c>
      <c r="U4" s="16" t="str">
        <f>IF('MASTER DATA'!U45="","",'MASTER DATA'!U45)</f>
        <v>N</v>
      </c>
      <c r="V4" s="16" t="str">
        <f>IF('MASTER DATA'!V45="","",'MASTER DATA'!V45)</f>
        <v>N</v>
      </c>
      <c r="W4" s="16" t="str">
        <f>IF('MASTER DATA'!W45="","",'MASTER DATA'!W45)</f>
        <v>N</v>
      </c>
      <c r="X4" s="16" t="str">
        <f>IF('MASTER DATA'!X45="","",'MASTER DATA'!X45)</f>
        <v>N</v>
      </c>
      <c r="Y4" s="16" t="str">
        <f>IF('MASTER DATA'!Y45="","",'MASTER DATA'!Y45)</f>
        <v>N</v>
      </c>
      <c r="Z4" s="16" t="str">
        <f>IF('MASTER DATA'!Z45="","",'MASTER DATA'!Z45)</f>
        <v>N</v>
      </c>
      <c r="AA4" s="16">
        <f>IF('MASTER DATA'!AA45="","",'MASTER DATA'!AA45)</f>
        <v>1</v>
      </c>
      <c r="AB4" s="16" t="str">
        <f>IF('MASTER DATA'!AB45="","",'MASTER DATA'!AB45)</f>
        <v>SINGLE-SIGNAL</v>
      </c>
      <c r="AC4" s="16" t="str">
        <f>IF('MASTER DATA'!AC45="","",'MASTER DATA'!AC45)</f>
        <v>Settlement Authorization</v>
      </c>
    </row>
    <row r="5" spans="1:29" x14ac:dyDescent="0.45">
      <c r="A5" t="str">
        <f>IF('MASTER DATA'!A46="","",'MASTER DATA'!A46)</f>
        <v>SYN-CLM-0045</v>
      </c>
      <c r="B5" t="str">
        <f>IF('MASTER DATA'!B46="","",'MASTER DATA'!B46)</f>
        <v>Synthetic Claimant 0045</v>
      </c>
      <c r="C5" t="str">
        <f>IF('MASTER DATA'!C46="","",'MASTER DATA'!C46)</f>
        <v>Claims Analyst F</v>
      </c>
      <c r="D5" t="str">
        <f>IF('MASTER DATA'!D46="","",'MASTER DATA'!D46)</f>
        <v>Synthetic Policyholder 109, LLC</v>
      </c>
      <c r="E5" s="15">
        <f>IF('MASTER DATA'!E46="","",'MASTER DATA'!E46)</f>
        <v>45422</v>
      </c>
      <c r="F5" s="16" t="str">
        <f>IF('MASTER DATA'!F46="","",'MASTER DATA'!F46)</f>
        <v>N</v>
      </c>
      <c r="G5" s="17" t="str">
        <f>IF('MASTER DATA'!G46="","",'MASTER DATA'!G46)</f>
        <v/>
      </c>
      <c r="H5" s="16" t="str">
        <f>IF('MASTER DATA'!H46="","",'MASTER DATA'!H46)</f>
        <v/>
      </c>
      <c r="I5" s="15" t="str">
        <f>IF('MASTER DATA'!I46="","",'MASTER DATA'!I46)</f>
        <v/>
      </c>
      <c r="J5" s="16" t="str">
        <f>IF('MASTER DATA'!J46="","",'MASTER DATA'!J46)</f>
        <v>N</v>
      </c>
      <c r="K5" s="15" t="str">
        <f>IF('MASTER DATA'!K46="","",'MASTER DATA'!K46)</f>
        <v/>
      </c>
      <c r="L5" s="16" t="str">
        <f>IF('MASTER DATA'!L46="","",'MASTER DATA'!L46)</f>
        <v/>
      </c>
      <c r="M5" s="16" t="str">
        <f>IF('MASTER DATA'!M46="","",'MASTER DATA'!M46)</f>
        <v>N</v>
      </c>
      <c r="N5" s="15" t="str">
        <f>IF('MASTER DATA'!N46="","",'MASTER DATA'!N46)</f>
        <v/>
      </c>
      <c r="O5" s="16" t="str">
        <f>IF('MASTER DATA'!O46="","",'MASTER DATA'!O46)</f>
        <v/>
      </c>
      <c r="P5" s="16" t="str">
        <f>IF('MASTER DATA'!P46="","",'MASTER DATA'!P46)</f>
        <v>Y</v>
      </c>
      <c r="Q5" s="16" t="str">
        <f>IF('MASTER DATA'!Q46="","",'MASTER DATA'!Q46)</f>
        <v>Non-Renewed Account; MSA Eligible in Next 3 Years; MMI Date Reported</v>
      </c>
      <c r="R5" s="16" t="str">
        <f>IF('MASTER DATA'!R46="","",'MASTER DATA'!R46)</f>
        <v>Surgery Requested</v>
      </c>
      <c r="S5" s="16" t="str">
        <f>IF('MASTER DATA'!S46="","",'MASTER DATA'!S46)</f>
        <v>N</v>
      </c>
      <c r="T5" s="15" t="str">
        <f>IF('MASTER DATA'!T46="","",'MASTER DATA'!T46)</f>
        <v/>
      </c>
      <c r="U5" s="16" t="str">
        <f>IF('MASTER DATA'!U46="","",'MASTER DATA'!U46)</f>
        <v>Y</v>
      </c>
      <c r="V5" s="16" t="str">
        <f>IF('MASTER DATA'!V46="","",'MASTER DATA'!V46)</f>
        <v>Y</v>
      </c>
      <c r="W5" s="16" t="str">
        <f>IF('MASTER DATA'!W46="","",'MASTER DATA'!W46)</f>
        <v>N</v>
      </c>
      <c r="X5" s="16" t="str">
        <f>IF('MASTER DATA'!X46="","",'MASTER DATA'!X46)</f>
        <v>N</v>
      </c>
      <c r="Y5" s="16" t="str">
        <f>IF('MASTER DATA'!Y46="","",'MASTER DATA'!Y46)</f>
        <v>Y</v>
      </c>
      <c r="Z5" s="16" t="str">
        <f>IF('MASTER DATA'!Z46="","",'MASTER DATA'!Z46)</f>
        <v>Y</v>
      </c>
      <c r="AA5" s="16">
        <f>IF('MASTER DATA'!AA46="","",'MASTER DATA'!AA46)</f>
        <v>1</v>
      </c>
      <c r="AB5" s="16" t="str">
        <f>IF('MASTER DATA'!AB46="","",'MASTER DATA'!AB46)</f>
        <v>SINGLE-SIGNAL</v>
      </c>
      <c r="AC5" s="16" t="str">
        <f>IF('MASTER DATA'!AC46="","",'MASTER DATA'!AC46)</f>
        <v>Automated Claim Alert</v>
      </c>
    </row>
    <row r="6" spans="1:29" x14ac:dyDescent="0.45">
      <c r="A6" t="str">
        <f>IF('MASTER DATA'!A47="","",'MASTER DATA'!A47)</f>
        <v>SYN-CLM-0046</v>
      </c>
      <c r="B6" t="str">
        <f>IF('MASTER DATA'!B47="","",'MASTER DATA'!B47)</f>
        <v>Synthetic Claimant 0046</v>
      </c>
      <c r="C6" t="str">
        <f>IF('MASTER DATA'!C47="","",'MASTER DATA'!C47)</f>
        <v>Claims Analyst F</v>
      </c>
      <c r="D6" t="str">
        <f>IF('MASTER DATA'!D47="","",'MASTER DATA'!D47)</f>
        <v>Synthetic Policyholder 054, LLC</v>
      </c>
      <c r="E6" s="15">
        <f>IF('MASTER DATA'!E47="","",'MASTER DATA'!E47)</f>
        <v>44284</v>
      </c>
      <c r="F6" s="16" t="str">
        <f>IF('MASTER DATA'!F47="","",'MASTER DATA'!F47)</f>
        <v>Y</v>
      </c>
      <c r="G6" s="17">
        <f>IF('MASTER DATA'!G47="","",'MASTER DATA'!G47)</f>
        <v>158250</v>
      </c>
      <c r="H6" s="16" t="str">
        <f>IF('MASTER DATA'!H47="","",'MASTER DATA'!H47)</f>
        <v>Synthetic Approver 01</v>
      </c>
      <c r="I6" s="15">
        <f>IF('MASTER DATA'!I47="","",'MASTER DATA'!I47)</f>
        <v>44395</v>
      </c>
      <c r="J6" s="16" t="str">
        <f>IF('MASTER DATA'!J47="","",'MASTER DATA'!J47)</f>
        <v>N</v>
      </c>
      <c r="K6" s="15" t="str">
        <f>IF('MASTER DATA'!K47="","",'MASTER DATA'!K47)</f>
        <v/>
      </c>
      <c r="L6" s="16" t="str">
        <f>IF('MASTER DATA'!L47="","",'MASTER DATA'!L47)</f>
        <v>Y</v>
      </c>
      <c r="M6" s="16" t="str">
        <f>IF('MASTER DATA'!M47="","",'MASTER DATA'!M47)</f>
        <v>N</v>
      </c>
      <c r="N6" s="15" t="str">
        <f>IF('MASTER DATA'!N47="","",'MASTER DATA'!N47)</f>
        <v/>
      </c>
      <c r="O6" s="16" t="str">
        <f>IF('MASTER DATA'!O47="","",'MASTER DATA'!O47)</f>
        <v/>
      </c>
      <c r="P6" s="16" t="str">
        <f>IF('MASTER DATA'!P47="","",'MASTER DATA'!P47)</f>
        <v>N</v>
      </c>
      <c r="Q6" s="16" t="str">
        <f>IF('MASTER DATA'!Q47="","",'MASTER DATA'!Q47)</f>
        <v/>
      </c>
      <c r="R6" s="16" t="str">
        <f>IF('MASTER DATA'!R47="","",'MASTER DATA'!R47)</f>
        <v/>
      </c>
      <c r="S6" s="16" t="str">
        <f>IF('MASTER DATA'!S47="","",'MASTER DATA'!S47)</f>
        <v>N</v>
      </c>
      <c r="T6" s="15" t="str">
        <f>IF('MASTER DATA'!T47="","",'MASTER DATA'!T47)</f>
        <v/>
      </c>
      <c r="U6" s="16" t="str">
        <f>IF('MASTER DATA'!U47="","",'MASTER DATA'!U47)</f>
        <v>N</v>
      </c>
      <c r="V6" s="16" t="str">
        <f>IF('MASTER DATA'!V47="","",'MASTER DATA'!V47)</f>
        <v>N</v>
      </c>
      <c r="W6" s="16" t="str">
        <f>IF('MASTER DATA'!W47="","",'MASTER DATA'!W47)</f>
        <v>N</v>
      </c>
      <c r="X6" s="16" t="str">
        <f>IF('MASTER DATA'!X47="","",'MASTER DATA'!X47)</f>
        <v>N</v>
      </c>
      <c r="Y6" s="16" t="str">
        <f>IF('MASTER DATA'!Y47="","",'MASTER DATA'!Y47)</f>
        <v>N</v>
      </c>
      <c r="Z6" s="16" t="str">
        <f>IF('MASTER DATA'!Z47="","",'MASTER DATA'!Z47)</f>
        <v>N</v>
      </c>
      <c r="AA6" s="16">
        <f>IF('MASTER DATA'!AA47="","",'MASTER DATA'!AA47)</f>
        <v>1</v>
      </c>
      <c r="AB6" s="16" t="str">
        <f>IF('MASTER DATA'!AB47="","",'MASTER DATA'!AB47)</f>
        <v>SINGLE-SIGNAL</v>
      </c>
      <c r="AC6" s="16" t="str">
        <f>IF('MASTER DATA'!AC47="","",'MASTER DATA'!AC47)</f>
        <v>Settlement Authorization</v>
      </c>
    </row>
    <row r="7" spans="1:29" x14ac:dyDescent="0.45">
      <c r="A7" t="str">
        <f>IF('MASTER DATA'!A48="","",'MASTER DATA'!A48)</f>
        <v>SYN-CLM-0047</v>
      </c>
      <c r="B7" t="str">
        <f>IF('MASTER DATA'!B48="","",'MASTER DATA'!B48)</f>
        <v>Synthetic Claimant 0047</v>
      </c>
      <c r="C7" t="str">
        <f>IF('MASTER DATA'!C48="","",'MASTER DATA'!C48)</f>
        <v>Claims Analyst F</v>
      </c>
      <c r="D7" t="str">
        <f>IF('MASTER DATA'!D48="","",'MASTER DATA'!D48)</f>
        <v>Synthetic Policyholder 046, LLC</v>
      </c>
      <c r="E7" s="15">
        <f>IF('MASTER DATA'!E48="","",'MASTER DATA'!E48)</f>
        <v>43515</v>
      </c>
      <c r="F7" s="16" t="str">
        <f>IF('MASTER DATA'!F48="","",'MASTER DATA'!F48)</f>
        <v>N</v>
      </c>
      <c r="G7" s="17" t="str">
        <f>IF('MASTER DATA'!G48="","",'MASTER DATA'!G48)</f>
        <v/>
      </c>
      <c r="H7" s="16" t="str">
        <f>IF('MASTER DATA'!H48="","",'MASTER DATA'!H48)</f>
        <v/>
      </c>
      <c r="I7" s="15" t="str">
        <f>IF('MASTER DATA'!I48="","",'MASTER DATA'!I48)</f>
        <v/>
      </c>
      <c r="J7" s="16" t="str">
        <f>IF('MASTER DATA'!J48="","",'MASTER DATA'!J48)</f>
        <v>N</v>
      </c>
      <c r="K7" s="15" t="str">
        <f>IF('MASTER DATA'!K48="","",'MASTER DATA'!K48)</f>
        <v/>
      </c>
      <c r="L7" s="16" t="str">
        <f>IF('MASTER DATA'!L48="","",'MASTER DATA'!L48)</f>
        <v/>
      </c>
      <c r="M7" s="16" t="str">
        <f>IF('MASTER DATA'!M48="","",'MASTER DATA'!M48)</f>
        <v>N</v>
      </c>
      <c r="N7" s="15" t="str">
        <f>IF('MASTER DATA'!N48="","",'MASTER DATA'!N48)</f>
        <v/>
      </c>
      <c r="O7" s="16" t="str">
        <f>IF('MASTER DATA'!O48="","",'MASTER DATA'!O48)</f>
        <v/>
      </c>
      <c r="P7" s="16" t="str">
        <f>IF('MASTER DATA'!P48="","",'MASTER DATA'!P48)</f>
        <v>Y</v>
      </c>
      <c r="Q7" s="16" t="str">
        <f>IF('MASTER DATA'!Q48="","",'MASTER DATA'!Q48)</f>
        <v>MSA Eligible in Next 3 Years; Specialist Consultation Requested; Non-Renewed Account</v>
      </c>
      <c r="R7" s="16" t="str">
        <f>IF('MASTER DATA'!R48="","",'MASTER DATA'!R48)</f>
        <v/>
      </c>
      <c r="S7" s="16" t="str">
        <f>IF('MASTER DATA'!S48="","",'MASTER DATA'!S48)</f>
        <v>N</v>
      </c>
      <c r="T7" s="15" t="str">
        <f>IF('MASTER DATA'!T48="","",'MASTER DATA'!T48)</f>
        <v/>
      </c>
      <c r="U7" s="16" t="str">
        <f>IF('MASTER DATA'!U48="","",'MASTER DATA'!U48)</f>
        <v>N</v>
      </c>
      <c r="V7" s="16" t="str">
        <f>IF('MASTER DATA'!V48="","",'MASTER DATA'!V48)</f>
        <v>N</v>
      </c>
      <c r="W7" s="16" t="str">
        <f>IF('MASTER DATA'!W48="","",'MASTER DATA'!W48)</f>
        <v>N</v>
      </c>
      <c r="X7" s="16" t="str">
        <f>IF('MASTER DATA'!X48="","",'MASTER DATA'!X48)</f>
        <v>Y</v>
      </c>
      <c r="Y7" s="16" t="str">
        <f>IF('MASTER DATA'!Y48="","",'MASTER DATA'!Y48)</f>
        <v>Y</v>
      </c>
      <c r="Z7" s="16" t="str">
        <f>IF('MASTER DATA'!Z48="","",'MASTER DATA'!Z48)</f>
        <v>Y</v>
      </c>
      <c r="AA7" s="16">
        <f>IF('MASTER DATA'!AA48="","",'MASTER DATA'!AA48)</f>
        <v>1</v>
      </c>
      <c r="AB7" s="16" t="str">
        <f>IF('MASTER DATA'!AB48="","",'MASTER DATA'!AB48)</f>
        <v>SINGLE-SIGNAL</v>
      </c>
      <c r="AC7" s="16" t="str">
        <f>IF('MASTER DATA'!AC48="","",'MASTER DATA'!AC48)</f>
        <v>Automated Claim Alert</v>
      </c>
    </row>
    <row r="8" spans="1:29" x14ac:dyDescent="0.45">
      <c r="A8" t="str">
        <f>IF('MASTER DATA'!A49="","",'MASTER DATA'!A49)</f>
        <v>SYN-CLM-0048</v>
      </c>
      <c r="B8" t="str">
        <f>IF('MASTER DATA'!B49="","",'MASTER DATA'!B49)</f>
        <v>Synthetic Claimant 0048</v>
      </c>
      <c r="C8" t="str">
        <f>IF('MASTER DATA'!C49="","",'MASTER DATA'!C49)</f>
        <v>Claims Analyst F</v>
      </c>
      <c r="D8" t="str">
        <f>IF('MASTER DATA'!D49="","",'MASTER DATA'!D49)</f>
        <v>Synthetic Policyholder 171, LLC</v>
      </c>
      <c r="E8" s="15">
        <f>IF('MASTER DATA'!E49="","",'MASTER DATA'!E49)</f>
        <v>45242</v>
      </c>
      <c r="F8" s="16" t="str">
        <f>IF('MASTER DATA'!F49="","",'MASTER DATA'!F49)</f>
        <v>Y</v>
      </c>
      <c r="G8" s="17">
        <f>IF('MASTER DATA'!G49="","",'MASTER DATA'!G49)</f>
        <v>84750</v>
      </c>
      <c r="H8" s="16" t="str">
        <f>IF('MASTER DATA'!H49="","",'MASTER DATA'!H49)</f>
        <v>Synthetic Approver 09</v>
      </c>
      <c r="I8" s="15">
        <f>IF('MASTER DATA'!I49="","",'MASTER DATA'!I49)</f>
        <v>45565</v>
      </c>
      <c r="J8" s="16" t="str">
        <f>IF('MASTER DATA'!J49="","",'MASTER DATA'!J49)</f>
        <v>N</v>
      </c>
      <c r="K8" s="15" t="str">
        <f>IF('MASTER DATA'!K49="","",'MASTER DATA'!K49)</f>
        <v/>
      </c>
      <c r="L8" s="16" t="str">
        <f>IF('MASTER DATA'!L49="","",'MASTER DATA'!L49)</f>
        <v>N</v>
      </c>
      <c r="M8" s="16" t="str">
        <f>IF('MASTER DATA'!M49="","",'MASTER DATA'!M49)</f>
        <v>N</v>
      </c>
      <c r="N8" s="15" t="str">
        <f>IF('MASTER DATA'!N49="","",'MASTER DATA'!N49)</f>
        <v/>
      </c>
      <c r="O8" s="16" t="str">
        <f>IF('MASTER DATA'!O49="","",'MASTER DATA'!O49)</f>
        <v/>
      </c>
      <c r="P8" s="16" t="str">
        <f>IF('MASTER DATA'!P49="","",'MASTER DATA'!P49)</f>
        <v>N</v>
      </c>
      <c r="Q8" s="16" t="str">
        <f>IF('MASTER DATA'!Q49="","",'MASTER DATA'!Q49)</f>
        <v/>
      </c>
      <c r="R8" s="16" t="str">
        <f>IF('MASTER DATA'!R49="","",'MASTER DATA'!R49)</f>
        <v/>
      </c>
      <c r="S8" s="16" t="str">
        <f>IF('MASTER DATA'!S49="","",'MASTER DATA'!S49)</f>
        <v>N</v>
      </c>
      <c r="T8" s="15" t="str">
        <f>IF('MASTER DATA'!T49="","",'MASTER DATA'!T49)</f>
        <v/>
      </c>
      <c r="U8" s="16" t="str">
        <f>IF('MASTER DATA'!U49="","",'MASTER DATA'!U49)</f>
        <v>N</v>
      </c>
      <c r="V8" s="16" t="str">
        <f>IF('MASTER DATA'!V49="","",'MASTER DATA'!V49)</f>
        <v>N</v>
      </c>
      <c r="W8" s="16" t="str">
        <f>IF('MASTER DATA'!W49="","",'MASTER DATA'!W49)</f>
        <v>N</v>
      </c>
      <c r="X8" s="16" t="str">
        <f>IF('MASTER DATA'!X49="","",'MASTER DATA'!X49)</f>
        <v>N</v>
      </c>
      <c r="Y8" s="16" t="str">
        <f>IF('MASTER DATA'!Y49="","",'MASTER DATA'!Y49)</f>
        <v>N</v>
      </c>
      <c r="Z8" s="16" t="str">
        <f>IF('MASTER DATA'!Z49="","",'MASTER DATA'!Z49)</f>
        <v>N</v>
      </c>
      <c r="AA8" s="16">
        <f>IF('MASTER DATA'!AA49="","",'MASTER DATA'!AA49)</f>
        <v>1</v>
      </c>
      <c r="AB8" s="16" t="str">
        <f>IF('MASTER DATA'!AB49="","",'MASTER DATA'!AB49)</f>
        <v>SINGLE-SIGNAL</v>
      </c>
      <c r="AC8" s="16" t="str">
        <f>IF('MASTER DATA'!AC49="","",'MASTER DATA'!AC49)</f>
        <v>Settlement Authorization</v>
      </c>
    </row>
    <row r="9" spans="1:29" x14ac:dyDescent="0.45">
      <c r="A9" t="str">
        <f>IF('MASTER DATA'!A50="","",'MASTER DATA'!A50)</f>
        <v>SYN-CLM-0049</v>
      </c>
      <c r="B9" t="str">
        <f>IF('MASTER DATA'!B50="","",'MASTER DATA'!B50)</f>
        <v>Synthetic Claimant 0049</v>
      </c>
      <c r="C9" t="str">
        <f>IF('MASTER DATA'!C50="","",'MASTER DATA'!C50)</f>
        <v>Claims Analyst F</v>
      </c>
      <c r="D9" t="str">
        <f>IF('MASTER DATA'!D50="","",'MASTER DATA'!D50)</f>
        <v>Synthetic Policyholder 131, LLC</v>
      </c>
      <c r="E9" s="15">
        <f>IF('MASTER DATA'!E50="","",'MASTER DATA'!E50)</f>
        <v>43642</v>
      </c>
      <c r="F9" s="16" t="str">
        <f>IF('MASTER DATA'!F50="","",'MASTER DATA'!F50)</f>
        <v>N</v>
      </c>
      <c r="G9" s="17" t="str">
        <f>IF('MASTER DATA'!G50="","",'MASTER DATA'!G50)</f>
        <v/>
      </c>
      <c r="H9" s="16" t="str">
        <f>IF('MASTER DATA'!H50="","",'MASTER DATA'!H50)</f>
        <v/>
      </c>
      <c r="I9" s="15" t="str">
        <f>IF('MASTER DATA'!I50="","",'MASTER DATA'!I50)</f>
        <v/>
      </c>
      <c r="J9" s="16" t="str">
        <f>IF('MASTER DATA'!J50="","",'MASTER DATA'!J50)</f>
        <v>N</v>
      </c>
      <c r="K9" s="15" t="str">
        <f>IF('MASTER DATA'!K50="","",'MASTER DATA'!K50)</f>
        <v/>
      </c>
      <c r="L9" s="16" t="str">
        <f>IF('MASTER DATA'!L50="","",'MASTER DATA'!L50)</f>
        <v/>
      </c>
      <c r="M9" s="16" t="str">
        <f>IF('MASTER DATA'!M50="","",'MASTER DATA'!M50)</f>
        <v>N</v>
      </c>
      <c r="N9" s="15" t="str">
        <f>IF('MASTER DATA'!N50="","",'MASTER DATA'!N50)</f>
        <v/>
      </c>
      <c r="O9" s="16" t="str">
        <f>IF('MASTER DATA'!O50="","",'MASTER DATA'!O50)</f>
        <v/>
      </c>
      <c r="P9" s="16" t="str">
        <f>IF('MASTER DATA'!P50="","",'MASTER DATA'!P50)</f>
        <v>Y</v>
      </c>
      <c r="Q9" s="16" t="str">
        <f>IF('MASTER DATA'!Q50="","",'MASTER DATA'!Q50)</f>
        <v>Non-Renewed Account</v>
      </c>
      <c r="R9" s="16" t="str">
        <f>IF('MASTER DATA'!R50="","",'MASTER DATA'!R50)</f>
        <v>Specialist Consultation Requested; Surgery Requested</v>
      </c>
      <c r="S9" s="16" t="str">
        <f>IF('MASTER DATA'!S50="","",'MASTER DATA'!S50)</f>
        <v>N</v>
      </c>
      <c r="T9" s="15" t="str">
        <f>IF('MASTER DATA'!T50="","",'MASTER DATA'!T50)</f>
        <v/>
      </c>
      <c r="U9" s="16" t="str">
        <f>IF('MASTER DATA'!U50="","",'MASTER DATA'!U50)</f>
        <v>Y</v>
      </c>
      <c r="V9" s="16" t="str">
        <f>IF('MASTER DATA'!V50="","",'MASTER DATA'!V50)</f>
        <v>N</v>
      </c>
      <c r="W9" s="16" t="str">
        <f>IF('MASTER DATA'!W50="","",'MASTER DATA'!W50)</f>
        <v>N</v>
      </c>
      <c r="X9" s="16" t="str">
        <f>IF('MASTER DATA'!X50="","",'MASTER DATA'!X50)</f>
        <v>Y</v>
      </c>
      <c r="Y9" s="16" t="str">
        <f>IF('MASTER DATA'!Y50="","",'MASTER DATA'!Y50)</f>
        <v>Y</v>
      </c>
      <c r="Z9" s="16" t="str">
        <f>IF('MASTER DATA'!Z50="","",'MASTER DATA'!Z50)</f>
        <v>N</v>
      </c>
      <c r="AA9" s="16">
        <f>IF('MASTER DATA'!AA50="","",'MASTER DATA'!AA50)</f>
        <v>1</v>
      </c>
      <c r="AB9" s="16" t="str">
        <f>IF('MASTER DATA'!AB50="","",'MASTER DATA'!AB50)</f>
        <v>SINGLE-SIGNAL</v>
      </c>
      <c r="AC9" s="16" t="str">
        <f>IF('MASTER DATA'!AC50="","",'MASTER DATA'!AC50)</f>
        <v>Automated Claim Alert</v>
      </c>
    </row>
    <row r="10" spans="1:29" x14ac:dyDescent="0.45">
      <c r="A10" t="str">
        <f>IF('MASTER DATA'!A51="","",'MASTER DATA'!A51)</f>
        <v>SYN-CLM-0050</v>
      </c>
      <c r="B10" t="str">
        <f>IF('MASTER DATA'!B51="","",'MASTER DATA'!B51)</f>
        <v>Synthetic Claimant 0050</v>
      </c>
      <c r="C10" t="str">
        <f>IF('MASTER DATA'!C51="","",'MASTER DATA'!C51)</f>
        <v>Claims Analyst F</v>
      </c>
      <c r="D10" t="str">
        <f>IF('MASTER DATA'!D51="","",'MASTER DATA'!D51)</f>
        <v>Synthetic Policyholder 149, LLC</v>
      </c>
      <c r="E10" s="15">
        <f>IF('MASTER DATA'!E51="","",'MASTER DATA'!E51)</f>
        <v>45099</v>
      </c>
      <c r="F10" s="16" t="str">
        <f>IF('MASTER DATA'!F51="","",'MASTER DATA'!F51)</f>
        <v>Y</v>
      </c>
      <c r="G10" s="17">
        <f>IF('MASTER DATA'!G51="","",'MASTER DATA'!G51)</f>
        <v>67500</v>
      </c>
      <c r="H10" s="16" t="str">
        <f>IF('MASTER DATA'!H51="","",'MASTER DATA'!H51)</f>
        <v>Synthetic Approver 01</v>
      </c>
      <c r="I10" s="15">
        <f>IF('MASTER DATA'!I51="","",'MASTER DATA'!I51)</f>
        <v>46193</v>
      </c>
      <c r="J10" s="16" t="str">
        <f>IF('MASTER DATA'!J51="","",'MASTER DATA'!J51)</f>
        <v>Y</v>
      </c>
      <c r="K10" s="15">
        <f>IF('MASTER DATA'!K51="","",'MASTER DATA'!K51)</f>
        <v>45300</v>
      </c>
      <c r="L10" s="16" t="str">
        <f>IF('MASTER DATA'!L51="","",'MASTER DATA'!L51)</f>
        <v>Y</v>
      </c>
      <c r="M10" s="16" t="str">
        <f>IF('MASTER DATA'!M51="","",'MASTER DATA'!M51)</f>
        <v>N</v>
      </c>
      <c r="N10" s="15" t="str">
        <f>IF('MASTER DATA'!N51="","",'MASTER DATA'!N51)</f>
        <v/>
      </c>
      <c r="O10" s="16" t="str">
        <f>IF('MASTER DATA'!O51="","",'MASTER DATA'!O51)</f>
        <v/>
      </c>
      <c r="P10" s="16" t="str">
        <f>IF('MASTER DATA'!P51="","",'MASTER DATA'!P51)</f>
        <v>Y</v>
      </c>
      <c r="Q10" s="16" t="str">
        <f>IF('MASTER DATA'!Q51="","",'MASTER DATA'!Q51)</f>
        <v>MMI Date Reported</v>
      </c>
      <c r="R10" s="16" t="str">
        <f>IF('MASTER DATA'!R51="","",'MASTER DATA'!R51)</f>
        <v>Specialist Consultation Requested</v>
      </c>
      <c r="S10" s="16" t="str">
        <f>IF('MASTER DATA'!S51="","",'MASTER DATA'!S51)</f>
        <v>Y</v>
      </c>
      <c r="T10" s="15">
        <f>IF('MASTER DATA'!T51="","",'MASTER DATA'!T51)</f>
        <v>45570</v>
      </c>
      <c r="U10" s="16" t="str">
        <f>IF('MASTER DATA'!U51="","",'MASTER DATA'!U51)</f>
        <v>N</v>
      </c>
      <c r="V10" s="16" t="str">
        <f>IF('MASTER DATA'!V51="","",'MASTER DATA'!V51)</f>
        <v>Y</v>
      </c>
      <c r="W10" s="16" t="str">
        <f>IF('MASTER DATA'!W51="","",'MASTER DATA'!W51)</f>
        <v>N</v>
      </c>
      <c r="X10" s="16" t="str">
        <f>IF('MASTER DATA'!X51="","",'MASTER DATA'!X51)</f>
        <v>Y</v>
      </c>
      <c r="Y10" s="16" t="str">
        <f>IF('MASTER DATA'!Y51="","",'MASTER DATA'!Y51)</f>
        <v>N</v>
      </c>
      <c r="Z10" s="16" t="str">
        <f>IF('MASTER DATA'!Z51="","",'MASTER DATA'!Z51)</f>
        <v>N</v>
      </c>
      <c r="AA10" s="16">
        <f>IF('MASTER DATA'!AA51="","",'MASTER DATA'!AA51)</f>
        <v>4</v>
      </c>
      <c r="AB10" s="16" t="str">
        <f>IF('MASTER DATA'!AB51="","",'MASTER DATA'!AB51)</f>
        <v>HIGH MULTI-SIGNAL</v>
      </c>
      <c r="AC10" s="16" t="str">
        <f>IF('MASTER DATA'!AC51="","",'MASTER DATA'!AC51)</f>
        <v>Settlement Authorization | Open Stipulation | Automated Claim Alert | Inactive Customer</v>
      </c>
    </row>
    <row r="11" spans="1:29" x14ac:dyDescent="0.45">
      <c r="A11" t="str">
        <f>IF('MASTER DATA'!A52="","",'MASTER DATA'!A52)</f>
        <v>SYN-CLM-0051</v>
      </c>
      <c r="B11" t="str">
        <f>IF('MASTER DATA'!B52="","",'MASTER DATA'!B52)</f>
        <v>Synthetic Claimant 0051</v>
      </c>
      <c r="C11" t="str">
        <f>IF('MASTER DATA'!C52="","",'MASTER DATA'!C52)</f>
        <v>Claims Analyst F</v>
      </c>
      <c r="D11" t="str">
        <f>IF('MASTER DATA'!D52="","",'MASTER DATA'!D52)</f>
        <v>Synthetic Policyholder 122, LLC</v>
      </c>
      <c r="E11" s="15">
        <f>IF('MASTER DATA'!E52="","",'MASTER DATA'!E52)</f>
        <v>44325</v>
      </c>
      <c r="F11" s="16" t="str">
        <f>IF('MASTER DATA'!F52="","",'MASTER DATA'!F52)</f>
        <v>Y</v>
      </c>
      <c r="G11" s="17">
        <f>IF('MASTER DATA'!G52="","",'MASTER DATA'!G52)</f>
        <v>25250</v>
      </c>
      <c r="H11" s="16" t="str">
        <f>IF('MASTER DATA'!H52="","",'MASTER DATA'!H52)</f>
        <v>Synthetic Approver 07</v>
      </c>
      <c r="I11" s="15">
        <f>IF('MASTER DATA'!I52="","",'MASTER DATA'!I52)</f>
        <v>45026</v>
      </c>
      <c r="J11" s="16" t="str">
        <f>IF('MASTER DATA'!J52="","",'MASTER DATA'!J52)</f>
        <v>N</v>
      </c>
      <c r="K11" s="15" t="str">
        <f>IF('MASTER DATA'!K52="","",'MASTER DATA'!K52)</f>
        <v/>
      </c>
      <c r="L11" s="16" t="str">
        <f>IF('MASTER DATA'!L52="","",'MASTER DATA'!L52)</f>
        <v>N</v>
      </c>
      <c r="M11" s="16" t="str">
        <f>IF('MASTER DATA'!M52="","",'MASTER DATA'!M52)</f>
        <v>N</v>
      </c>
      <c r="N11" s="15" t="str">
        <f>IF('MASTER DATA'!N52="","",'MASTER DATA'!N52)</f>
        <v/>
      </c>
      <c r="O11" s="16" t="str">
        <f>IF('MASTER DATA'!O52="","",'MASTER DATA'!O52)</f>
        <v/>
      </c>
      <c r="P11" s="16" t="str">
        <f>IF('MASTER DATA'!P52="","",'MASTER DATA'!P52)</f>
        <v>N</v>
      </c>
      <c r="Q11" s="16" t="str">
        <f>IF('MASTER DATA'!Q52="","",'MASTER DATA'!Q52)</f>
        <v/>
      </c>
      <c r="R11" s="16" t="str">
        <f>IF('MASTER DATA'!R52="","",'MASTER DATA'!R52)</f>
        <v/>
      </c>
      <c r="S11" s="16" t="str">
        <f>IF('MASTER DATA'!S52="","",'MASTER DATA'!S52)</f>
        <v>N</v>
      </c>
      <c r="T11" s="15" t="str">
        <f>IF('MASTER DATA'!T52="","",'MASTER DATA'!T52)</f>
        <v/>
      </c>
      <c r="U11" s="16" t="str">
        <f>IF('MASTER DATA'!U52="","",'MASTER DATA'!U52)</f>
        <v>N</v>
      </c>
      <c r="V11" s="16" t="str">
        <f>IF('MASTER DATA'!V52="","",'MASTER DATA'!V52)</f>
        <v>N</v>
      </c>
      <c r="W11" s="16" t="str">
        <f>IF('MASTER DATA'!W52="","",'MASTER DATA'!W52)</f>
        <v>N</v>
      </c>
      <c r="X11" s="16" t="str">
        <f>IF('MASTER DATA'!X52="","",'MASTER DATA'!X52)</f>
        <v>N</v>
      </c>
      <c r="Y11" s="16" t="str">
        <f>IF('MASTER DATA'!Y52="","",'MASTER DATA'!Y52)</f>
        <v>N</v>
      </c>
      <c r="Z11" s="16" t="str">
        <f>IF('MASTER DATA'!Z52="","",'MASTER DATA'!Z52)</f>
        <v>N</v>
      </c>
      <c r="AA11" s="16">
        <f>IF('MASTER DATA'!AA52="","",'MASTER DATA'!AA52)</f>
        <v>1</v>
      </c>
      <c r="AB11" s="16" t="str">
        <f>IF('MASTER DATA'!AB52="","",'MASTER DATA'!AB52)</f>
        <v>SINGLE-SIGNAL</v>
      </c>
      <c r="AC11" s="16" t="str">
        <f>IF('MASTER DATA'!AC52="","",'MASTER DATA'!AC52)</f>
        <v>Settlement Authorization</v>
      </c>
    </row>
    <row r="12" spans="1:29" x14ac:dyDescent="0.45">
      <c r="A12" t="str">
        <f>IF('MASTER DATA'!A53="","",'MASTER DATA'!A53)</f>
        <v>SYN-CLM-0052</v>
      </c>
      <c r="B12" t="str">
        <f>IF('MASTER DATA'!B53="","",'MASTER DATA'!B53)</f>
        <v>Synthetic Claimant 0052</v>
      </c>
      <c r="C12" t="str">
        <f>IF('MASTER DATA'!C53="","",'MASTER DATA'!C53)</f>
        <v>Claims Analyst F</v>
      </c>
      <c r="D12" t="str">
        <f>IF('MASTER DATA'!D53="","",'MASTER DATA'!D53)</f>
        <v>Synthetic Policyholder 141, LLC</v>
      </c>
      <c r="E12" s="15">
        <f>IF('MASTER DATA'!E53="","",'MASTER DATA'!E53)</f>
        <v>44340</v>
      </c>
      <c r="F12" s="16" t="str">
        <f>IF('MASTER DATA'!F53="","",'MASTER DATA'!F53)</f>
        <v>Y</v>
      </c>
      <c r="G12" s="17">
        <f>IF('MASTER DATA'!G53="","",'MASTER DATA'!G53)</f>
        <v>49750</v>
      </c>
      <c r="H12" s="16" t="str">
        <f>IF('MASTER DATA'!H53="","",'MASTER DATA'!H53)</f>
        <v>Synthetic Approver 09</v>
      </c>
      <c r="I12" s="15">
        <f>IF('MASTER DATA'!I53="","",'MASTER DATA'!I53)</f>
        <v>45474</v>
      </c>
      <c r="J12" s="16" t="str">
        <f>IF('MASTER DATA'!J53="","",'MASTER DATA'!J53)</f>
        <v>N</v>
      </c>
      <c r="K12" s="15" t="str">
        <f>IF('MASTER DATA'!K53="","",'MASTER DATA'!K53)</f>
        <v/>
      </c>
      <c r="L12" s="16" t="str">
        <f>IF('MASTER DATA'!L53="","",'MASTER DATA'!L53)</f>
        <v>Y</v>
      </c>
      <c r="M12" s="16" t="str">
        <f>IF('MASTER DATA'!M53="","",'MASTER DATA'!M53)</f>
        <v>N</v>
      </c>
      <c r="N12" s="15" t="str">
        <f>IF('MASTER DATA'!N53="","",'MASTER DATA'!N53)</f>
        <v/>
      </c>
      <c r="O12" s="16" t="str">
        <f>IF('MASTER DATA'!O53="","",'MASTER DATA'!O53)</f>
        <v/>
      </c>
      <c r="P12" s="16" t="str">
        <f>IF('MASTER DATA'!P53="","",'MASTER DATA'!P53)</f>
        <v>N</v>
      </c>
      <c r="Q12" s="16" t="str">
        <f>IF('MASTER DATA'!Q53="","",'MASTER DATA'!Q53)</f>
        <v/>
      </c>
      <c r="R12" s="16" t="str">
        <f>IF('MASTER DATA'!R53="","",'MASTER DATA'!R53)</f>
        <v/>
      </c>
      <c r="S12" s="16" t="str">
        <f>IF('MASTER DATA'!S53="","",'MASTER DATA'!S53)</f>
        <v>N</v>
      </c>
      <c r="T12" s="15" t="str">
        <f>IF('MASTER DATA'!T53="","",'MASTER DATA'!T53)</f>
        <v/>
      </c>
      <c r="U12" s="16" t="str">
        <f>IF('MASTER DATA'!U53="","",'MASTER DATA'!U53)</f>
        <v>N</v>
      </c>
      <c r="V12" s="16" t="str">
        <f>IF('MASTER DATA'!V53="","",'MASTER DATA'!V53)</f>
        <v>N</v>
      </c>
      <c r="W12" s="16" t="str">
        <f>IF('MASTER DATA'!W53="","",'MASTER DATA'!W53)</f>
        <v>N</v>
      </c>
      <c r="X12" s="16" t="str">
        <f>IF('MASTER DATA'!X53="","",'MASTER DATA'!X53)</f>
        <v>N</v>
      </c>
      <c r="Y12" s="16" t="str">
        <f>IF('MASTER DATA'!Y53="","",'MASTER DATA'!Y53)</f>
        <v>N</v>
      </c>
      <c r="Z12" s="16" t="str">
        <f>IF('MASTER DATA'!Z53="","",'MASTER DATA'!Z53)</f>
        <v>N</v>
      </c>
      <c r="AA12" s="16">
        <f>IF('MASTER DATA'!AA53="","",'MASTER DATA'!AA53)</f>
        <v>1</v>
      </c>
      <c r="AB12" s="16" t="str">
        <f>IF('MASTER DATA'!AB53="","",'MASTER DATA'!AB53)</f>
        <v>SINGLE-SIGNAL</v>
      </c>
      <c r="AC12" s="16" t="str">
        <f>IF('MASTER DATA'!AC53="","",'MASTER DATA'!AC53)</f>
        <v>Settlement Authorization</v>
      </c>
    </row>
    <row r="13" spans="1:29" x14ac:dyDescent="0.45">
      <c r="A13" t="str">
        <f>IF('MASTER DATA'!A54="","",'MASTER DATA'!A54)</f>
        <v>SYN-CLM-0053</v>
      </c>
      <c r="B13" t="str">
        <f>IF('MASTER DATA'!B54="","",'MASTER DATA'!B54)</f>
        <v>Synthetic Claimant 0053</v>
      </c>
      <c r="C13" t="str">
        <f>IF('MASTER DATA'!C54="","",'MASTER DATA'!C54)</f>
        <v>Claims Analyst F</v>
      </c>
      <c r="D13" t="str">
        <f>IF('MASTER DATA'!D54="","",'MASTER DATA'!D54)</f>
        <v>Synthetic Policyholder 141, LLC</v>
      </c>
      <c r="E13" s="15">
        <f>IF('MASTER DATA'!E54="","",'MASTER DATA'!E54)</f>
        <v>44724</v>
      </c>
      <c r="F13" s="16" t="str">
        <f>IF('MASTER DATA'!F54="","",'MASTER DATA'!F54)</f>
        <v>N</v>
      </c>
      <c r="G13" s="17" t="str">
        <f>IF('MASTER DATA'!G54="","",'MASTER DATA'!G54)</f>
        <v/>
      </c>
      <c r="H13" s="16" t="str">
        <f>IF('MASTER DATA'!H54="","",'MASTER DATA'!H54)</f>
        <v/>
      </c>
      <c r="I13" s="15" t="str">
        <f>IF('MASTER DATA'!I54="","",'MASTER DATA'!I54)</f>
        <v/>
      </c>
      <c r="J13" s="16" t="str">
        <f>IF('MASTER DATA'!J54="","",'MASTER DATA'!J54)</f>
        <v>N</v>
      </c>
      <c r="K13" s="15" t="str">
        <f>IF('MASTER DATA'!K54="","",'MASTER DATA'!K54)</f>
        <v/>
      </c>
      <c r="L13" s="16" t="str">
        <f>IF('MASTER DATA'!L54="","",'MASTER DATA'!L54)</f>
        <v/>
      </c>
      <c r="M13" s="16" t="str">
        <f>IF('MASTER DATA'!M54="","",'MASTER DATA'!M54)</f>
        <v>N</v>
      </c>
      <c r="N13" s="15" t="str">
        <f>IF('MASTER DATA'!N54="","",'MASTER DATA'!N54)</f>
        <v/>
      </c>
      <c r="O13" s="16" t="str">
        <f>IF('MASTER DATA'!O54="","",'MASTER DATA'!O54)</f>
        <v/>
      </c>
      <c r="P13" s="16" t="str">
        <f>IF('MASTER DATA'!P54="","",'MASTER DATA'!P54)</f>
        <v>Y</v>
      </c>
      <c r="Q13" s="16" t="str">
        <f>IF('MASTER DATA'!Q54="","",'MASTER DATA'!Q54)</f>
        <v>MMI Date Reported</v>
      </c>
      <c r="R13" s="16" t="str">
        <f>IF('MASTER DATA'!R54="","",'MASTER DATA'!R54)</f>
        <v>MSA Eligible in Next 3 Years</v>
      </c>
      <c r="S13" s="16" t="str">
        <f>IF('MASTER DATA'!S54="","",'MASTER DATA'!S54)</f>
        <v>N</v>
      </c>
      <c r="T13" s="15" t="str">
        <f>IF('MASTER DATA'!T54="","",'MASTER DATA'!T54)</f>
        <v/>
      </c>
      <c r="U13" s="16" t="str">
        <f>IF('MASTER DATA'!U54="","",'MASTER DATA'!U54)</f>
        <v>N</v>
      </c>
      <c r="V13" s="16" t="str">
        <f>IF('MASTER DATA'!V54="","",'MASTER DATA'!V54)</f>
        <v>Y</v>
      </c>
      <c r="W13" s="16" t="str">
        <f>IF('MASTER DATA'!W54="","",'MASTER DATA'!W54)</f>
        <v>N</v>
      </c>
      <c r="X13" s="16" t="str">
        <f>IF('MASTER DATA'!X54="","",'MASTER DATA'!X54)</f>
        <v>N</v>
      </c>
      <c r="Y13" s="16" t="str">
        <f>IF('MASTER DATA'!Y54="","",'MASTER DATA'!Y54)</f>
        <v>N</v>
      </c>
      <c r="Z13" s="16" t="str">
        <f>IF('MASTER DATA'!Z54="","",'MASTER DATA'!Z54)</f>
        <v>Y</v>
      </c>
      <c r="AA13" s="16">
        <f>IF('MASTER DATA'!AA54="","",'MASTER DATA'!AA54)</f>
        <v>1</v>
      </c>
      <c r="AB13" s="16" t="str">
        <f>IF('MASTER DATA'!AB54="","",'MASTER DATA'!AB54)</f>
        <v>SINGLE-SIGNAL</v>
      </c>
      <c r="AC13" s="16" t="str">
        <f>IF('MASTER DATA'!AC54="","",'MASTER DATA'!AC54)</f>
        <v>Automated Claim Alert</v>
      </c>
    </row>
    <row r="14" spans="1:29" x14ac:dyDescent="0.45">
      <c r="A14" t="str">
        <f>IF('MASTER DATA'!A55="","",'MASTER DATA'!A55)</f>
        <v>SYN-CLM-0054</v>
      </c>
      <c r="B14" t="str">
        <f>IF('MASTER DATA'!B55="","",'MASTER DATA'!B55)</f>
        <v>Synthetic Claimant 0054</v>
      </c>
      <c r="C14" t="str">
        <f>IF('MASTER DATA'!C55="","",'MASTER DATA'!C55)</f>
        <v>Claims Analyst F</v>
      </c>
      <c r="D14" t="str">
        <f>IF('MASTER DATA'!D55="","",'MASTER DATA'!D55)</f>
        <v>Synthetic Policyholder 006, LLC</v>
      </c>
      <c r="E14" s="15">
        <f>IF('MASTER DATA'!E55="","",'MASTER DATA'!E55)</f>
        <v>43966</v>
      </c>
      <c r="F14" s="16" t="str">
        <f>IF('MASTER DATA'!F55="","",'MASTER DATA'!F55)</f>
        <v>N</v>
      </c>
      <c r="G14" s="17" t="str">
        <f>IF('MASTER DATA'!G55="","",'MASTER DATA'!G55)</f>
        <v/>
      </c>
      <c r="H14" s="16" t="str">
        <f>IF('MASTER DATA'!H55="","",'MASTER DATA'!H55)</f>
        <v/>
      </c>
      <c r="I14" s="15" t="str">
        <f>IF('MASTER DATA'!I55="","",'MASTER DATA'!I55)</f>
        <v/>
      </c>
      <c r="J14" s="16" t="str">
        <f>IF('MASTER DATA'!J55="","",'MASTER DATA'!J55)</f>
        <v>N</v>
      </c>
      <c r="K14" s="15" t="str">
        <f>IF('MASTER DATA'!K55="","",'MASTER DATA'!K55)</f>
        <v/>
      </c>
      <c r="L14" s="16" t="str">
        <f>IF('MASTER DATA'!L55="","",'MASTER DATA'!L55)</f>
        <v/>
      </c>
      <c r="M14" s="16" t="str">
        <f>IF('MASTER DATA'!M55="","",'MASTER DATA'!M55)</f>
        <v>N</v>
      </c>
      <c r="N14" s="15" t="str">
        <f>IF('MASTER DATA'!N55="","",'MASTER DATA'!N55)</f>
        <v/>
      </c>
      <c r="O14" s="16" t="str">
        <f>IF('MASTER DATA'!O55="","",'MASTER DATA'!O55)</f>
        <v/>
      </c>
      <c r="P14" s="16" t="str">
        <f>IF('MASTER DATA'!P55="","",'MASTER DATA'!P55)</f>
        <v>N</v>
      </c>
      <c r="Q14" s="16" t="str">
        <f>IF('MASTER DATA'!Q55="","",'MASTER DATA'!Q55)</f>
        <v/>
      </c>
      <c r="R14" s="16" t="str">
        <f>IF('MASTER DATA'!R55="","",'MASTER DATA'!R55)</f>
        <v/>
      </c>
      <c r="S14" s="16" t="str">
        <f>IF('MASTER DATA'!S55="","",'MASTER DATA'!S55)</f>
        <v>Y</v>
      </c>
      <c r="T14" s="15">
        <f>IF('MASTER DATA'!T55="","",'MASTER DATA'!T55)</f>
        <v>44971</v>
      </c>
      <c r="U14" s="16" t="str">
        <f>IF('MASTER DATA'!U55="","",'MASTER DATA'!U55)</f>
        <v>N</v>
      </c>
      <c r="V14" s="16" t="str">
        <f>IF('MASTER DATA'!V55="","",'MASTER DATA'!V55)</f>
        <v>N</v>
      </c>
      <c r="W14" s="16" t="str">
        <f>IF('MASTER DATA'!W55="","",'MASTER DATA'!W55)</f>
        <v>N</v>
      </c>
      <c r="X14" s="16" t="str">
        <f>IF('MASTER DATA'!X55="","",'MASTER DATA'!X55)</f>
        <v>N</v>
      </c>
      <c r="Y14" s="16" t="str">
        <f>IF('MASTER DATA'!Y55="","",'MASTER DATA'!Y55)</f>
        <v>N</v>
      </c>
      <c r="Z14" s="16" t="str">
        <f>IF('MASTER DATA'!Z55="","",'MASTER DATA'!Z55)</f>
        <v>N</v>
      </c>
      <c r="AA14" s="16">
        <f>IF('MASTER DATA'!AA55="","",'MASTER DATA'!AA55)</f>
        <v>1</v>
      </c>
      <c r="AB14" s="16" t="str">
        <f>IF('MASTER DATA'!AB55="","",'MASTER DATA'!AB55)</f>
        <v>SINGLE-SIGNAL</v>
      </c>
      <c r="AC14" s="16" t="str">
        <f>IF('MASTER DATA'!AC55="","",'MASTER DATA'!AC55)</f>
        <v>Inactive Customer</v>
      </c>
    </row>
    <row r="15" spans="1:29" x14ac:dyDescent="0.45">
      <c r="A15" t="str">
        <f>IF('MASTER DATA'!A56="","",'MASTER DATA'!A56)</f>
        <v>SYN-CLM-0055</v>
      </c>
      <c r="B15" t="str">
        <f>IF('MASTER DATA'!B56="","",'MASTER DATA'!B56)</f>
        <v>Synthetic Claimant 0055</v>
      </c>
      <c r="C15" t="str">
        <f>IF('MASTER DATA'!C56="","",'MASTER DATA'!C56)</f>
        <v>Claims Analyst F</v>
      </c>
      <c r="D15" t="str">
        <f>IF('MASTER DATA'!D56="","",'MASTER DATA'!D56)</f>
        <v>Synthetic Policyholder 007, LLC</v>
      </c>
      <c r="E15" s="15">
        <f>IF('MASTER DATA'!E56="","",'MASTER DATA'!E56)</f>
        <v>43944</v>
      </c>
      <c r="F15" s="16" t="str">
        <f>IF('MASTER DATA'!F56="","",'MASTER DATA'!F56)</f>
        <v>Y</v>
      </c>
      <c r="G15" s="17">
        <f>IF('MASTER DATA'!G56="","",'MASTER DATA'!G56)</f>
        <v>118750</v>
      </c>
      <c r="H15" s="16" t="str">
        <f>IF('MASTER DATA'!H56="","",'MASTER DATA'!H56)</f>
        <v>Synthetic Approver 03</v>
      </c>
      <c r="I15" s="15">
        <f>IF('MASTER DATA'!I56="","",'MASTER DATA'!I56)</f>
        <v>44028</v>
      </c>
      <c r="J15" s="16" t="str">
        <f>IF('MASTER DATA'!J56="","",'MASTER DATA'!J56)</f>
        <v>N</v>
      </c>
      <c r="K15" s="15" t="str">
        <f>IF('MASTER DATA'!K56="","",'MASTER DATA'!K56)</f>
        <v/>
      </c>
      <c r="L15" s="16" t="str">
        <f>IF('MASTER DATA'!L56="","",'MASTER DATA'!L56)</f>
        <v>Y</v>
      </c>
      <c r="M15" s="16" t="str">
        <f>IF('MASTER DATA'!M56="","",'MASTER DATA'!M56)</f>
        <v>N</v>
      </c>
      <c r="N15" s="15" t="str">
        <f>IF('MASTER DATA'!N56="","",'MASTER DATA'!N56)</f>
        <v/>
      </c>
      <c r="O15" s="16" t="str">
        <f>IF('MASTER DATA'!O56="","",'MASTER DATA'!O56)</f>
        <v/>
      </c>
      <c r="P15" s="16" t="str">
        <f>IF('MASTER DATA'!P56="","",'MASTER DATA'!P56)</f>
        <v>N</v>
      </c>
      <c r="Q15" s="16" t="str">
        <f>IF('MASTER DATA'!Q56="","",'MASTER DATA'!Q56)</f>
        <v/>
      </c>
      <c r="R15" s="16" t="str">
        <f>IF('MASTER DATA'!R56="","",'MASTER DATA'!R56)</f>
        <v/>
      </c>
      <c r="S15" s="16" t="str">
        <f>IF('MASTER DATA'!S56="","",'MASTER DATA'!S56)</f>
        <v>N</v>
      </c>
      <c r="T15" s="15" t="str">
        <f>IF('MASTER DATA'!T56="","",'MASTER DATA'!T56)</f>
        <v/>
      </c>
      <c r="U15" s="16" t="str">
        <f>IF('MASTER DATA'!U56="","",'MASTER DATA'!U56)</f>
        <v>N</v>
      </c>
      <c r="V15" s="16" t="str">
        <f>IF('MASTER DATA'!V56="","",'MASTER DATA'!V56)</f>
        <v>N</v>
      </c>
      <c r="W15" s="16" t="str">
        <f>IF('MASTER DATA'!W56="","",'MASTER DATA'!W56)</f>
        <v>N</v>
      </c>
      <c r="X15" s="16" t="str">
        <f>IF('MASTER DATA'!X56="","",'MASTER DATA'!X56)</f>
        <v>N</v>
      </c>
      <c r="Y15" s="16" t="str">
        <f>IF('MASTER DATA'!Y56="","",'MASTER DATA'!Y56)</f>
        <v>N</v>
      </c>
      <c r="Z15" s="16" t="str">
        <f>IF('MASTER DATA'!Z56="","",'MASTER DATA'!Z56)</f>
        <v>N</v>
      </c>
      <c r="AA15" s="16">
        <f>IF('MASTER DATA'!AA56="","",'MASTER DATA'!AA56)</f>
        <v>1</v>
      </c>
      <c r="AB15" s="16" t="str">
        <f>IF('MASTER DATA'!AB56="","",'MASTER DATA'!AB56)</f>
        <v>SINGLE-SIGNAL</v>
      </c>
      <c r="AC15" s="16" t="str">
        <f>IF('MASTER DATA'!AC56="","",'MASTER DATA'!AC56)</f>
        <v>Settlement Authorization</v>
      </c>
    </row>
    <row r="16" spans="1:29" x14ac:dyDescent="0.45">
      <c r="A16" t="str">
        <f>IF('MASTER DATA'!A57="","",'MASTER DATA'!A57)</f>
        <v>SYN-CLM-0056</v>
      </c>
      <c r="B16" t="str">
        <f>IF('MASTER DATA'!B57="","",'MASTER DATA'!B57)</f>
        <v>Synthetic Claimant 0056</v>
      </c>
      <c r="C16" t="str">
        <f>IF('MASTER DATA'!C57="","",'MASTER DATA'!C57)</f>
        <v>Claims Analyst F</v>
      </c>
      <c r="D16" t="str">
        <f>IF('MASTER DATA'!D57="","",'MASTER DATA'!D57)</f>
        <v>Synthetic Policyholder 096, LLC</v>
      </c>
      <c r="E16" s="15">
        <f>IF('MASTER DATA'!E57="","",'MASTER DATA'!E57)</f>
        <v>45062</v>
      </c>
      <c r="F16" s="16" t="str">
        <f>IF('MASTER DATA'!F57="","",'MASTER DATA'!F57)</f>
        <v>Y</v>
      </c>
      <c r="G16" s="17">
        <f>IF('MASTER DATA'!G57="","",'MASTER DATA'!G57)</f>
        <v>132250</v>
      </c>
      <c r="H16" s="16" t="str">
        <f>IF('MASTER DATA'!H57="","",'MASTER DATA'!H57)</f>
        <v>Synthetic Approver 02</v>
      </c>
      <c r="I16" s="15">
        <f>IF('MASTER DATA'!I57="","",'MASTER DATA'!I57)</f>
        <v>45342</v>
      </c>
      <c r="J16" s="16" t="str">
        <f>IF('MASTER DATA'!J57="","",'MASTER DATA'!J57)</f>
        <v>N</v>
      </c>
      <c r="K16" s="15" t="str">
        <f>IF('MASTER DATA'!K57="","",'MASTER DATA'!K57)</f>
        <v/>
      </c>
      <c r="L16" s="16" t="str">
        <f>IF('MASTER DATA'!L57="","",'MASTER DATA'!L57)</f>
        <v>Y</v>
      </c>
      <c r="M16" s="16" t="str">
        <f>IF('MASTER DATA'!M57="","",'MASTER DATA'!M57)</f>
        <v>N</v>
      </c>
      <c r="N16" s="15" t="str">
        <f>IF('MASTER DATA'!N57="","",'MASTER DATA'!N57)</f>
        <v/>
      </c>
      <c r="O16" s="16" t="str">
        <f>IF('MASTER DATA'!O57="","",'MASTER DATA'!O57)</f>
        <v/>
      </c>
      <c r="P16" s="16" t="str">
        <f>IF('MASTER DATA'!P57="","",'MASTER DATA'!P57)</f>
        <v>N</v>
      </c>
      <c r="Q16" s="16" t="str">
        <f>IF('MASTER DATA'!Q57="","",'MASTER DATA'!Q57)</f>
        <v/>
      </c>
      <c r="R16" s="16" t="str">
        <f>IF('MASTER DATA'!R57="","",'MASTER DATA'!R57)</f>
        <v/>
      </c>
      <c r="S16" s="16" t="str">
        <f>IF('MASTER DATA'!S57="","",'MASTER DATA'!S57)</f>
        <v>N</v>
      </c>
      <c r="T16" s="15" t="str">
        <f>IF('MASTER DATA'!T57="","",'MASTER DATA'!T57)</f>
        <v/>
      </c>
      <c r="U16" s="16" t="str">
        <f>IF('MASTER DATA'!U57="","",'MASTER DATA'!U57)</f>
        <v>N</v>
      </c>
      <c r="V16" s="16" t="str">
        <f>IF('MASTER DATA'!V57="","",'MASTER DATA'!V57)</f>
        <v>N</v>
      </c>
      <c r="W16" s="16" t="str">
        <f>IF('MASTER DATA'!W57="","",'MASTER DATA'!W57)</f>
        <v>N</v>
      </c>
      <c r="X16" s="16" t="str">
        <f>IF('MASTER DATA'!X57="","",'MASTER DATA'!X57)</f>
        <v>N</v>
      </c>
      <c r="Y16" s="16" t="str">
        <f>IF('MASTER DATA'!Y57="","",'MASTER DATA'!Y57)</f>
        <v>N</v>
      </c>
      <c r="Z16" s="16" t="str">
        <f>IF('MASTER DATA'!Z57="","",'MASTER DATA'!Z57)</f>
        <v>N</v>
      </c>
      <c r="AA16" s="16">
        <f>IF('MASTER DATA'!AA57="","",'MASTER DATA'!AA57)</f>
        <v>1</v>
      </c>
      <c r="AB16" s="16" t="str">
        <f>IF('MASTER DATA'!AB57="","",'MASTER DATA'!AB57)</f>
        <v>SINGLE-SIGNAL</v>
      </c>
      <c r="AC16" s="16" t="str">
        <f>IF('MASTER DATA'!AC57="","",'MASTER DATA'!AC57)</f>
        <v>Settlement Authorization</v>
      </c>
    </row>
    <row r="17" spans="1:29" x14ac:dyDescent="0.45">
      <c r="A17" t="str">
        <f>IF('MASTER DATA'!A58="","",'MASTER DATA'!A58)</f>
        <v>SYN-CLM-0057</v>
      </c>
      <c r="B17" t="str">
        <f>IF('MASTER DATA'!B58="","",'MASTER DATA'!B58)</f>
        <v>Synthetic Claimant 0057</v>
      </c>
      <c r="C17" t="str">
        <f>IF('MASTER DATA'!C58="","",'MASTER DATA'!C58)</f>
        <v>Claims Analyst F</v>
      </c>
      <c r="D17" t="str">
        <f>IF('MASTER DATA'!D58="","",'MASTER DATA'!D58)</f>
        <v>Synthetic Policyholder 074, LLC</v>
      </c>
      <c r="E17" s="15">
        <f>IF('MASTER DATA'!E58="","",'MASTER DATA'!E58)</f>
        <v>44337</v>
      </c>
      <c r="F17" s="16" t="str">
        <f>IF('MASTER DATA'!F58="","",'MASTER DATA'!F58)</f>
        <v>Y</v>
      </c>
      <c r="G17" s="17">
        <f>IF('MASTER DATA'!G58="","",'MASTER DATA'!G58)</f>
        <v>51750</v>
      </c>
      <c r="H17" s="16" t="str">
        <f>IF('MASTER DATA'!H58="","",'MASTER DATA'!H58)</f>
        <v>Synthetic Approver 12</v>
      </c>
      <c r="I17" s="15">
        <f>IF('MASTER DATA'!I58="","",'MASTER DATA'!I58)</f>
        <v>45836</v>
      </c>
      <c r="J17" s="16" t="str">
        <f>IF('MASTER DATA'!J58="","",'MASTER DATA'!J58)</f>
        <v>N</v>
      </c>
      <c r="K17" s="15" t="str">
        <f>IF('MASTER DATA'!K58="","",'MASTER DATA'!K58)</f>
        <v/>
      </c>
      <c r="L17" s="16" t="str">
        <f>IF('MASTER DATA'!L58="","",'MASTER DATA'!L58)</f>
        <v>Y</v>
      </c>
      <c r="M17" s="16" t="str">
        <f>IF('MASTER DATA'!M58="","",'MASTER DATA'!M58)</f>
        <v>N</v>
      </c>
      <c r="N17" s="15" t="str">
        <f>IF('MASTER DATA'!N58="","",'MASTER DATA'!N58)</f>
        <v/>
      </c>
      <c r="O17" s="16" t="str">
        <f>IF('MASTER DATA'!O58="","",'MASTER DATA'!O58)</f>
        <v/>
      </c>
      <c r="P17" s="16" t="str">
        <f>IF('MASTER DATA'!P58="","",'MASTER DATA'!P58)</f>
        <v>N</v>
      </c>
      <c r="Q17" s="16" t="str">
        <f>IF('MASTER DATA'!Q58="","",'MASTER DATA'!Q58)</f>
        <v/>
      </c>
      <c r="R17" s="16" t="str">
        <f>IF('MASTER DATA'!R58="","",'MASTER DATA'!R58)</f>
        <v/>
      </c>
      <c r="S17" s="16" t="str">
        <f>IF('MASTER DATA'!S58="","",'MASTER DATA'!S58)</f>
        <v>N</v>
      </c>
      <c r="T17" s="15" t="str">
        <f>IF('MASTER DATA'!T58="","",'MASTER DATA'!T58)</f>
        <v/>
      </c>
      <c r="U17" s="16" t="str">
        <f>IF('MASTER DATA'!U58="","",'MASTER DATA'!U58)</f>
        <v>N</v>
      </c>
      <c r="V17" s="16" t="str">
        <f>IF('MASTER DATA'!V58="","",'MASTER DATA'!V58)</f>
        <v>N</v>
      </c>
      <c r="W17" s="16" t="str">
        <f>IF('MASTER DATA'!W58="","",'MASTER DATA'!W58)</f>
        <v>N</v>
      </c>
      <c r="X17" s="16" t="str">
        <f>IF('MASTER DATA'!X58="","",'MASTER DATA'!X58)</f>
        <v>N</v>
      </c>
      <c r="Y17" s="16" t="str">
        <f>IF('MASTER DATA'!Y58="","",'MASTER DATA'!Y58)</f>
        <v>N</v>
      </c>
      <c r="Z17" s="16" t="str">
        <f>IF('MASTER DATA'!Z58="","",'MASTER DATA'!Z58)</f>
        <v>N</v>
      </c>
      <c r="AA17" s="16">
        <f>IF('MASTER DATA'!AA58="","",'MASTER DATA'!AA58)</f>
        <v>1</v>
      </c>
      <c r="AB17" s="16" t="str">
        <f>IF('MASTER DATA'!AB58="","",'MASTER DATA'!AB58)</f>
        <v>SINGLE-SIGNAL</v>
      </c>
      <c r="AC17" s="16" t="str">
        <f>IF('MASTER DATA'!AC58="","",'MASTER DATA'!AC58)</f>
        <v>Settlement Authorization</v>
      </c>
    </row>
    <row r="18" spans="1:29" x14ac:dyDescent="0.45">
      <c r="A18" t="str">
        <f>IF('MASTER DATA'!A59="","",'MASTER DATA'!A59)</f>
        <v>SYN-CLM-0058</v>
      </c>
      <c r="B18" t="str">
        <f>IF('MASTER DATA'!B59="","",'MASTER DATA'!B59)</f>
        <v>Synthetic Claimant 0058</v>
      </c>
      <c r="C18" t="str">
        <f>IF('MASTER DATA'!C59="","",'MASTER DATA'!C59)</f>
        <v>Claims Analyst F</v>
      </c>
      <c r="D18" t="str">
        <f>IF('MASTER DATA'!D59="","",'MASTER DATA'!D59)</f>
        <v>Synthetic Policyholder 109, LLC</v>
      </c>
      <c r="E18" s="15">
        <f>IF('MASTER DATA'!E59="","",'MASTER DATA'!E59)</f>
        <v>44034</v>
      </c>
      <c r="F18" s="16" t="str">
        <f>IF('MASTER DATA'!F59="","",'MASTER DATA'!F59)</f>
        <v>Y</v>
      </c>
      <c r="G18" s="17">
        <f>IF('MASTER DATA'!G59="","",'MASTER DATA'!G59)</f>
        <v>30000</v>
      </c>
      <c r="H18" s="16" t="str">
        <f>IF('MASTER DATA'!H59="","",'MASTER DATA'!H59)</f>
        <v>Synthetic Approver 11</v>
      </c>
      <c r="I18" s="15">
        <f>IF('MASTER DATA'!I59="","",'MASTER DATA'!I59)</f>
        <v>44530</v>
      </c>
      <c r="J18" s="16" t="str">
        <f>IF('MASTER DATA'!J59="","",'MASTER DATA'!J59)</f>
        <v>N</v>
      </c>
      <c r="K18" s="15" t="str">
        <f>IF('MASTER DATA'!K59="","",'MASTER DATA'!K59)</f>
        <v/>
      </c>
      <c r="L18" s="16" t="str">
        <f>IF('MASTER DATA'!L59="","",'MASTER DATA'!L59)</f>
        <v>N</v>
      </c>
      <c r="M18" s="16" t="str">
        <f>IF('MASTER DATA'!M59="","",'MASTER DATA'!M59)</f>
        <v>N</v>
      </c>
      <c r="N18" s="15" t="str">
        <f>IF('MASTER DATA'!N59="","",'MASTER DATA'!N59)</f>
        <v/>
      </c>
      <c r="O18" s="16" t="str">
        <f>IF('MASTER DATA'!O59="","",'MASTER DATA'!O59)</f>
        <v/>
      </c>
      <c r="P18" s="16" t="str">
        <f>IF('MASTER DATA'!P59="","",'MASTER DATA'!P59)</f>
        <v>N</v>
      </c>
      <c r="Q18" s="16" t="str">
        <f>IF('MASTER DATA'!Q59="","",'MASTER DATA'!Q59)</f>
        <v/>
      </c>
      <c r="R18" s="16" t="str">
        <f>IF('MASTER DATA'!R59="","",'MASTER DATA'!R59)</f>
        <v/>
      </c>
      <c r="S18" s="16" t="str">
        <f>IF('MASTER DATA'!S59="","",'MASTER DATA'!S59)</f>
        <v>Y</v>
      </c>
      <c r="T18" s="15">
        <f>IF('MASTER DATA'!T59="","",'MASTER DATA'!T59)</f>
        <v>45573</v>
      </c>
      <c r="U18" s="16" t="str">
        <f>IF('MASTER DATA'!U59="","",'MASTER DATA'!U59)</f>
        <v>N</v>
      </c>
      <c r="V18" s="16" t="str">
        <f>IF('MASTER DATA'!V59="","",'MASTER DATA'!V59)</f>
        <v>N</v>
      </c>
      <c r="W18" s="16" t="str">
        <f>IF('MASTER DATA'!W59="","",'MASTER DATA'!W59)</f>
        <v>N</v>
      </c>
      <c r="X18" s="16" t="str">
        <f>IF('MASTER DATA'!X59="","",'MASTER DATA'!X59)</f>
        <v>N</v>
      </c>
      <c r="Y18" s="16" t="str">
        <f>IF('MASTER DATA'!Y59="","",'MASTER DATA'!Y59)</f>
        <v>N</v>
      </c>
      <c r="Z18" s="16" t="str">
        <f>IF('MASTER DATA'!Z59="","",'MASTER DATA'!Z59)</f>
        <v>N</v>
      </c>
      <c r="AA18" s="16">
        <f>IF('MASTER DATA'!AA59="","",'MASTER DATA'!AA59)</f>
        <v>2</v>
      </c>
      <c r="AB18" s="16" t="str">
        <f>IF('MASTER DATA'!AB59="","",'MASTER DATA'!AB59)</f>
        <v>MULTI-SIGNAL</v>
      </c>
      <c r="AC18" s="16" t="str">
        <f>IF('MASTER DATA'!AC59="","",'MASTER DATA'!AC59)</f>
        <v>Settlement Authorization | Inactive Customer</v>
      </c>
    </row>
    <row r="19" spans="1:29" x14ac:dyDescent="0.45">
      <c r="A19" t="str">
        <f>IF('MASTER DATA'!A261="","",'MASTER DATA'!A261)</f>
        <v>SYN-CLM-0260</v>
      </c>
      <c r="B19" t="str">
        <f>IF('MASTER DATA'!B261="","",'MASTER DATA'!B261)</f>
        <v>Synthetic Claimant 0260</v>
      </c>
      <c r="C19" t="str">
        <f>IF('MASTER DATA'!C261="","",'MASTER DATA'!C261)</f>
        <v>Claims Analyst F</v>
      </c>
      <c r="D19" t="str">
        <f>IF('MASTER DATA'!D261="","",'MASTER DATA'!D261)</f>
        <v>Synthetic Policyholder 095, LLC</v>
      </c>
      <c r="E19" s="15">
        <f>IF('MASTER DATA'!E261="","",'MASTER DATA'!E261)</f>
        <v>44247</v>
      </c>
      <c r="F19" s="16" t="str">
        <f>IF('MASTER DATA'!F261="","",'MASTER DATA'!F261)</f>
        <v>N</v>
      </c>
      <c r="G19" s="17" t="str">
        <f>IF('MASTER DATA'!G261="","",'MASTER DATA'!G261)</f>
        <v/>
      </c>
      <c r="H19" s="16" t="str">
        <f>IF('MASTER DATA'!H261="","",'MASTER DATA'!H261)</f>
        <v/>
      </c>
      <c r="I19" s="15" t="str">
        <f>IF('MASTER DATA'!I261="","",'MASTER DATA'!I261)</f>
        <v/>
      </c>
      <c r="J19" s="16" t="str">
        <f>IF('MASTER DATA'!J261="","",'MASTER DATA'!J261)</f>
        <v>N</v>
      </c>
      <c r="K19" s="15" t="str">
        <f>IF('MASTER DATA'!K261="","",'MASTER DATA'!K261)</f>
        <v/>
      </c>
      <c r="L19" s="16" t="str">
        <f>IF('MASTER DATA'!L261="","",'MASTER DATA'!L261)</f>
        <v/>
      </c>
      <c r="M19" s="16" t="str">
        <f>IF('MASTER DATA'!M261="","",'MASTER DATA'!M261)</f>
        <v>N</v>
      </c>
      <c r="N19" s="15" t="str">
        <f>IF('MASTER DATA'!N261="","",'MASTER DATA'!N261)</f>
        <v/>
      </c>
      <c r="O19" s="16" t="str">
        <f>IF('MASTER DATA'!O261="","",'MASTER DATA'!O261)</f>
        <v/>
      </c>
      <c r="P19" s="16" t="str">
        <f>IF('MASTER DATA'!P261="","",'MASTER DATA'!P261)</f>
        <v>N</v>
      </c>
      <c r="Q19" s="16" t="str">
        <f>IF('MASTER DATA'!Q261="","",'MASTER DATA'!Q261)</f>
        <v/>
      </c>
      <c r="R19" s="16" t="str">
        <f>IF('MASTER DATA'!R261="","",'MASTER DATA'!R261)</f>
        <v/>
      </c>
      <c r="S19" s="16" t="str">
        <f>IF('MASTER DATA'!S261="","",'MASTER DATA'!S261)</f>
        <v>Y</v>
      </c>
      <c r="T19" s="15">
        <f>IF('MASTER DATA'!T261="","",'MASTER DATA'!T261)</f>
        <v>44944</v>
      </c>
      <c r="U19" s="16" t="str">
        <f>IF('MASTER DATA'!U261="","",'MASTER DATA'!U261)</f>
        <v>N</v>
      </c>
      <c r="V19" s="16" t="str">
        <f>IF('MASTER DATA'!V261="","",'MASTER DATA'!V261)</f>
        <v>N</v>
      </c>
      <c r="W19" s="16" t="str">
        <f>IF('MASTER DATA'!W261="","",'MASTER DATA'!W261)</f>
        <v>N</v>
      </c>
      <c r="X19" s="16" t="str">
        <f>IF('MASTER DATA'!X261="","",'MASTER DATA'!X261)</f>
        <v>N</v>
      </c>
      <c r="Y19" s="16" t="str">
        <f>IF('MASTER DATA'!Y261="","",'MASTER DATA'!Y261)</f>
        <v>N</v>
      </c>
      <c r="Z19" s="16" t="str">
        <f>IF('MASTER DATA'!Z261="","",'MASTER DATA'!Z261)</f>
        <v>N</v>
      </c>
      <c r="AA19" s="16">
        <f>IF('MASTER DATA'!AA261="","",'MASTER DATA'!AA261)</f>
        <v>1</v>
      </c>
      <c r="AB19" s="16" t="str">
        <f>IF('MASTER DATA'!AB261="","",'MASTER DATA'!AB261)</f>
        <v>SINGLE-SIGNAL</v>
      </c>
      <c r="AC19" s="16" t="str">
        <f>IF('MASTER DATA'!AC261="","",'MASTER DATA'!AC261)</f>
        <v>Inactive Customer</v>
      </c>
    </row>
    <row r="20" spans="1:29" x14ac:dyDescent="0.45">
      <c r="A20" t="str">
        <f>IF('MASTER DATA'!A262="","",'MASTER DATA'!A262)</f>
        <v>SYN-CLM-0261</v>
      </c>
      <c r="B20" t="str">
        <f>IF('MASTER DATA'!B262="","",'MASTER DATA'!B262)</f>
        <v>Synthetic Claimant 0261</v>
      </c>
      <c r="C20" t="str">
        <f>IF('MASTER DATA'!C262="","",'MASTER DATA'!C262)</f>
        <v>Claims Analyst F</v>
      </c>
      <c r="D20" t="str">
        <f>IF('MASTER DATA'!D262="","",'MASTER DATA'!D262)</f>
        <v>Synthetic Policyholder 099, LLC</v>
      </c>
      <c r="E20" s="15">
        <f>IF('MASTER DATA'!E262="","",'MASTER DATA'!E262)</f>
        <v>45126</v>
      </c>
      <c r="F20" s="16" t="str">
        <f>IF('MASTER DATA'!F262="","",'MASTER DATA'!F262)</f>
        <v>Y</v>
      </c>
      <c r="G20" s="17">
        <f>IF('MASTER DATA'!G262="","",'MASTER DATA'!G262)</f>
        <v>146500</v>
      </c>
      <c r="H20" s="16" t="str">
        <f>IF('MASTER DATA'!H262="","",'MASTER DATA'!H262)</f>
        <v>Synthetic Approver 01</v>
      </c>
      <c r="I20" s="15">
        <f>IF('MASTER DATA'!I262="","",'MASTER DATA'!I262)</f>
        <v>45635</v>
      </c>
      <c r="J20" s="16" t="str">
        <f>IF('MASTER DATA'!J262="","",'MASTER DATA'!J262)</f>
        <v>N</v>
      </c>
      <c r="K20" s="15" t="str">
        <f>IF('MASTER DATA'!K262="","",'MASTER DATA'!K262)</f>
        <v/>
      </c>
      <c r="L20" s="16" t="str">
        <f>IF('MASTER DATA'!L262="","",'MASTER DATA'!L262)</f>
        <v>N</v>
      </c>
      <c r="M20" s="16" t="str">
        <f>IF('MASTER DATA'!M262="","",'MASTER DATA'!M262)</f>
        <v>N</v>
      </c>
      <c r="N20" s="15" t="str">
        <f>IF('MASTER DATA'!N262="","",'MASTER DATA'!N262)</f>
        <v/>
      </c>
      <c r="O20" s="16" t="str">
        <f>IF('MASTER DATA'!O262="","",'MASTER DATA'!O262)</f>
        <v/>
      </c>
      <c r="P20" s="16" t="str">
        <f>IF('MASTER DATA'!P262="","",'MASTER DATA'!P262)</f>
        <v>N</v>
      </c>
      <c r="Q20" s="16" t="str">
        <f>IF('MASTER DATA'!Q262="","",'MASTER DATA'!Q262)</f>
        <v/>
      </c>
      <c r="R20" s="16" t="str">
        <f>IF('MASTER DATA'!R262="","",'MASTER DATA'!R262)</f>
        <v/>
      </c>
      <c r="S20" s="16" t="str">
        <f>IF('MASTER DATA'!S262="","",'MASTER DATA'!S262)</f>
        <v>N</v>
      </c>
      <c r="T20" s="15" t="str">
        <f>IF('MASTER DATA'!T262="","",'MASTER DATA'!T262)</f>
        <v/>
      </c>
      <c r="U20" s="16" t="str">
        <f>IF('MASTER DATA'!U262="","",'MASTER DATA'!U262)</f>
        <v>N</v>
      </c>
      <c r="V20" s="16" t="str">
        <f>IF('MASTER DATA'!V262="","",'MASTER DATA'!V262)</f>
        <v>N</v>
      </c>
      <c r="W20" s="16" t="str">
        <f>IF('MASTER DATA'!W262="","",'MASTER DATA'!W262)</f>
        <v>N</v>
      </c>
      <c r="X20" s="16" t="str">
        <f>IF('MASTER DATA'!X262="","",'MASTER DATA'!X262)</f>
        <v>N</v>
      </c>
      <c r="Y20" s="16" t="str">
        <f>IF('MASTER DATA'!Y262="","",'MASTER DATA'!Y262)</f>
        <v>N</v>
      </c>
      <c r="Z20" s="16" t="str">
        <f>IF('MASTER DATA'!Z262="","",'MASTER DATA'!Z262)</f>
        <v>N</v>
      </c>
      <c r="AA20" s="16">
        <f>IF('MASTER DATA'!AA262="","",'MASTER DATA'!AA262)</f>
        <v>1</v>
      </c>
      <c r="AB20" s="16" t="str">
        <f>IF('MASTER DATA'!AB262="","",'MASTER DATA'!AB262)</f>
        <v>SINGLE-SIGNAL</v>
      </c>
      <c r="AC20" s="16" t="str">
        <f>IF('MASTER DATA'!AC262="","",'MASTER DATA'!AC262)</f>
        <v>Settlement Authorization</v>
      </c>
    </row>
    <row r="21" spans="1:29" x14ac:dyDescent="0.45">
      <c r="A21" t="str">
        <f>IF('MASTER DATA'!A263="","",'MASTER DATA'!A263)</f>
        <v>SYN-CLM-0262</v>
      </c>
      <c r="B21" t="str">
        <f>IF('MASTER DATA'!B263="","",'MASTER DATA'!B263)</f>
        <v>Synthetic Claimant 0262</v>
      </c>
      <c r="C21" t="str">
        <f>IF('MASTER DATA'!C263="","",'MASTER DATA'!C263)</f>
        <v>Claims Analyst F</v>
      </c>
      <c r="D21" t="str">
        <f>IF('MASTER DATA'!D263="","",'MASTER DATA'!D263)</f>
        <v>Synthetic Policyholder 132, LLC</v>
      </c>
      <c r="E21" s="15">
        <f>IF('MASTER DATA'!E263="","",'MASTER DATA'!E263)</f>
        <v>44567</v>
      </c>
      <c r="F21" s="16" t="str">
        <f>IF('MASTER DATA'!F263="","",'MASTER DATA'!F263)</f>
        <v>Y</v>
      </c>
      <c r="G21" s="17">
        <f>IF('MASTER DATA'!G263="","",'MASTER DATA'!G263)</f>
        <v>34250</v>
      </c>
      <c r="H21" s="16" t="str">
        <f>IF('MASTER DATA'!H263="","",'MASTER DATA'!H263)</f>
        <v>Synthetic Approver 08</v>
      </c>
      <c r="I21" s="15">
        <f>IF('MASTER DATA'!I263="","",'MASTER DATA'!I263)</f>
        <v>45849</v>
      </c>
      <c r="J21" s="16" t="str">
        <f>IF('MASTER DATA'!J263="","",'MASTER DATA'!J263)</f>
        <v>N</v>
      </c>
      <c r="K21" s="15" t="str">
        <f>IF('MASTER DATA'!K263="","",'MASTER DATA'!K263)</f>
        <v/>
      </c>
      <c r="L21" s="16" t="str">
        <f>IF('MASTER DATA'!L263="","",'MASTER DATA'!L263)</f>
        <v>Y</v>
      </c>
      <c r="M21" s="16" t="str">
        <f>IF('MASTER DATA'!M263="","",'MASTER DATA'!M263)</f>
        <v>N</v>
      </c>
      <c r="N21" s="15" t="str">
        <f>IF('MASTER DATA'!N263="","",'MASTER DATA'!N263)</f>
        <v/>
      </c>
      <c r="O21" s="16" t="str">
        <f>IF('MASTER DATA'!O263="","",'MASTER DATA'!O263)</f>
        <v/>
      </c>
      <c r="P21" s="16" t="str">
        <f>IF('MASTER DATA'!P263="","",'MASTER DATA'!P263)</f>
        <v>N</v>
      </c>
      <c r="Q21" s="16" t="str">
        <f>IF('MASTER DATA'!Q263="","",'MASTER DATA'!Q263)</f>
        <v/>
      </c>
      <c r="R21" s="16" t="str">
        <f>IF('MASTER DATA'!R263="","",'MASTER DATA'!R263)</f>
        <v/>
      </c>
      <c r="S21" s="16" t="str">
        <f>IF('MASTER DATA'!S263="","",'MASTER DATA'!S263)</f>
        <v>N</v>
      </c>
      <c r="T21" s="15" t="str">
        <f>IF('MASTER DATA'!T263="","",'MASTER DATA'!T263)</f>
        <v/>
      </c>
      <c r="U21" s="16" t="str">
        <f>IF('MASTER DATA'!U263="","",'MASTER DATA'!U263)</f>
        <v>N</v>
      </c>
      <c r="V21" s="16" t="str">
        <f>IF('MASTER DATA'!V263="","",'MASTER DATA'!V263)</f>
        <v>N</v>
      </c>
      <c r="W21" s="16" t="str">
        <f>IF('MASTER DATA'!W263="","",'MASTER DATA'!W263)</f>
        <v>N</v>
      </c>
      <c r="X21" s="16" t="str">
        <f>IF('MASTER DATA'!X263="","",'MASTER DATA'!X263)</f>
        <v>N</v>
      </c>
      <c r="Y21" s="16" t="str">
        <f>IF('MASTER DATA'!Y263="","",'MASTER DATA'!Y263)</f>
        <v>N</v>
      </c>
      <c r="Z21" s="16" t="str">
        <f>IF('MASTER DATA'!Z263="","",'MASTER DATA'!Z263)</f>
        <v>N</v>
      </c>
      <c r="AA21" s="16">
        <f>IF('MASTER DATA'!AA263="","",'MASTER DATA'!AA263)</f>
        <v>1</v>
      </c>
      <c r="AB21" s="16" t="str">
        <f>IF('MASTER DATA'!AB263="","",'MASTER DATA'!AB263)</f>
        <v>SINGLE-SIGNAL</v>
      </c>
      <c r="AC21" s="16" t="str">
        <f>IF('MASTER DATA'!AC263="","",'MASTER DATA'!AC263)</f>
        <v>Settlement Authorization</v>
      </c>
    </row>
    <row r="22" spans="1:29" x14ac:dyDescent="0.45">
      <c r="A22" t="str">
        <f>IF('MASTER DATA'!A264="","",'MASTER DATA'!A264)</f>
        <v>SYN-CLM-0263</v>
      </c>
      <c r="B22" t="str">
        <f>IF('MASTER DATA'!B264="","",'MASTER DATA'!B264)</f>
        <v>Synthetic Claimant 0263</v>
      </c>
      <c r="C22" t="str">
        <f>IF('MASTER DATA'!C264="","",'MASTER DATA'!C264)</f>
        <v>Claims Analyst F</v>
      </c>
      <c r="D22" t="str">
        <f>IF('MASTER DATA'!D264="","",'MASTER DATA'!D264)</f>
        <v>Synthetic Policyholder 126, LLC</v>
      </c>
      <c r="E22" s="15">
        <f>IF('MASTER DATA'!E264="","",'MASTER DATA'!E264)</f>
        <v>45467</v>
      </c>
      <c r="F22" s="16" t="str">
        <f>IF('MASTER DATA'!F264="","",'MASTER DATA'!F264)</f>
        <v>N</v>
      </c>
      <c r="G22" s="17" t="str">
        <f>IF('MASTER DATA'!G264="","",'MASTER DATA'!G264)</f>
        <v/>
      </c>
      <c r="H22" s="16" t="str">
        <f>IF('MASTER DATA'!H264="","",'MASTER DATA'!H264)</f>
        <v/>
      </c>
      <c r="I22" s="15" t="str">
        <f>IF('MASTER DATA'!I264="","",'MASTER DATA'!I264)</f>
        <v/>
      </c>
      <c r="J22" s="16" t="str">
        <f>IF('MASTER DATA'!J264="","",'MASTER DATA'!J264)</f>
        <v>N</v>
      </c>
      <c r="K22" s="15" t="str">
        <f>IF('MASTER DATA'!K264="","",'MASTER DATA'!K264)</f>
        <v/>
      </c>
      <c r="L22" s="16" t="str">
        <f>IF('MASTER DATA'!L264="","",'MASTER DATA'!L264)</f>
        <v/>
      </c>
      <c r="M22" s="16" t="str">
        <f>IF('MASTER DATA'!M264="","",'MASTER DATA'!M264)</f>
        <v>N</v>
      </c>
      <c r="N22" s="15" t="str">
        <f>IF('MASTER DATA'!N264="","",'MASTER DATA'!N264)</f>
        <v/>
      </c>
      <c r="O22" s="16" t="str">
        <f>IF('MASTER DATA'!O264="","",'MASTER DATA'!O264)</f>
        <v/>
      </c>
      <c r="P22" s="16" t="str">
        <f>IF('MASTER DATA'!P264="","",'MASTER DATA'!P264)</f>
        <v>Y</v>
      </c>
      <c r="Q22" s="16" t="str">
        <f>IF('MASTER DATA'!Q264="","",'MASTER DATA'!Q264)</f>
        <v>Denied Treatment Requests; Specialist Consultation Requested</v>
      </c>
      <c r="R22" s="16" t="str">
        <f>IF('MASTER DATA'!R264="","",'MASTER DATA'!R264)</f>
        <v/>
      </c>
      <c r="S22" s="16" t="str">
        <f>IF('MASTER DATA'!S264="","",'MASTER DATA'!S264)</f>
        <v>N</v>
      </c>
      <c r="T22" s="15" t="str">
        <f>IF('MASTER DATA'!T264="","",'MASTER DATA'!T264)</f>
        <v/>
      </c>
      <c r="U22" s="16" t="str">
        <f>IF('MASTER DATA'!U264="","",'MASTER DATA'!U264)</f>
        <v>N</v>
      </c>
      <c r="V22" s="16" t="str">
        <f>IF('MASTER DATA'!V264="","",'MASTER DATA'!V264)</f>
        <v>N</v>
      </c>
      <c r="W22" s="16" t="str">
        <f>IF('MASTER DATA'!W264="","",'MASTER DATA'!W264)</f>
        <v>Y</v>
      </c>
      <c r="X22" s="16" t="str">
        <f>IF('MASTER DATA'!X264="","",'MASTER DATA'!X264)</f>
        <v>Y</v>
      </c>
      <c r="Y22" s="16" t="str">
        <f>IF('MASTER DATA'!Y264="","",'MASTER DATA'!Y264)</f>
        <v>N</v>
      </c>
      <c r="Z22" s="16" t="str">
        <f>IF('MASTER DATA'!Z264="","",'MASTER DATA'!Z264)</f>
        <v>N</v>
      </c>
      <c r="AA22" s="16">
        <f>IF('MASTER DATA'!AA264="","",'MASTER DATA'!AA264)</f>
        <v>1</v>
      </c>
      <c r="AB22" s="16" t="str">
        <f>IF('MASTER DATA'!AB264="","",'MASTER DATA'!AB264)</f>
        <v>SINGLE-SIGNAL</v>
      </c>
      <c r="AC22" s="16" t="str">
        <f>IF('MASTER DATA'!AC264="","",'MASTER DATA'!AC264)</f>
        <v>Automated Claim Alert</v>
      </c>
    </row>
    <row r="23" spans="1:29" x14ac:dyDescent="0.45">
      <c r="A23" t="str">
        <f>IF('MASTER DATA'!A265="","",'MASTER DATA'!A265)</f>
        <v>SYN-CLM-0264</v>
      </c>
      <c r="B23" t="str">
        <f>IF('MASTER DATA'!B265="","",'MASTER DATA'!B265)</f>
        <v>Synthetic Claimant 0264</v>
      </c>
      <c r="C23" t="str">
        <f>IF('MASTER DATA'!C265="","",'MASTER DATA'!C265)</f>
        <v>Claims Analyst F</v>
      </c>
      <c r="D23" t="str">
        <f>IF('MASTER DATA'!D265="","",'MASTER DATA'!D265)</f>
        <v>Synthetic Policyholder 039, LLC</v>
      </c>
      <c r="E23" s="15">
        <f>IF('MASTER DATA'!E265="","",'MASTER DATA'!E265)</f>
        <v>44550</v>
      </c>
      <c r="F23" s="16" t="str">
        <f>IF('MASTER DATA'!F265="","",'MASTER DATA'!F265)</f>
        <v>N</v>
      </c>
      <c r="G23" s="17" t="str">
        <f>IF('MASTER DATA'!G265="","",'MASTER DATA'!G265)</f>
        <v/>
      </c>
      <c r="H23" s="16" t="str">
        <f>IF('MASTER DATA'!H265="","",'MASTER DATA'!H265)</f>
        <v/>
      </c>
      <c r="I23" s="15" t="str">
        <f>IF('MASTER DATA'!I265="","",'MASTER DATA'!I265)</f>
        <v/>
      </c>
      <c r="J23" s="16" t="str">
        <f>IF('MASTER DATA'!J265="","",'MASTER DATA'!J265)</f>
        <v>N</v>
      </c>
      <c r="K23" s="15" t="str">
        <f>IF('MASTER DATA'!K265="","",'MASTER DATA'!K265)</f>
        <v/>
      </c>
      <c r="L23" s="16" t="str">
        <f>IF('MASTER DATA'!L265="","",'MASTER DATA'!L265)</f>
        <v/>
      </c>
      <c r="M23" s="16" t="str">
        <f>IF('MASTER DATA'!M265="","",'MASTER DATA'!M265)</f>
        <v>N</v>
      </c>
      <c r="N23" s="15" t="str">
        <f>IF('MASTER DATA'!N265="","",'MASTER DATA'!N265)</f>
        <v/>
      </c>
      <c r="O23" s="16" t="str">
        <f>IF('MASTER DATA'!O265="","",'MASTER DATA'!O265)</f>
        <v/>
      </c>
      <c r="P23" s="16" t="str">
        <f>IF('MASTER DATA'!P265="","",'MASTER DATA'!P265)</f>
        <v>N</v>
      </c>
      <c r="Q23" s="16" t="str">
        <f>IF('MASTER DATA'!Q265="","",'MASTER DATA'!Q265)</f>
        <v/>
      </c>
      <c r="R23" s="16" t="str">
        <f>IF('MASTER DATA'!R265="","",'MASTER DATA'!R265)</f>
        <v/>
      </c>
      <c r="S23" s="16" t="str">
        <f>IF('MASTER DATA'!S265="","",'MASTER DATA'!S265)</f>
        <v>Y</v>
      </c>
      <c r="T23" s="15">
        <f>IF('MASTER DATA'!T265="","",'MASTER DATA'!T265)</f>
        <v>45219</v>
      </c>
      <c r="U23" s="16" t="str">
        <f>IF('MASTER DATA'!U265="","",'MASTER DATA'!U265)</f>
        <v>N</v>
      </c>
      <c r="V23" s="16" t="str">
        <f>IF('MASTER DATA'!V265="","",'MASTER DATA'!V265)</f>
        <v>N</v>
      </c>
      <c r="W23" s="16" t="str">
        <f>IF('MASTER DATA'!W265="","",'MASTER DATA'!W265)</f>
        <v>N</v>
      </c>
      <c r="X23" s="16" t="str">
        <f>IF('MASTER DATA'!X265="","",'MASTER DATA'!X265)</f>
        <v>N</v>
      </c>
      <c r="Y23" s="16" t="str">
        <f>IF('MASTER DATA'!Y265="","",'MASTER DATA'!Y265)</f>
        <v>N</v>
      </c>
      <c r="Z23" s="16" t="str">
        <f>IF('MASTER DATA'!Z265="","",'MASTER DATA'!Z265)</f>
        <v>N</v>
      </c>
      <c r="AA23" s="16">
        <f>IF('MASTER DATA'!AA265="","",'MASTER DATA'!AA265)</f>
        <v>1</v>
      </c>
      <c r="AB23" s="16" t="str">
        <f>IF('MASTER DATA'!AB265="","",'MASTER DATA'!AB265)</f>
        <v>SINGLE-SIGNAL</v>
      </c>
      <c r="AC23" s="16" t="str">
        <f>IF('MASTER DATA'!AC265="","",'MASTER DATA'!AC265)</f>
        <v>Inactive Customer</v>
      </c>
    </row>
    <row r="24" spans="1:29" x14ac:dyDescent="0.45">
      <c r="A24" t="str">
        <f>IF('MASTER DATA'!A266="","",'MASTER DATA'!A266)</f>
        <v>SYN-CLM-0265</v>
      </c>
      <c r="B24" t="str">
        <f>IF('MASTER DATA'!B266="","",'MASTER DATA'!B266)</f>
        <v>Synthetic Claimant 0265</v>
      </c>
      <c r="C24" t="str">
        <f>IF('MASTER DATA'!C266="","",'MASTER DATA'!C266)</f>
        <v>Claims Analyst F</v>
      </c>
      <c r="D24" t="str">
        <f>IF('MASTER DATA'!D266="","",'MASTER DATA'!D266)</f>
        <v>Synthetic Policyholder 012, LLC</v>
      </c>
      <c r="E24" s="15">
        <f>IF('MASTER DATA'!E266="","",'MASTER DATA'!E266)</f>
        <v>44916</v>
      </c>
      <c r="F24" s="16" t="str">
        <f>IF('MASTER DATA'!F266="","",'MASTER DATA'!F266)</f>
        <v>N</v>
      </c>
      <c r="G24" s="17" t="str">
        <f>IF('MASTER DATA'!G266="","",'MASTER DATA'!G266)</f>
        <v/>
      </c>
      <c r="H24" s="16" t="str">
        <f>IF('MASTER DATA'!H266="","",'MASTER DATA'!H266)</f>
        <v/>
      </c>
      <c r="I24" s="15" t="str">
        <f>IF('MASTER DATA'!I266="","",'MASTER DATA'!I266)</f>
        <v/>
      </c>
      <c r="J24" s="16" t="str">
        <f>IF('MASTER DATA'!J266="","",'MASTER DATA'!J266)</f>
        <v>Y</v>
      </c>
      <c r="K24" s="15">
        <f>IF('MASTER DATA'!K266="","",'MASTER DATA'!K266)</f>
        <v>45577</v>
      </c>
      <c r="L24" s="16" t="str">
        <f>IF('MASTER DATA'!L266="","",'MASTER DATA'!L266)</f>
        <v>Y</v>
      </c>
      <c r="M24" s="16" t="str">
        <f>IF('MASTER DATA'!M266="","",'MASTER DATA'!M266)</f>
        <v>N</v>
      </c>
      <c r="N24" s="15" t="str">
        <f>IF('MASTER DATA'!N266="","",'MASTER DATA'!N266)</f>
        <v/>
      </c>
      <c r="O24" s="16" t="str">
        <f>IF('MASTER DATA'!O266="","",'MASTER DATA'!O266)</f>
        <v/>
      </c>
      <c r="P24" s="16" t="str">
        <f>IF('MASTER DATA'!P266="","",'MASTER DATA'!P266)</f>
        <v>N</v>
      </c>
      <c r="Q24" s="16" t="str">
        <f>IF('MASTER DATA'!Q266="","",'MASTER DATA'!Q266)</f>
        <v/>
      </c>
      <c r="R24" s="16" t="str">
        <f>IF('MASTER DATA'!R266="","",'MASTER DATA'!R266)</f>
        <v/>
      </c>
      <c r="S24" s="16" t="str">
        <f>IF('MASTER DATA'!S266="","",'MASTER DATA'!S266)</f>
        <v>N</v>
      </c>
      <c r="T24" s="15" t="str">
        <f>IF('MASTER DATA'!T266="","",'MASTER DATA'!T266)</f>
        <v/>
      </c>
      <c r="U24" s="16" t="str">
        <f>IF('MASTER DATA'!U266="","",'MASTER DATA'!U266)</f>
        <v>N</v>
      </c>
      <c r="V24" s="16" t="str">
        <f>IF('MASTER DATA'!V266="","",'MASTER DATA'!V266)</f>
        <v>N</v>
      </c>
      <c r="W24" s="16" t="str">
        <f>IF('MASTER DATA'!W266="","",'MASTER DATA'!W266)</f>
        <v>N</v>
      </c>
      <c r="X24" s="16" t="str">
        <f>IF('MASTER DATA'!X266="","",'MASTER DATA'!X266)</f>
        <v>N</v>
      </c>
      <c r="Y24" s="16" t="str">
        <f>IF('MASTER DATA'!Y266="","",'MASTER DATA'!Y266)</f>
        <v>N</v>
      </c>
      <c r="Z24" s="16" t="str">
        <f>IF('MASTER DATA'!Z266="","",'MASTER DATA'!Z266)</f>
        <v>N</v>
      </c>
      <c r="AA24" s="16">
        <f>IF('MASTER DATA'!AA266="","",'MASTER DATA'!AA266)</f>
        <v>1</v>
      </c>
      <c r="AB24" s="16" t="str">
        <f>IF('MASTER DATA'!AB266="","",'MASTER DATA'!AB266)</f>
        <v>SINGLE-SIGNAL</v>
      </c>
      <c r="AC24" s="16" t="str">
        <f>IF('MASTER DATA'!AC266="","",'MASTER DATA'!AC266)</f>
        <v>Open Stipulation</v>
      </c>
    </row>
    <row r="25" spans="1:29" x14ac:dyDescent="0.45">
      <c r="A25" t="str">
        <f>IF('MASTER DATA'!A267="","",'MASTER DATA'!A267)</f>
        <v>SYN-CLM-0266</v>
      </c>
      <c r="B25" t="str">
        <f>IF('MASTER DATA'!B267="","",'MASTER DATA'!B267)</f>
        <v>Synthetic Claimant 0266</v>
      </c>
      <c r="C25" t="str">
        <f>IF('MASTER DATA'!C267="","",'MASTER DATA'!C267)</f>
        <v>Claims Analyst F</v>
      </c>
      <c r="D25" t="str">
        <f>IF('MASTER DATA'!D267="","",'MASTER DATA'!D267)</f>
        <v>Synthetic Policyholder 144, LLC</v>
      </c>
      <c r="E25" s="15">
        <f>IF('MASTER DATA'!E267="","",'MASTER DATA'!E267)</f>
        <v>43256</v>
      </c>
      <c r="F25" s="16" t="str">
        <f>IF('MASTER DATA'!F267="","",'MASTER DATA'!F267)</f>
        <v>Y</v>
      </c>
      <c r="G25" s="17">
        <f>IF('MASTER DATA'!G267="","",'MASTER DATA'!G267)</f>
        <v>153500</v>
      </c>
      <c r="H25" s="16" t="str">
        <f>IF('MASTER DATA'!H267="","",'MASTER DATA'!H267)</f>
        <v>Synthetic Approver 02</v>
      </c>
      <c r="I25" s="15">
        <f>IF('MASTER DATA'!I267="","",'MASTER DATA'!I267)</f>
        <v>45037</v>
      </c>
      <c r="J25" s="16" t="str">
        <f>IF('MASTER DATA'!J267="","",'MASTER DATA'!J267)</f>
        <v>N</v>
      </c>
      <c r="K25" s="15" t="str">
        <f>IF('MASTER DATA'!K267="","",'MASTER DATA'!K267)</f>
        <v/>
      </c>
      <c r="L25" s="16" t="str">
        <f>IF('MASTER DATA'!L267="","",'MASTER DATA'!L267)</f>
        <v>N</v>
      </c>
      <c r="M25" s="16" t="str">
        <f>IF('MASTER DATA'!M267="","",'MASTER DATA'!M267)</f>
        <v>N</v>
      </c>
      <c r="N25" s="15" t="str">
        <f>IF('MASTER DATA'!N267="","",'MASTER DATA'!N267)</f>
        <v/>
      </c>
      <c r="O25" s="16" t="str">
        <f>IF('MASTER DATA'!O267="","",'MASTER DATA'!O267)</f>
        <v/>
      </c>
      <c r="P25" s="16" t="str">
        <f>IF('MASTER DATA'!P267="","",'MASTER DATA'!P267)</f>
        <v>Y</v>
      </c>
      <c r="Q25" s="16" t="str">
        <f>IF('MASTER DATA'!Q267="","",'MASTER DATA'!Q267)</f>
        <v>Surgery Requested; MMI Date Reported; Specialist Consultation Requested</v>
      </c>
      <c r="R25" s="16" t="str">
        <f>IF('MASTER DATA'!R267="","",'MASTER DATA'!R267)</f>
        <v>Denied Treatment Requests</v>
      </c>
      <c r="S25" s="16" t="str">
        <f>IF('MASTER DATA'!S267="","",'MASTER DATA'!S267)</f>
        <v>N</v>
      </c>
      <c r="T25" s="15" t="str">
        <f>IF('MASTER DATA'!T267="","",'MASTER DATA'!T267)</f>
        <v/>
      </c>
      <c r="U25" s="16" t="str">
        <f>IF('MASTER DATA'!U267="","",'MASTER DATA'!U267)</f>
        <v>Y</v>
      </c>
      <c r="V25" s="16" t="str">
        <f>IF('MASTER DATA'!V267="","",'MASTER DATA'!V267)</f>
        <v>Y</v>
      </c>
      <c r="W25" s="16" t="str">
        <f>IF('MASTER DATA'!W267="","",'MASTER DATA'!W267)</f>
        <v>Y</v>
      </c>
      <c r="X25" s="16" t="str">
        <f>IF('MASTER DATA'!X267="","",'MASTER DATA'!X267)</f>
        <v>Y</v>
      </c>
      <c r="Y25" s="16" t="str">
        <f>IF('MASTER DATA'!Y267="","",'MASTER DATA'!Y267)</f>
        <v>N</v>
      </c>
      <c r="Z25" s="16" t="str">
        <f>IF('MASTER DATA'!Z267="","",'MASTER DATA'!Z267)</f>
        <v>N</v>
      </c>
      <c r="AA25" s="16">
        <f>IF('MASTER DATA'!AA267="","",'MASTER DATA'!AA267)</f>
        <v>2</v>
      </c>
      <c r="AB25" s="16" t="str">
        <f>IF('MASTER DATA'!AB267="","",'MASTER DATA'!AB267)</f>
        <v>MULTI-SIGNAL</v>
      </c>
      <c r="AC25" s="16" t="str">
        <f>IF('MASTER DATA'!AC267="","",'MASTER DATA'!AC267)</f>
        <v>Settlement Authorization | Automated Claim Alert</v>
      </c>
    </row>
    <row r="26" spans="1:29" x14ac:dyDescent="0.45">
      <c r="A26" t="str">
        <f>IF('MASTER DATA'!A268="","",'MASTER DATA'!A268)</f>
        <v>SYN-CLM-0267</v>
      </c>
      <c r="B26" t="str">
        <f>IF('MASTER DATA'!B268="","",'MASTER DATA'!B268)</f>
        <v>Synthetic Claimant 0267</v>
      </c>
      <c r="C26" t="str">
        <f>IF('MASTER DATA'!C268="","",'MASTER DATA'!C268)</f>
        <v>Claims Analyst F</v>
      </c>
      <c r="D26" t="str">
        <f>IF('MASTER DATA'!D268="","",'MASTER DATA'!D268)</f>
        <v>Synthetic Policyholder 127, LLC</v>
      </c>
      <c r="E26" s="15">
        <f>IF('MASTER DATA'!E268="","",'MASTER DATA'!E268)</f>
        <v>44562</v>
      </c>
      <c r="F26" s="16" t="str">
        <f>IF('MASTER DATA'!F268="","",'MASTER DATA'!F268)</f>
        <v>Y</v>
      </c>
      <c r="G26" s="17">
        <f>IF('MASTER DATA'!G268="","",'MASTER DATA'!G268)</f>
        <v>43000</v>
      </c>
      <c r="H26" s="16" t="str">
        <f>IF('MASTER DATA'!H268="","",'MASTER DATA'!H268)</f>
        <v>Synthetic Approver 10</v>
      </c>
      <c r="I26" s="15">
        <f>IF('MASTER DATA'!I268="","",'MASTER DATA'!I268)</f>
        <v>45544</v>
      </c>
      <c r="J26" s="16" t="str">
        <f>IF('MASTER DATA'!J268="","",'MASTER DATA'!J268)</f>
        <v>N</v>
      </c>
      <c r="K26" s="15" t="str">
        <f>IF('MASTER DATA'!K268="","",'MASTER DATA'!K268)</f>
        <v/>
      </c>
      <c r="L26" s="16" t="str">
        <f>IF('MASTER DATA'!L268="","",'MASTER DATA'!L268)</f>
        <v>Y</v>
      </c>
      <c r="M26" s="16" t="str">
        <f>IF('MASTER DATA'!M268="","",'MASTER DATA'!M268)</f>
        <v>Y</v>
      </c>
      <c r="N26" s="15">
        <f>IF('MASTER DATA'!N268="","",'MASTER DATA'!N268)</f>
        <v>46417</v>
      </c>
      <c r="O26" s="16" t="str">
        <f>IF('MASTER DATA'!O268="","",'MASTER DATA'!O268)</f>
        <v>Synthetic QME Evaluator 08</v>
      </c>
      <c r="P26" s="16" t="str">
        <f>IF('MASTER DATA'!P268="","",'MASTER DATA'!P268)</f>
        <v>N</v>
      </c>
      <c r="Q26" s="16" t="str">
        <f>IF('MASTER DATA'!Q268="","",'MASTER DATA'!Q268)</f>
        <v/>
      </c>
      <c r="R26" s="16" t="str">
        <f>IF('MASTER DATA'!R268="","",'MASTER DATA'!R268)</f>
        <v/>
      </c>
      <c r="S26" s="16" t="str">
        <f>IF('MASTER DATA'!S268="","",'MASTER DATA'!S268)</f>
        <v>N</v>
      </c>
      <c r="T26" s="15" t="str">
        <f>IF('MASTER DATA'!T268="","",'MASTER DATA'!T268)</f>
        <v/>
      </c>
      <c r="U26" s="16" t="str">
        <f>IF('MASTER DATA'!U268="","",'MASTER DATA'!U268)</f>
        <v>N</v>
      </c>
      <c r="V26" s="16" t="str">
        <f>IF('MASTER DATA'!V268="","",'MASTER DATA'!V268)</f>
        <v>N</v>
      </c>
      <c r="W26" s="16" t="str">
        <f>IF('MASTER DATA'!W268="","",'MASTER DATA'!W268)</f>
        <v>N</v>
      </c>
      <c r="X26" s="16" t="str">
        <f>IF('MASTER DATA'!X268="","",'MASTER DATA'!X268)</f>
        <v>N</v>
      </c>
      <c r="Y26" s="16" t="str">
        <f>IF('MASTER DATA'!Y268="","",'MASTER DATA'!Y268)</f>
        <v>N</v>
      </c>
      <c r="Z26" s="16" t="str">
        <f>IF('MASTER DATA'!Z268="","",'MASTER DATA'!Z268)</f>
        <v>N</v>
      </c>
      <c r="AA26" s="16">
        <f>IF('MASTER DATA'!AA268="","",'MASTER DATA'!AA268)</f>
        <v>2</v>
      </c>
      <c r="AB26" s="16" t="str">
        <f>IF('MASTER DATA'!AB268="","",'MASTER DATA'!AB268)</f>
        <v>MULTI-SIGNAL</v>
      </c>
      <c r="AC26" s="16" t="str">
        <f>IF('MASTER DATA'!AC268="","",'MASTER DATA'!AC268)</f>
        <v>Settlement Authorization | Pending QME</v>
      </c>
    </row>
    <row r="27" spans="1:29" x14ac:dyDescent="0.45">
      <c r="A27" t="str">
        <f>IF('MASTER DATA'!A269="","",'MASTER DATA'!A269)</f>
        <v>SYN-CLM-0268</v>
      </c>
      <c r="B27" t="str">
        <f>IF('MASTER DATA'!B269="","",'MASTER DATA'!B269)</f>
        <v>Synthetic Claimant 0268</v>
      </c>
      <c r="C27" t="str">
        <f>IF('MASTER DATA'!C269="","",'MASTER DATA'!C269)</f>
        <v>Claims Analyst F</v>
      </c>
      <c r="D27" t="str">
        <f>IF('MASTER DATA'!D269="","",'MASTER DATA'!D269)</f>
        <v>Synthetic Policyholder 023, LLC</v>
      </c>
      <c r="E27" s="15">
        <f>IF('MASTER DATA'!E269="","",'MASTER DATA'!E269)</f>
        <v>44400</v>
      </c>
      <c r="F27" s="16" t="str">
        <f>IF('MASTER DATA'!F269="","",'MASTER DATA'!F269)</f>
        <v>Y</v>
      </c>
      <c r="G27" s="17">
        <f>IF('MASTER DATA'!G269="","",'MASTER DATA'!G269)</f>
        <v>99250</v>
      </c>
      <c r="H27" s="16" t="str">
        <f>IF('MASTER DATA'!H269="","",'MASTER DATA'!H269)</f>
        <v>Synthetic Approver 07</v>
      </c>
      <c r="I27" s="15">
        <f>IF('MASTER DATA'!I269="","",'MASTER DATA'!I269)</f>
        <v>45406</v>
      </c>
      <c r="J27" s="16" t="str">
        <f>IF('MASTER DATA'!J269="","",'MASTER DATA'!J269)</f>
        <v>N</v>
      </c>
      <c r="K27" s="15" t="str">
        <f>IF('MASTER DATA'!K269="","",'MASTER DATA'!K269)</f>
        <v/>
      </c>
      <c r="L27" s="16" t="str">
        <f>IF('MASTER DATA'!L269="","",'MASTER DATA'!L269)</f>
        <v>Y</v>
      </c>
      <c r="M27" s="16" t="str">
        <f>IF('MASTER DATA'!M269="","",'MASTER DATA'!M269)</f>
        <v>N</v>
      </c>
      <c r="N27" s="15" t="str">
        <f>IF('MASTER DATA'!N269="","",'MASTER DATA'!N269)</f>
        <v/>
      </c>
      <c r="O27" s="16" t="str">
        <f>IF('MASTER DATA'!O269="","",'MASTER DATA'!O269)</f>
        <v/>
      </c>
      <c r="P27" s="16" t="str">
        <f>IF('MASTER DATA'!P269="","",'MASTER DATA'!P269)</f>
        <v>N</v>
      </c>
      <c r="Q27" s="16" t="str">
        <f>IF('MASTER DATA'!Q269="","",'MASTER DATA'!Q269)</f>
        <v/>
      </c>
      <c r="R27" s="16" t="str">
        <f>IF('MASTER DATA'!R269="","",'MASTER DATA'!R269)</f>
        <v/>
      </c>
      <c r="S27" s="16" t="str">
        <f>IF('MASTER DATA'!S269="","",'MASTER DATA'!S269)</f>
        <v>N</v>
      </c>
      <c r="T27" s="15" t="str">
        <f>IF('MASTER DATA'!T269="","",'MASTER DATA'!T269)</f>
        <v/>
      </c>
      <c r="U27" s="16" t="str">
        <f>IF('MASTER DATA'!U269="","",'MASTER DATA'!U269)</f>
        <v>N</v>
      </c>
      <c r="V27" s="16" t="str">
        <f>IF('MASTER DATA'!V269="","",'MASTER DATA'!V269)</f>
        <v>N</v>
      </c>
      <c r="W27" s="16" t="str">
        <f>IF('MASTER DATA'!W269="","",'MASTER DATA'!W269)</f>
        <v>N</v>
      </c>
      <c r="X27" s="16" t="str">
        <f>IF('MASTER DATA'!X269="","",'MASTER DATA'!X269)</f>
        <v>N</v>
      </c>
      <c r="Y27" s="16" t="str">
        <f>IF('MASTER DATA'!Y269="","",'MASTER DATA'!Y269)</f>
        <v>N</v>
      </c>
      <c r="Z27" s="16" t="str">
        <f>IF('MASTER DATA'!Z269="","",'MASTER DATA'!Z269)</f>
        <v>N</v>
      </c>
      <c r="AA27" s="16">
        <f>IF('MASTER DATA'!AA269="","",'MASTER DATA'!AA269)</f>
        <v>1</v>
      </c>
      <c r="AB27" s="16" t="str">
        <f>IF('MASTER DATA'!AB269="","",'MASTER DATA'!AB269)</f>
        <v>SINGLE-SIGNAL</v>
      </c>
      <c r="AC27" s="16" t="str">
        <f>IF('MASTER DATA'!AC269="","",'MASTER DATA'!AC269)</f>
        <v>Settlement Authorization</v>
      </c>
    </row>
    <row r="28" spans="1:29" x14ac:dyDescent="0.45">
      <c r="A28" t="str">
        <f>IF('MASTER DATA'!A270="","",'MASTER DATA'!A270)</f>
        <v>SYN-CLM-0269</v>
      </c>
      <c r="B28" t="str">
        <f>IF('MASTER DATA'!B270="","",'MASTER DATA'!B270)</f>
        <v>Synthetic Claimant 0269</v>
      </c>
      <c r="C28" t="str">
        <f>IF('MASTER DATA'!C270="","",'MASTER DATA'!C270)</f>
        <v>Claims Analyst F</v>
      </c>
      <c r="D28" t="str">
        <f>IF('MASTER DATA'!D270="","",'MASTER DATA'!D270)</f>
        <v>Synthetic Policyholder 126, LLC</v>
      </c>
      <c r="E28" s="15">
        <f>IF('MASTER DATA'!E270="","",'MASTER DATA'!E270)</f>
        <v>45304</v>
      </c>
      <c r="F28" s="16" t="str">
        <f>IF('MASTER DATA'!F270="","",'MASTER DATA'!F270)</f>
        <v>Y</v>
      </c>
      <c r="G28" s="17">
        <f>IF('MASTER DATA'!G270="","",'MASTER DATA'!G270)</f>
        <v>35250</v>
      </c>
      <c r="H28" s="16" t="str">
        <f>IF('MASTER DATA'!H270="","",'MASTER DATA'!H270)</f>
        <v>Synthetic Approver 06</v>
      </c>
      <c r="I28" s="15">
        <f>IF('MASTER DATA'!I270="","",'MASTER DATA'!I270)</f>
        <v>46512</v>
      </c>
      <c r="J28" s="16" t="str">
        <f>IF('MASTER DATA'!J270="","",'MASTER DATA'!J270)</f>
        <v>N</v>
      </c>
      <c r="K28" s="15" t="str">
        <f>IF('MASTER DATA'!K270="","",'MASTER DATA'!K270)</f>
        <v/>
      </c>
      <c r="L28" s="16" t="str">
        <f>IF('MASTER DATA'!L270="","",'MASTER DATA'!L270)</f>
        <v>Y</v>
      </c>
      <c r="M28" s="16" t="str">
        <f>IF('MASTER DATA'!M270="","",'MASTER DATA'!M270)</f>
        <v>N</v>
      </c>
      <c r="N28" s="15" t="str">
        <f>IF('MASTER DATA'!N270="","",'MASTER DATA'!N270)</f>
        <v/>
      </c>
      <c r="O28" s="16" t="str">
        <f>IF('MASTER DATA'!O270="","",'MASTER DATA'!O270)</f>
        <v/>
      </c>
      <c r="P28" s="16" t="str">
        <f>IF('MASTER DATA'!P270="","",'MASTER DATA'!P270)</f>
        <v>N</v>
      </c>
      <c r="Q28" s="16" t="str">
        <f>IF('MASTER DATA'!Q270="","",'MASTER DATA'!Q270)</f>
        <v/>
      </c>
      <c r="R28" s="16" t="str">
        <f>IF('MASTER DATA'!R270="","",'MASTER DATA'!R270)</f>
        <v/>
      </c>
      <c r="S28" s="16" t="str">
        <f>IF('MASTER DATA'!S270="","",'MASTER DATA'!S270)</f>
        <v>N</v>
      </c>
      <c r="T28" s="15" t="str">
        <f>IF('MASTER DATA'!T270="","",'MASTER DATA'!T270)</f>
        <v/>
      </c>
      <c r="U28" s="16" t="str">
        <f>IF('MASTER DATA'!U270="","",'MASTER DATA'!U270)</f>
        <v>N</v>
      </c>
      <c r="V28" s="16" t="str">
        <f>IF('MASTER DATA'!V270="","",'MASTER DATA'!V270)</f>
        <v>N</v>
      </c>
      <c r="W28" s="16" t="str">
        <f>IF('MASTER DATA'!W270="","",'MASTER DATA'!W270)</f>
        <v>N</v>
      </c>
      <c r="X28" s="16" t="str">
        <f>IF('MASTER DATA'!X270="","",'MASTER DATA'!X270)</f>
        <v>N</v>
      </c>
      <c r="Y28" s="16" t="str">
        <f>IF('MASTER DATA'!Y270="","",'MASTER DATA'!Y270)</f>
        <v>N</v>
      </c>
      <c r="Z28" s="16" t="str">
        <f>IF('MASTER DATA'!Z270="","",'MASTER DATA'!Z270)</f>
        <v>N</v>
      </c>
      <c r="AA28" s="16">
        <f>IF('MASTER DATA'!AA270="","",'MASTER DATA'!AA270)</f>
        <v>1</v>
      </c>
      <c r="AB28" s="16" t="str">
        <f>IF('MASTER DATA'!AB270="","",'MASTER DATA'!AB270)</f>
        <v>SINGLE-SIGNAL</v>
      </c>
      <c r="AC28" s="16" t="str">
        <f>IF('MASTER DATA'!AC270="","",'MASTER DATA'!AC270)</f>
        <v>Settlement Authorization</v>
      </c>
    </row>
    <row r="29" spans="1:29" x14ac:dyDescent="0.45">
      <c r="A29" t="str">
        <f>IF('MASTER DATA'!A271="","",'MASTER DATA'!A271)</f>
        <v>SYN-CLM-0270</v>
      </c>
      <c r="B29" t="str">
        <f>IF('MASTER DATA'!B271="","",'MASTER DATA'!B271)</f>
        <v>Synthetic Claimant 0270</v>
      </c>
      <c r="C29" t="str">
        <f>IF('MASTER DATA'!C271="","",'MASTER DATA'!C271)</f>
        <v>Claims Analyst F</v>
      </c>
      <c r="D29" t="str">
        <f>IF('MASTER DATA'!D271="","",'MASTER DATA'!D271)</f>
        <v>Synthetic Policyholder 038, LLC</v>
      </c>
      <c r="E29" s="15">
        <f>IF('MASTER DATA'!E271="","",'MASTER DATA'!E271)</f>
        <v>44313</v>
      </c>
      <c r="F29" s="16" t="str">
        <f>IF('MASTER DATA'!F271="","",'MASTER DATA'!F271)</f>
        <v>Y</v>
      </c>
      <c r="G29" s="17">
        <f>IF('MASTER DATA'!G271="","",'MASTER DATA'!G271)</f>
        <v>125500</v>
      </c>
      <c r="H29" s="16" t="str">
        <f>IF('MASTER DATA'!H271="","",'MASTER DATA'!H271)</f>
        <v>Synthetic Approver 04</v>
      </c>
      <c r="I29" s="15">
        <f>IF('MASTER DATA'!I271="","",'MASTER DATA'!I271)</f>
        <v>45529</v>
      </c>
      <c r="J29" s="16" t="str">
        <f>IF('MASTER DATA'!J271="","",'MASTER DATA'!J271)</f>
        <v>N</v>
      </c>
      <c r="K29" s="15" t="str">
        <f>IF('MASTER DATA'!K271="","",'MASTER DATA'!K271)</f>
        <v/>
      </c>
      <c r="L29" s="16" t="str">
        <f>IF('MASTER DATA'!L271="","",'MASTER DATA'!L271)</f>
        <v>Y</v>
      </c>
      <c r="M29" s="16" t="str">
        <f>IF('MASTER DATA'!M271="","",'MASTER DATA'!M271)</f>
        <v>N</v>
      </c>
      <c r="N29" s="15" t="str">
        <f>IF('MASTER DATA'!N271="","",'MASTER DATA'!N271)</f>
        <v/>
      </c>
      <c r="O29" s="16" t="str">
        <f>IF('MASTER DATA'!O271="","",'MASTER DATA'!O271)</f>
        <v/>
      </c>
      <c r="P29" s="16" t="str">
        <f>IF('MASTER DATA'!P271="","",'MASTER DATA'!P271)</f>
        <v>N</v>
      </c>
      <c r="Q29" s="16" t="str">
        <f>IF('MASTER DATA'!Q271="","",'MASTER DATA'!Q271)</f>
        <v/>
      </c>
      <c r="R29" s="16" t="str">
        <f>IF('MASTER DATA'!R271="","",'MASTER DATA'!R271)</f>
        <v/>
      </c>
      <c r="S29" s="16" t="str">
        <f>IF('MASTER DATA'!S271="","",'MASTER DATA'!S271)</f>
        <v>Y</v>
      </c>
      <c r="T29" s="15">
        <f>IF('MASTER DATA'!T271="","",'MASTER DATA'!T271)</f>
        <v>46380</v>
      </c>
      <c r="U29" s="16" t="str">
        <f>IF('MASTER DATA'!U271="","",'MASTER DATA'!U271)</f>
        <v>N</v>
      </c>
      <c r="V29" s="16" t="str">
        <f>IF('MASTER DATA'!V271="","",'MASTER DATA'!V271)</f>
        <v>N</v>
      </c>
      <c r="W29" s="16" t="str">
        <f>IF('MASTER DATA'!W271="","",'MASTER DATA'!W271)</f>
        <v>N</v>
      </c>
      <c r="X29" s="16" t="str">
        <f>IF('MASTER DATA'!X271="","",'MASTER DATA'!X271)</f>
        <v>N</v>
      </c>
      <c r="Y29" s="16" t="str">
        <f>IF('MASTER DATA'!Y271="","",'MASTER DATA'!Y271)</f>
        <v>N</v>
      </c>
      <c r="Z29" s="16" t="str">
        <f>IF('MASTER DATA'!Z271="","",'MASTER DATA'!Z271)</f>
        <v>N</v>
      </c>
      <c r="AA29" s="16">
        <f>IF('MASTER DATA'!AA271="","",'MASTER DATA'!AA271)</f>
        <v>2</v>
      </c>
      <c r="AB29" s="16" t="str">
        <f>IF('MASTER DATA'!AB271="","",'MASTER DATA'!AB271)</f>
        <v>MULTI-SIGNAL</v>
      </c>
      <c r="AC29" s="16" t="str">
        <f>IF('MASTER DATA'!AC271="","",'MASTER DATA'!AC271)</f>
        <v>Settlement Authorization | Inactive Customer</v>
      </c>
    </row>
    <row r="30" spans="1:29" x14ac:dyDescent="0.45">
      <c r="A30" t="str">
        <f>IF('MASTER DATA'!A272="","",'MASTER DATA'!A272)</f>
        <v>SYN-CLM-0271</v>
      </c>
      <c r="B30" t="str">
        <f>IF('MASTER DATA'!B272="","",'MASTER DATA'!B272)</f>
        <v>Synthetic Claimant 0271</v>
      </c>
      <c r="C30" t="str">
        <f>IF('MASTER DATA'!C272="","",'MASTER DATA'!C272)</f>
        <v>Claims Analyst F</v>
      </c>
      <c r="D30" t="str">
        <f>IF('MASTER DATA'!D272="","",'MASTER DATA'!D272)</f>
        <v>Synthetic Policyholder 081, LLC</v>
      </c>
      <c r="E30" s="15">
        <f>IF('MASTER DATA'!E272="","",'MASTER DATA'!E272)</f>
        <v>43391</v>
      </c>
      <c r="F30" s="16" t="str">
        <f>IF('MASTER DATA'!F272="","",'MASTER DATA'!F272)</f>
        <v>N</v>
      </c>
      <c r="G30" s="17" t="str">
        <f>IF('MASTER DATA'!G272="","",'MASTER DATA'!G272)</f>
        <v/>
      </c>
      <c r="H30" s="16" t="str">
        <f>IF('MASTER DATA'!H272="","",'MASTER DATA'!H272)</f>
        <v/>
      </c>
      <c r="I30" s="15" t="str">
        <f>IF('MASTER DATA'!I272="","",'MASTER DATA'!I272)</f>
        <v/>
      </c>
      <c r="J30" s="16" t="str">
        <f>IF('MASTER DATA'!J272="","",'MASTER DATA'!J272)</f>
        <v>N</v>
      </c>
      <c r="K30" s="15" t="str">
        <f>IF('MASTER DATA'!K272="","",'MASTER DATA'!K272)</f>
        <v/>
      </c>
      <c r="L30" s="16" t="str">
        <f>IF('MASTER DATA'!L272="","",'MASTER DATA'!L272)</f>
        <v/>
      </c>
      <c r="M30" s="16" t="str">
        <f>IF('MASTER DATA'!M272="","",'MASTER DATA'!M272)</f>
        <v>Y</v>
      </c>
      <c r="N30" s="15">
        <f>IF('MASTER DATA'!N272="","",'MASTER DATA'!N272)</f>
        <v>45203</v>
      </c>
      <c r="O30" s="16" t="str">
        <f>IF('MASTER DATA'!O272="","",'MASTER DATA'!O272)</f>
        <v>Synthetic QME Evaluator 20</v>
      </c>
      <c r="P30" s="16" t="str">
        <f>IF('MASTER DATA'!P272="","",'MASTER DATA'!P272)</f>
        <v>N</v>
      </c>
      <c r="Q30" s="16" t="str">
        <f>IF('MASTER DATA'!Q272="","",'MASTER DATA'!Q272)</f>
        <v/>
      </c>
      <c r="R30" s="16" t="str">
        <f>IF('MASTER DATA'!R272="","",'MASTER DATA'!R272)</f>
        <v/>
      </c>
      <c r="S30" s="16" t="str">
        <f>IF('MASTER DATA'!S272="","",'MASTER DATA'!S272)</f>
        <v>N</v>
      </c>
      <c r="T30" s="15" t="str">
        <f>IF('MASTER DATA'!T272="","",'MASTER DATA'!T272)</f>
        <v/>
      </c>
      <c r="U30" s="16" t="str">
        <f>IF('MASTER DATA'!U272="","",'MASTER DATA'!U272)</f>
        <v>N</v>
      </c>
      <c r="V30" s="16" t="str">
        <f>IF('MASTER DATA'!V272="","",'MASTER DATA'!V272)</f>
        <v>N</v>
      </c>
      <c r="W30" s="16" t="str">
        <f>IF('MASTER DATA'!W272="","",'MASTER DATA'!W272)</f>
        <v>N</v>
      </c>
      <c r="X30" s="16" t="str">
        <f>IF('MASTER DATA'!X272="","",'MASTER DATA'!X272)</f>
        <v>N</v>
      </c>
      <c r="Y30" s="16" t="str">
        <f>IF('MASTER DATA'!Y272="","",'MASTER DATA'!Y272)</f>
        <v>N</v>
      </c>
      <c r="Z30" s="16" t="str">
        <f>IF('MASTER DATA'!Z272="","",'MASTER DATA'!Z272)</f>
        <v>N</v>
      </c>
      <c r="AA30" s="16">
        <f>IF('MASTER DATA'!AA272="","",'MASTER DATA'!AA272)</f>
        <v>1</v>
      </c>
      <c r="AB30" s="16" t="str">
        <f>IF('MASTER DATA'!AB272="","",'MASTER DATA'!AB272)</f>
        <v>SINGLE-SIGNAL</v>
      </c>
      <c r="AC30" s="16" t="str">
        <f>IF('MASTER DATA'!AC272="","",'MASTER DATA'!AC272)</f>
        <v>Pending QME</v>
      </c>
    </row>
    <row r="31" spans="1:29" x14ac:dyDescent="0.45">
      <c r="A31" t="str">
        <f>IF('MASTER DATA'!A273="","",'MASTER DATA'!A273)</f>
        <v>SYN-CLM-0272</v>
      </c>
      <c r="B31" t="str">
        <f>IF('MASTER DATA'!B273="","",'MASTER DATA'!B273)</f>
        <v>Synthetic Claimant 0272</v>
      </c>
      <c r="C31" t="str">
        <f>IF('MASTER DATA'!C273="","",'MASTER DATA'!C273)</f>
        <v>Claims Analyst F</v>
      </c>
      <c r="D31" t="str">
        <f>IF('MASTER DATA'!D273="","",'MASTER DATA'!D273)</f>
        <v>Synthetic Policyholder 090, LLC</v>
      </c>
      <c r="E31" s="15">
        <f>IF('MASTER DATA'!E273="","",'MASTER DATA'!E273)</f>
        <v>43321</v>
      </c>
      <c r="F31" s="16" t="str">
        <f>IF('MASTER DATA'!F273="","",'MASTER DATA'!F273)</f>
        <v>N</v>
      </c>
      <c r="G31" s="17" t="str">
        <f>IF('MASTER DATA'!G273="","",'MASTER DATA'!G273)</f>
        <v/>
      </c>
      <c r="H31" s="16" t="str">
        <f>IF('MASTER DATA'!H273="","",'MASTER DATA'!H273)</f>
        <v/>
      </c>
      <c r="I31" s="15" t="str">
        <f>IF('MASTER DATA'!I273="","",'MASTER DATA'!I273)</f>
        <v/>
      </c>
      <c r="J31" s="16" t="str">
        <f>IF('MASTER DATA'!J273="","",'MASTER DATA'!J273)</f>
        <v>N</v>
      </c>
      <c r="K31" s="15" t="str">
        <f>IF('MASTER DATA'!K273="","",'MASTER DATA'!K273)</f>
        <v/>
      </c>
      <c r="L31" s="16" t="str">
        <f>IF('MASTER DATA'!L273="","",'MASTER DATA'!L273)</f>
        <v/>
      </c>
      <c r="M31" s="16" t="str">
        <f>IF('MASTER DATA'!M273="","",'MASTER DATA'!M273)</f>
        <v>N</v>
      </c>
      <c r="N31" s="15" t="str">
        <f>IF('MASTER DATA'!N273="","",'MASTER DATA'!N273)</f>
        <v/>
      </c>
      <c r="O31" s="16" t="str">
        <f>IF('MASTER DATA'!O273="","",'MASTER DATA'!O273)</f>
        <v/>
      </c>
      <c r="P31" s="16" t="str">
        <f>IF('MASTER DATA'!P273="","",'MASTER DATA'!P273)</f>
        <v>N</v>
      </c>
      <c r="Q31" s="16" t="str">
        <f>IF('MASTER DATA'!Q273="","",'MASTER DATA'!Q273)</f>
        <v/>
      </c>
      <c r="R31" s="16" t="str">
        <f>IF('MASTER DATA'!R273="","",'MASTER DATA'!R273)</f>
        <v/>
      </c>
      <c r="S31" s="16" t="str">
        <f>IF('MASTER DATA'!S273="","",'MASTER DATA'!S273)</f>
        <v>Y</v>
      </c>
      <c r="T31" s="15">
        <f>IF('MASTER DATA'!T273="","",'MASTER DATA'!T273)</f>
        <v>45148</v>
      </c>
      <c r="U31" s="16" t="str">
        <f>IF('MASTER DATA'!U273="","",'MASTER DATA'!U273)</f>
        <v>N</v>
      </c>
      <c r="V31" s="16" t="str">
        <f>IF('MASTER DATA'!V273="","",'MASTER DATA'!V273)</f>
        <v>N</v>
      </c>
      <c r="W31" s="16" t="str">
        <f>IF('MASTER DATA'!W273="","",'MASTER DATA'!W273)</f>
        <v>N</v>
      </c>
      <c r="X31" s="16" t="str">
        <f>IF('MASTER DATA'!X273="","",'MASTER DATA'!X273)</f>
        <v>N</v>
      </c>
      <c r="Y31" s="16" t="str">
        <f>IF('MASTER DATA'!Y273="","",'MASTER DATA'!Y273)</f>
        <v>N</v>
      </c>
      <c r="Z31" s="16" t="str">
        <f>IF('MASTER DATA'!Z273="","",'MASTER DATA'!Z273)</f>
        <v>N</v>
      </c>
      <c r="AA31" s="16">
        <f>IF('MASTER DATA'!AA273="","",'MASTER DATA'!AA273)</f>
        <v>1</v>
      </c>
      <c r="AB31" s="16" t="str">
        <f>IF('MASTER DATA'!AB273="","",'MASTER DATA'!AB273)</f>
        <v>SINGLE-SIGNAL</v>
      </c>
      <c r="AC31" s="16" t="str">
        <f>IF('MASTER DATA'!AC273="","",'MASTER DATA'!AC273)</f>
        <v>Inactive Customer</v>
      </c>
    </row>
    <row r="32" spans="1:29" x14ac:dyDescent="0.45">
      <c r="A32" t="str">
        <f>IF('MASTER DATA'!A274="","",'MASTER DATA'!A274)</f>
        <v>SYN-CLM-0273</v>
      </c>
      <c r="B32" t="str">
        <f>IF('MASTER DATA'!B274="","",'MASTER DATA'!B274)</f>
        <v>Synthetic Claimant 0273</v>
      </c>
      <c r="C32" t="str">
        <f>IF('MASTER DATA'!C274="","",'MASTER DATA'!C274)</f>
        <v>Claims Analyst F</v>
      </c>
      <c r="D32" t="str">
        <f>IF('MASTER DATA'!D274="","",'MASTER DATA'!D274)</f>
        <v>Synthetic Policyholder 088, LLC</v>
      </c>
      <c r="E32" s="15">
        <f>IF('MASTER DATA'!E274="","",'MASTER DATA'!E274)</f>
        <v>43756</v>
      </c>
      <c r="F32" s="16" t="str">
        <f>IF('MASTER DATA'!F274="","",'MASTER DATA'!F274)</f>
        <v>N</v>
      </c>
      <c r="G32" s="17" t="str">
        <f>IF('MASTER DATA'!G274="","",'MASTER DATA'!G274)</f>
        <v/>
      </c>
      <c r="H32" s="16" t="str">
        <f>IF('MASTER DATA'!H274="","",'MASTER DATA'!H274)</f>
        <v/>
      </c>
      <c r="I32" s="15" t="str">
        <f>IF('MASTER DATA'!I274="","",'MASTER DATA'!I274)</f>
        <v/>
      </c>
      <c r="J32" s="16" t="str">
        <f>IF('MASTER DATA'!J274="","",'MASTER DATA'!J274)</f>
        <v>N</v>
      </c>
      <c r="K32" s="15" t="str">
        <f>IF('MASTER DATA'!K274="","",'MASTER DATA'!K274)</f>
        <v/>
      </c>
      <c r="L32" s="16" t="str">
        <f>IF('MASTER DATA'!L274="","",'MASTER DATA'!L274)</f>
        <v/>
      </c>
      <c r="M32" s="16" t="str">
        <f>IF('MASTER DATA'!M274="","",'MASTER DATA'!M274)</f>
        <v>Y</v>
      </c>
      <c r="N32" s="15">
        <f>IF('MASTER DATA'!N274="","",'MASTER DATA'!N274)</f>
        <v>45235</v>
      </c>
      <c r="O32" s="16" t="str">
        <f>IF('MASTER DATA'!O274="","",'MASTER DATA'!O274)</f>
        <v>Synthetic QME Evaluator 11</v>
      </c>
      <c r="P32" s="16" t="str">
        <f>IF('MASTER DATA'!P274="","",'MASTER DATA'!P274)</f>
        <v>N</v>
      </c>
      <c r="Q32" s="16" t="str">
        <f>IF('MASTER DATA'!Q274="","",'MASTER DATA'!Q274)</f>
        <v/>
      </c>
      <c r="R32" s="16" t="str">
        <f>IF('MASTER DATA'!R274="","",'MASTER DATA'!R274)</f>
        <v/>
      </c>
      <c r="S32" s="16" t="str">
        <f>IF('MASTER DATA'!S274="","",'MASTER DATA'!S274)</f>
        <v>N</v>
      </c>
      <c r="T32" s="15" t="str">
        <f>IF('MASTER DATA'!T274="","",'MASTER DATA'!T274)</f>
        <v/>
      </c>
      <c r="U32" s="16" t="str">
        <f>IF('MASTER DATA'!U274="","",'MASTER DATA'!U274)</f>
        <v>N</v>
      </c>
      <c r="V32" s="16" t="str">
        <f>IF('MASTER DATA'!V274="","",'MASTER DATA'!V274)</f>
        <v>N</v>
      </c>
      <c r="W32" s="16" t="str">
        <f>IF('MASTER DATA'!W274="","",'MASTER DATA'!W274)</f>
        <v>N</v>
      </c>
      <c r="X32" s="16" t="str">
        <f>IF('MASTER DATA'!X274="","",'MASTER DATA'!X274)</f>
        <v>N</v>
      </c>
      <c r="Y32" s="16" t="str">
        <f>IF('MASTER DATA'!Y274="","",'MASTER DATA'!Y274)</f>
        <v>N</v>
      </c>
      <c r="Z32" s="16" t="str">
        <f>IF('MASTER DATA'!Z274="","",'MASTER DATA'!Z274)</f>
        <v>N</v>
      </c>
      <c r="AA32" s="16">
        <f>IF('MASTER DATA'!AA274="","",'MASTER DATA'!AA274)</f>
        <v>1</v>
      </c>
      <c r="AB32" s="16" t="str">
        <f>IF('MASTER DATA'!AB274="","",'MASTER DATA'!AB274)</f>
        <v>SINGLE-SIGNAL</v>
      </c>
      <c r="AC32" s="16" t="str">
        <f>IF('MASTER DATA'!AC274="","",'MASTER DATA'!AC274)</f>
        <v>Pending QME</v>
      </c>
    </row>
    <row r="33" spans="1:29" x14ac:dyDescent="0.45">
      <c r="A33" t="str">
        <f>IF('MASTER DATA'!A275="","",'MASTER DATA'!A275)</f>
        <v>SYN-CLM-0274</v>
      </c>
      <c r="B33" t="str">
        <f>IF('MASTER DATA'!B275="","",'MASTER DATA'!B275)</f>
        <v>Synthetic Claimant 0274</v>
      </c>
      <c r="C33" t="str">
        <f>IF('MASTER DATA'!C275="","",'MASTER DATA'!C275)</f>
        <v>Claims Analyst F</v>
      </c>
      <c r="D33" t="str">
        <f>IF('MASTER DATA'!D275="","",'MASTER DATA'!D275)</f>
        <v>Synthetic Policyholder 021, LLC</v>
      </c>
      <c r="E33" s="15">
        <f>IF('MASTER DATA'!E275="","",'MASTER DATA'!E275)</f>
        <v>43326</v>
      </c>
      <c r="F33" s="16" t="str">
        <f>IF('MASTER DATA'!F275="","",'MASTER DATA'!F275)</f>
        <v>N</v>
      </c>
      <c r="G33" s="17" t="str">
        <f>IF('MASTER DATA'!G275="","",'MASTER DATA'!G275)</f>
        <v/>
      </c>
      <c r="H33" s="16" t="str">
        <f>IF('MASTER DATA'!H275="","",'MASTER DATA'!H275)</f>
        <v/>
      </c>
      <c r="I33" s="15" t="str">
        <f>IF('MASTER DATA'!I275="","",'MASTER DATA'!I275)</f>
        <v/>
      </c>
      <c r="J33" s="16" t="str">
        <f>IF('MASTER DATA'!J275="","",'MASTER DATA'!J275)</f>
        <v>Y</v>
      </c>
      <c r="K33" s="15">
        <f>IF('MASTER DATA'!K275="","",'MASTER DATA'!K275)</f>
        <v>44184</v>
      </c>
      <c r="L33" s="16" t="str">
        <f>IF('MASTER DATA'!L275="","",'MASTER DATA'!L275)</f>
        <v>Y</v>
      </c>
      <c r="M33" s="16" t="str">
        <f>IF('MASTER DATA'!M275="","",'MASTER DATA'!M275)</f>
        <v>N</v>
      </c>
      <c r="N33" s="15" t="str">
        <f>IF('MASTER DATA'!N275="","",'MASTER DATA'!N275)</f>
        <v/>
      </c>
      <c r="O33" s="16" t="str">
        <f>IF('MASTER DATA'!O275="","",'MASTER DATA'!O275)</f>
        <v/>
      </c>
      <c r="P33" s="16" t="str">
        <f>IF('MASTER DATA'!P275="","",'MASTER DATA'!P275)</f>
        <v>N</v>
      </c>
      <c r="Q33" s="16" t="str">
        <f>IF('MASTER DATA'!Q275="","",'MASTER DATA'!Q275)</f>
        <v/>
      </c>
      <c r="R33" s="16" t="str">
        <f>IF('MASTER DATA'!R275="","",'MASTER DATA'!R275)</f>
        <v/>
      </c>
      <c r="S33" s="16" t="str">
        <f>IF('MASTER DATA'!S275="","",'MASTER DATA'!S275)</f>
        <v>N</v>
      </c>
      <c r="T33" s="15" t="str">
        <f>IF('MASTER DATA'!T275="","",'MASTER DATA'!T275)</f>
        <v/>
      </c>
      <c r="U33" s="16" t="str">
        <f>IF('MASTER DATA'!U275="","",'MASTER DATA'!U275)</f>
        <v>N</v>
      </c>
      <c r="V33" s="16" t="str">
        <f>IF('MASTER DATA'!V275="","",'MASTER DATA'!V275)</f>
        <v>N</v>
      </c>
      <c r="W33" s="16" t="str">
        <f>IF('MASTER DATA'!W275="","",'MASTER DATA'!W275)</f>
        <v>N</v>
      </c>
      <c r="X33" s="16" t="str">
        <f>IF('MASTER DATA'!X275="","",'MASTER DATA'!X275)</f>
        <v>N</v>
      </c>
      <c r="Y33" s="16" t="str">
        <f>IF('MASTER DATA'!Y275="","",'MASTER DATA'!Y275)</f>
        <v>N</v>
      </c>
      <c r="Z33" s="16" t="str">
        <f>IF('MASTER DATA'!Z275="","",'MASTER DATA'!Z275)</f>
        <v>N</v>
      </c>
      <c r="AA33" s="16">
        <f>IF('MASTER DATA'!AA275="","",'MASTER DATA'!AA275)</f>
        <v>1</v>
      </c>
      <c r="AB33" s="16" t="str">
        <f>IF('MASTER DATA'!AB275="","",'MASTER DATA'!AB275)</f>
        <v>SINGLE-SIGNAL</v>
      </c>
      <c r="AC33" s="16" t="str">
        <f>IF('MASTER DATA'!AC275="","",'MASTER DATA'!AC275)</f>
        <v>Open Stipulation</v>
      </c>
    </row>
    <row r="34" spans="1:29" x14ac:dyDescent="0.45">
      <c r="A34" t="str">
        <f>IF('MASTER DATA'!A276="","",'MASTER DATA'!A276)</f>
        <v>SYN-CLM-0275</v>
      </c>
      <c r="B34" t="str">
        <f>IF('MASTER DATA'!B276="","",'MASTER DATA'!B276)</f>
        <v>Synthetic Claimant 0275</v>
      </c>
      <c r="C34" t="str">
        <f>IF('MASTER DATA'!C276="","",'MASTER DATA'!C276)</f>
        <v>Claims Analyst F</v>
      </c>
      <c r="D34" t="str">
        <f>IF('MASTER DATA'!D276="","",'MASTER DATA'!D276)</f>
        <v>Synthetic Policyholder 038, LLC</v>
      </c>
      <c r="E34" s="15">
        <f>IF('MASTER DATA'!E276="","",'MASTER DATA'!E276)</f>
        <v>43928</v>
      </c>
      <c r="F34" s="16" t="str">
        <f>IF('MASTER DATA'!F276="","",'MASTER DATA'!F276)</f>
        <v>Y</v>
      </c>
      <c r="G34" s="17">
        <f>IF('MASTER DATA'!G276="","",'MASTER DATA'!G276)</f>
        <v>92000</v>
      </c>
      <c r="H34" s="16" t="str">
        <f>IF('MASTER DATA'!H276="","",'MASTER DATA'!H276)</f>
        <v>Synthetic Approver 03</v>
      </c>
      <c r="I34" s="15">
        <f>IF('MASTER DATA'!I276="","",'MASTER DATA'!I276)</f>
        <v>44818</v>
      </c>
      <c r="J34" s="16" t="str">
        <f>IF('MASTER DATA'!J276="","",'MASTER DATA'!J276)</f>
        <v>N</v>
      </c>
      <c r="K34" s="15" t="str">
        <f>IF('MASTER DATA'!K276="","",'MASTER DATA'!K276)</f>
        <v/>
      </c>
      <c r="L34" s="16" t="str">
        <f>IF('MASTER DATA'!L276="","",'MASTER DATA'!L276)</f>
        <v>Y</v>
      </c>
      <c r="M34" s="16" t="str">
        <f>IF('MASTER DATA'!M276="","",'MASTER DATA'!M276)</f>
        <v>N</v>
      </c>
      <c r="N34" s="15" t="str">
        <f>IF('MASTER DATA'!N276="","",'MASTER DATA'!N276)</f>
        <v/>
      </c>
      <c r="O34" s="16" t="str">
        <f>IF('MASTER DATA'!O276="","",'MASTER DATA'!O276)</f>
        <v/>
      </c>
      <c r="P34" s="16" t="str">
        <f>IF('MASTER DATA'!P276="","",'MASTER DATA'!P276)</f>
        <v>Y</v>
      </c>
      <c r="Q34" s="16" t="str">
        <f>IF('MASTER DATA'!Q276="","",'MASTER DATA'!Q276)</f>
        <v>Denied Treatment Requests</v>
      </c>
      <c r="R34" s="16" t="str">
        <f>IF('MASTER DATA'!R276="","",'MASTER DATA'!R276)</f>
        <v>Specialist Consultation Requested; Non-Renewed Account</v>
      </c>
      <c r="S34" s="16" t="str">
        <f>IF('MASTER DATA'!S276="","",'MASTER DATA'!S276)</f>
        <v>N</v>
      </c>
      <c r="T34" s="15" t="str">
        <f>IF('MASTER DATA'!T276="","",'MASTER DATA'!T276)</f>
        <v/>
      </c>
      <c r="U34" s="16" t="str">
        <f>IF('MASTER DATA'!U276="","",'MASTER DATA'!U276)</f>
        <v>N</v>
      </c>
      <c r="V34" s="16" t="str">
        <f>IF('MASTER DATA'!V276="","",'MASTER DATA'!V276)</f>
        <v>N</v>
      </c>
      <c r="W34" s="16" t="str">
        <f>IF('MASTER DATA'!W276="","",'MASTER DATA'!W276)</f>
        <v>Y</v>
      </c>
      <c r="X34" s="16" t="str">
        <f>IF('MASTER DATA'!X276="","",'MASTER DATA'!X276)</f>
        <v>Y</v>
      </c>
      <c r="Y34" s="16" t="str">
        <f>IF('MASTER DATA'!Y276="","",'MASTER DATA'!Y276)</f>
        <v>Y</v>
      </c>
      <c r="Z34" s="16" t="str">
        <f>IF('MASTER DATA'!Z276="","",'MASTER DATA'!Z276)</f>
        <v>N</v>
      </c>
      <c r="AA34" s="16">
        <f>IF('MASTER DATA'!AA276="","",'MASTER DATA'!AA276)</f>
        <v>2</v>
      </c>
      <c r="AB34" s="16" t="str">
        <f>IF('MASTER DATA'!AB276="","",'MASTER DATA'!AB276)</f>
        <v>MULTI-SIGNAL</v>
      </c>
      <c r="AC34" s="16" t="str">
        <f>IF('MASTER DATA'!AC276="","",'MASTER DATA'!AC276)</f>
        <v>Settlement Authorization | Automated Claim Alert</v>
      </c>
    </row>
    <row r="35" spans="1:29" x14ac:dyDescent="0.45">
      <c r="A35" t="str">
        <f>IF('MASTER DATA'!A277="","",'MASTER DATA'!A277)</f>
        <v>SYN-CLM-0276</v>
      </c>
      <c r="B35" t="str">
        <f>IF('MASTER DATA'!B277="","",'MASTER DATA'!B277)</f>
        <v>Synthetic Claimant 0276</v>
      </c>
      <c r="C35" t="str">
        <f>IF('MASTER DATA'!C277="","",'MASTER DATA'!C277)</f>
        <v>Claims Analyst F</v>
      </c>
      <c r="D35" t="str">
        <f>IF('MASTER DATA'!D277="","",'MASTER DATA'!D277)</f>
        <v>Synthetic Policyholder 004, LLC</v>
      </c>
      <c r="E35" s="15">
        <f>IF('MASTER DATA'!E277="","",'MASTER DATA'!E277)</f>
        <v>43263</v>
      </c>
      <c r="F35" s="16" t="str">
        <f>IF('MASTER DATA'!F277="","",'MASTER DATA'!F277)</f>
        <v>Y</v>
      </c>
      <c r="G35" s="17">
        <f>IF('MASTER DATA'!G277="","",'MASTER DATA'!G277)</f>
        <v>168000</v>
      </c>
      <c r="H35" s="16" t="str">
        <f>IF('MASTER DATA'!H277="","",'MASTER DATA'!H277)</f>
        <v>Synthetic Approver 10</v>
      </c>
      <c r="I35" s="15">
        <f>IF('MASTER DATA'!I277="","",'MASTER DATA'!I277)</f>
        <v>44042</v>
      </c>
      <c r="J35" s="16" t="str">
        <f>IF('MASTER DATA'!J277="","",'MASTER DATA'!J277)</f>
        <v>N</v>
      </c>
      <c r="K35" s="15" t="str">
        <f>IF('MASTER DATA'!K277="","",'MASTER DATA'!K277)</f>
        <v/>
      </c>
      <c r="L35" s="16" t="str">
        <f>IF('MASTER DATA'!L277="","",'MASTER DATA'!L277)</f>
        <v>N</v>
      </c>
      <c r="M35" s="16" t="str">
        <f>IF('MASTER DATA'!M277="","",'MASTER DATA'!M277)</f>
        <v>N</v>
      </c>
      <c r="N35" s="15" t="str">
        <f>IF('MASTER DATA'!N277="","",'MASTER DATA'!N277)</f>
        <v/>
      </c>
      <c r="O35" s="16" t="str">
        <f>IF('MASTER DATA'!O277="","",'MASTER DATA'!O277)</f>
        <v/>
      </c>
      <c r="P35" s="16" t="str">
        <f>IF('MASTER DATA'!P277="","",'MASTER DATA'!P277)</f>
        <v>N</v>
      </c>
      <c r="Q35" s="16" t="str">
        <f>IF('MASTER DATA'!Q277="","",'MASTER DATA'!Q277)</f>
        <v/>
      </c>
      <c r="R35" s="16" t="str">
        <f>IF('MASTER DATA'!R277="","",'MASTER DATA'!R277)</f>
        <v/>
      </c>
      <c r="S35" s="16" t="str">
        <f>IF('MASTER DATA'!S277="","",'MASTER DATA'!S277)</f>
        <v>N</v>
      </c>
      <c r="T35" s="15" t="str">
        <f>IF('MASTER DATA'!T277="","",'MASTER DATA'!T277)</f>
        <v/>
      </c>
      <c r="U35" s="16" t="str">
        <f>IF('MASTER DATA'!U277="","",'MASTER DATA'!U277)</f>
        <v>N</v>
      </c>
      <c r="V35" s="16" t="str">
        <f>IF('MASTER DATA'!V277="","",'MASTER DATA'!V277)</f>
        <v>N</v>
      </c>
      <c r="W35" s="16" t="str">
        <f>IF('MASTER DATA'!W277="","",'MASTER DATA'!W277)</f>
        <v>N</v>
      </c>
      <c r="X35" s="16" t="str">
        <f>IF('MASTER DATA'!X277="","",'MASTER DATA'!X277)</f>
        <v>N</v>
      </c>
      <c r="Y35" s="16" t="str">
        <f>IF('MASTER DATA'!Y277="","",'MASTER DATA'!Y277)</f>
        <v>N</v>
      </c>
      <c r="Z35" s="16" t="str">
        <f>IF('MASTER DATA'!Z277="","",'MASTER DATA'!Z277)</f>
        <v>N</v>
      </c>
      <c r="AA35" s="16">
        <f>IF('MASTER DATA'!AA277="","",'MASTER DATA'!AA277)</f>
        <v>1</v>
      </c>
      <c r="AB35" s="16" t="str">
        <f>IF('MASTER DATA'!AB277="","",'MASTER DATA'!AB277)</f>
        <v>SINGLE-SIGNAL</v>
      </c>
      <c r="AC35" s="16" t="str">
        <f>IF('MASTER DATA'!AC277="","",'MASTER DATA'!AC277)</f>
        <v>Settlement Authorization</v>
      </c>
    </row>
    <row r="36" spans="1:29" x14ac:dyDescent="0.45">
      <c r="A36" t="str">
        <f>IF('MASTER DATA'!A278="","",'MASTER DATA'!A278)</f>
        <v>SYN-CLM-0277</v>
      </c>
      <c r="B36" t="str">
        <f>IF('MASTER DATA'!B278="","",'MASTER DATA'!B278)</f>
        <v>Synthetic Claimant 0277</v>
      </c>
      <c r="C36" t="str">
        <f>IF('MASTER DATA'!C278="","",'MASTER DATA'!C278)</f>
        <v>Claims Analyst F</v>
      </c>
      <c r="D36" t="str">
        <f>IF('MASTER DATA'!D278="","",'MASTER DATA'!D278)</f>
        <v>Synthetic Policyholder 013, LLC</v>
      </c>
      <c r="E36" s="15">
        <f>IF('MASTER DATA'!E278="","",'MASTER DATA'!E278)</f>
        <v>45370</v>
      </c>
      <c r="F36" s="16" t="str">
        <f>IF('MASTER DATA'!F278="","",'MASTER DATA'!F278)</f>
        <v>Y</v>
      </c>
      <c r="G36" s="17">
        <f>IF('MASTER DATA'!G278="","",'MASTER DATA'!G278)</f>
        <v>64000</v>
      </c>
      <c r="H36" s="16" t="str">
        <f>IF('MASTER DATA'!H278="","",'MASTER DATA'!H278)</f>
        <v>Synthetic Approver 10</v>
      </c>
      <c r="I36" s="15">
        <f>IF('MASTER DATA'!I278="","",'MASTER DATA'!I278)</f>
        <v>45717</v>
      </c>
      <c r="J36" s="16" t="str">
        <f>IF('MASTER DATA'!J278="","",'MASTER DATA'!J278)</f>
        <v>N</v>
      </c>
      <c r="K36" s="15" t="str">
        <f>IF('MASTER DATA'!K278="","",'MASTER DATA'!K278)</f>
        <v/>
      </c>
      <c r="L36" s="16" t="str">
        <f>IF('MASTER DATA'!L278="","",'MASTER DATA'!L278)</f>
        <v>N</v>
      </c>
      <c r="M36" s="16" t="str">
        <f>IF('MASTER DATA'!M278="","",'MASTER DATA'!M278)</f>
        <v>N</v>
      </c>
      <c r="N36" s="15" t="str">
        <f>IF('MASTER DATA'!N278="","",'MASTER DATA'!N278)</f>
        <v/>
      </c>
      <c r="O36" s="16" t="str">
        <f>IF('MASTER DATA'!O278="","",'MASTER DATA'!O278)</f>
        <v/>
      </c>
      <c r="P36" s="16" t="str">
        <f>IF('MASTER DATA'!P278="","",'MASTER DATA'!P278)</f>
        <v>N</v>
      </c>
      <c r="Q36" s="16" t="str">
        <f>IF('MASTER DATA'!Q278="","",'MASTER DATA'!Q278)</f>
        <v/>
      </c>
      <c r="R36" s="16" t="str">
        <f>IF('MASTER DATA'!R278="","",'MASTER DATA'!R278)</f>
        <v/>
      </c>
      <c r="S36" s="16" t="str">
        <f>IF('MASTER DATA'!S278="","",'MASTER DATA'!S278)</f>
        <v>N</v>
      </c>
      <c r="T36" s="15" t="str">
        <f>IF('MASTER DATA'!T278="","",'MASTER DATA'!T278)</f>
        <v/>
      </c>
      <c r="U36" s="16" t="str">
        <f>IF('MASTER DATA'!U278="","",'MASTER DATA'!U278)</f>
        <v>N</v>
      </c>
      <c r="V36" s="16" t="str">
        <f>IF('MASTER DATA'!V278="","",'MASTER DATA'!V278)</f>
        <v>N</v>
      </c>
      <c r="W36" s="16" t="str">
        <f>IF('MASTER DATA'!W278="","",'MASTER DATA'!W278)</f>
        <v>N</v>
      </c>
      <c r="X36" s="16" t="str">
        <f>IF('MASTER DATA'!X278="","",'MASTER DATA'!X278)</f>
        <v>N</v>
      </c>
      <c r="Y36" s="16" t="str">
        <f>IF('MASTER DATA'!Y278="","",'MASTER DATA'!Y278)</f>
        <v>N</v>
      </c>
      <c r="Z36" s="16" t="str">
        <f>IF('MASTER DATA'!Z278="","",'MASTER DATA'!Z278)</f>
        <v>N</v>
      </c>
      <c r="AA36" s="16">
        <f>IF('MASTER DATA'!AA278="","",'MASTER DATA'!AA278)</f>
        <v>1</v>
      </c>
      <c r="AB36" s="16" t="str">
        <f>IF('MASTER DATA'!AB278="","",'MASTER DATA'!AB278)</f>
        <v>SINGLE-SIGNAL</v>
      </c>
      <c r="AC36" s="16" t="str">
        <f>IF('MASTER DATA'!AC278="","",'MASTER DATA'!AC278)</f>
        <v>Settlement Authorization</v>
      </c>
    </row>
    <row r="37" spans="1:29" x14ac:dyDescent="0.45">
      <c r="A37" t="str">
        <f>IF('MASTER DATA'!A279="","",'MASTER DATA'!A279)</f>
        <v>SYN-CLM-0278</v>
      </c>
      <c r="B37" t="str">
        <f>IF('MASTER DATA'!B279="","",'MASTER DATA'!B279)</f>
        <v>Synthetic Claimant 0278</v>
      </c>
      <c r="C37" t="str">
        <f>IF('MASTER DATA'!C279="","",'MASTER DATA'!C279)</f>
        <v>Claims Analyst F</v>
      </c>
      <c r="D37" t="str">
        <f>IF('MASTER DATA'!D279="","",'MASTER DATA'!D279)</f>
        <v>Synthetic Policyholder 168, LLC</v>
      </c>
      <c r="E37" s="15">
        <f>IF('MASTER DATA'!E279="","",'MASTER DATA'!E279)</f>
        <v>45680</v>
      </c>
      <c r="F37" s="16" t="str">
        <f>IF('MASTER DATA'!F279="","",'MASTER DATA'!F279)</f>
        <v>Y</v>
      </c>
      <c r="G37" s="17">
        <f>IF('MASTER DATA'!G279="","",'MASTER DATA'!G279)</f>
        <v>38250</v>
      </c>
      <c r="H37" s="16" t="str">
        <f>IF('MASTER DATA'!H279="","",'MASTER DATA'!H279)</f>
        <v>Synthetic Approver 12</v>
      </c>
      <c r="I37" s="15">
        <f>IF('MASTER DATA'!I279="","",'MASTER DATA'!I279)</f>
        <v>47111</v>
      </c>
      <c r="J37" s="16" t="str">
        <f>IF('MASTER DATA'!J279="","",'MASTER DATA'!J279)</f>
        <v>N</v>
      </c>
      <c r="K37" s="15" t="str">
        <f>IF('MASTER DATA'!K279="","",'MASTER DATA'!K279)</f>
        <v/>
      </c>
      <c r="L37" s="16" t="str">
        <f>IF('MASTER DATA'!L279="","",'MASTER DATA'!L279)</f>
        <v>Y</v>
      </c>
      <c r="M37" s="16" t="str">
        <f>IF('MASTER DATA'!M279="","",'MASTER DATA'!M279)</f>
        <v>N</v>
      </c>
      <c r="N37" s="15" t="str">
        <f>IF('MASTER DATA'!N279="","",'MASTER DATA'!N279)</f>
        <v/>
      </c>
      <c r="O37" s="16" t="str">
        <f>IF('MASTER DATA'!O279="","",'MASTER DATA'!O279)</f>
        <v/>
      </c>
      <c r="P37" s="16" t="str">
        <f>IF('MASTER DATA'!P279="","",'MASTER DATA'!P279)</f>
        <v>N</v>
      </c>
      <c r="Q37" s="16" t="str">
        <f>IF('MASTER DATA'!Q279="","",'MASTER DATA'!Q279)</f>
        <v/>
      </c>
      <c r="R37" s="16" t="str">
        <f>IF('MASTER DATA'!R279="","",'MASTER DATA'!R279)</f>
        <v/>
      </c>
      <c r="S37" s="16" t="str">
        <f>IF('MASTER DATA'!S279="","",'MASTER DATA'!S279)</f>
        <v>Y</v>
      </c>
      <c r="T37" s="15">
        <f>IF('MASTER DATA'!T279="","",'MASTER DATA'!T279)</f>
        <v>46254</v>
      </c>
      <c r="U37" s="16" t="str">
        <f>IF('MASTER DATA'!U279="","",'MASTER DATA'!U279)</f>
        <v>N</v>
      </c>
      <c r="V37" s="16" t="str">
        <f>IF('MASTER DATA'!V279="","",'MASTER DATA'!V279)</f>
        <v>N</v>
      </c>
      <c r="W37" s="16" t="str">
        <f>IF('MASTER DATA'!W279="","",'MASTER DATA'!W279)</f>
        <v>N</v>
      </c>
      <c r="X37" s="16" t="str">
        <f>IF('MASTER DATA'!X279="","",'MASTER DATA'!X279)</f>
        <v>N</v>
      </c>
      <c r="Y37" s="16" t="str">
        <f>IF('MASTER DATA'!Y279="","",'MASTER DATA'!Y279)</f>
        <v>N</v>
      </c>
      <c r="Z37" s="16" t="str">
        <f>IF('MASTER DATA'!Z279="","",'MASTER DATA'!Z279)</f>
        <v>N</v>
      </c>
      <c r="AA37" s="16">
        <f>IF('MASTER DATA'!AA279="","",'MASTER DATA'!AA279)</f>
        <v>2</v>
      </c>
      <c r="AB37" s="16" t="str">
        <f>IF('MASTER DATA'!AB279="","",'MASTER DATA'!AB279)</f>
        <v>MULTI-SIGNAL</v>
      </c>
      <c r="AC37" s="16" t="str">
        <f>IF('MASTER DATA'!AC279="","",'MASTER DATA'!AC279)</f>
        <v>Settlement Authorization | Inactive Customer</v>
      </c>
    </row>
    <row r="38" spans="1:29" x14ac:dyDescent="0.45">
      <c r="A38" t="str">
        <f>IF('MASTER DATA'!A280="","",'MASTER DATA'!A280)</f>
        <v>SYN-CLM-0279</v>
      </c>
      <c r="B38" t="str">
        <f>IF('MASTER DATA'!B280="","",'MASTER DATA'!B280)</f>
        <v>Synthetic Claimant 0279</v>
      </c>
      <c r="C38" t="str">
        <f>IF('MASTER DATA'!C280="","",'MASTER DATA'!C280)</f>
        <v>Claims Analyst F</v>
      </c>
      <c r="D38" t="str">
        <f>IF('MASTER DATA'!D280="","",'MASTER DATA'!D280)</f>
        <v>Synthetic Policyholder 142, LLC</v>
      </c>
      <c r="E38" s="15">
        <f>IF('MASTER DATA'!E280="","",'MASTER DATA'!E280)</f>
        <v>43139</v>
      </c>
      <c r="F38" s="16" t="str">
        <f>IF('MASTER DATA'!F280="","",'MASTER DATA'!F280)</f>
        <v>N</v>
      </c>
      <c r="G38" s="17" t="str">
        <f>IF('MASTER DATA'!G280="","",'MASTER DATA'!G280)</f>
        <v/>
      </c>
      <c r="H38" s="16" t="str">
        <f>IF('MASTER DATA'!H280="","",'MASTER DATA'!H280)</f>
        <v/>
      </c>
      <c r="I38" s="15" t="str">
        <f>IF('MASTER DATA'!I280="","",'MASTER DATA'!I280)</f>
        <v/>
      </c>
      <c r="J38" s="16" t="str">
        <f>IF('MASTER DATA'!J280="","",'MASTER DATA'!J280)</f>
        <v>N</v>
      </c>
      <c r="K38" s="15" t="str">
        <f>IF('MASTER DATA'!K280="","",'MASTER DATA'!K280)</f>
        <v/>
      </c>
      <c r="L38" s="16" t="str">
        <f>IF('MASTER DATA'!L280="","",'MASTER DATA'!L280)</f>
        <v/>
      </c>
      <c r="M38" s="16" t="str">
        <f>IF('MASTER DATA'!M280="","",'MASTER DATA'!M280)</f>
        <v>Y</v>
      </c>
      <c r="N38" s="15">
        <f>IF('MASTER DATA'!N280="","",'MASTER DATA'!N280)</f>
        <v>44230</v>
      </c>
      <c r="O38" s="16" t="str">
        <f>IF('MASTER DATA'!O280="","",'MASTER DATA'!O280)</f>
        <v>Synthetic QME Evaluator 27</v>
      </c>
      <c r="P38" s="16" t="str">
        <f>IF('MASTER DATA'!P280="","",'MASTER DATA'!P280)</f>
        <v>N</v>
      </c>
      <c r="Q38" s="16" t="str">
        <f>IF('MASTER DATA'!Q280="","",'MASTER DATA'!Q280)</f>
        <v/>
      </c>
      <c r="R38" s="16" t="str">
        <f>IF('MASTER DATA'!R280="","",'MASTER DATA'!R280)</f>
        <v/>
      </c>
      <c r="S38" s="16" t="str">
        <f>IF('MASTER DATA'!S280="","",'MASTER DATA'!S280)</f>
        <v>N</v>
      </c>
      <c r="T38" s="15" t="str">
        <f>IF('MASTER DATA'!T280="","",'MASTER DATA'!T280)</f>
        <v/>
      </c>
      <c r="U38" s="16" t="str">
        <f>IF('MASTER DATA'!U280="","",'MASTER DATA'!U280)</f>
        <v>N</v>
      </c>
      <c r="V38" s="16" t="str">
        <f>IF('MASTER DATA'!V280="","",'MASTER DATA'!V280)</f>
        <v>N</v>
      </c>
      <c r="W38" s="16" t="str">
        <f>IF('MASTER DATA'!W280="","",'MASTER DATA'!W280)</f>
        <v>N</v>
      </c>
      <c r="X38" s="16" t="str">
        <f>IF('MASTER DATA'!X280="","",'MASTER DATA'!X280)</f>
        <v>N</v>
      </c>
      <c r="Y38" s="16" t="str">
        <f>IF('MASTER DATA'!Y280="","",'MASTER DATA'!Y280)</f>
        <v>N</v>
      </c>
      <c r="Z38" s="16" t="str">
        <f>IF('MASTER DATA'!Z280="","",'MASTER DATA'!Z280)</f>
        <v>N</v>
      </c>
      <c r="AA38" s="16">
        <f>IF('MASTER DATA'!AA280="","",'MASTER DATA'!AA280)</f>
        <v>1</v>
      </c>
      <c r="AB38" s="16" t="str">
        <f>IF('MASTER DATA'!AB280="","",'MASTER DATA'!AB280)</f>
        <v>SINGLE-SIGNAL</v>
      </c>
      <c r="AC38" s="16" t="str">
        <f>IF('MASTER DATA'!AC280="","",'MASTER DATA'!AC280)</f>
        <v>Pending QME</v>
      </c>
    </row>
    <row r="39" spans="1:29" x14ac:dyDescent="0.45">
      <c r="A39" t="str">
        <f>IF('MASTER DATA'!A281="","",'MASTER DATA'!A281)</f>
        <v>SYN-CLM-0280</v>
      </c>
      <c r="B39" t="str">
        <f>IF('MASTER DATA'!B281="","",'MASTER DATA'!B281)</f>
        <v>Synthetic Claimant 0280</v>
      </c>
      <c r="C39" t="str">
        <f>IF('MASTER DATA'!C281="","",'MASTER DATA'!C281)</f>
        <v>Claims Analyst F</v>
      </c>
      <c r="D39" t="str">
        <f>IF('MASTER DATA'!D281="","",'MASTER DATA'!D281)</f>
        <v>Synthetic Policyholder 114, LLC</v>
      </c>
      <c r="E39" s="15">
        <f>IF('MASTER DATA'!E281="","",'MASTER DATA'!E281)</f>
        <v>43478</v>
      </c>
      <c r="F39" s="16" t="str">
        <f>IF('MASTER DATA'!F281="","",'MASTER DATA'!F281)</f>
        <v>Y</v>
      </c>
      <c r="G39" s="17">
        <f>IF('MASTER DATA'!G281="","",'MASTER DATA'!G281)</f>
        <v>55750</v>
      </c>
      <c r="H39" s="16" t="str">
        <f>IF('MASTER DATA'!H281="","",'MASTER DATA'!H281)</f>
        <v>Synthetic Approver 01</v>
      </c>
      <c r="I39" s="15">
        <f>IF('MASTER DATA'!I281="","",'MASTER DATA'!I281)</f>
        <v>44873</v>
      </c>
      <c r="J39" s="16" t="str">
        <f>IF('MASTER DATA'!J281="","",'MASTER DATA'!J281)</f>
        <v>N</v>
      </c>
      <c r="K39" s="15" t="str">
        <f>IF('MASTER DATA'!K281="","",'MASTER DATA'!K281)</f>
        <v/>
      </c>
      <c r="L39" s="16" t="str">
        <f>IF('MASTER DATA'!L281="","",'MASTER DATA'!L281)</f>
        <v>N</v>
      </c>
      <c r="M39" s="16" t="str">
        <f>IF('MASTER DATA'!M281="","",'MASTER DATA'!M281)</f>
        <v>N</v>
      </c>
      <c r="N39" s="15" t="str">
        <f>IF('MASTER DATA'!N281="","",'MASTER DATA'!N281)</f>
        <v/>
      </c>
      <c r="O39" s="16" t="str">
        <f>IF('MASTER DATA'!O281="","",'MASTER DATA'!O281)</f>
        <v/>
      </c>
      <c r="P39" s="16" t="str">
        <f>IF('MASTER DATA'!P281="","",'MASTER DATA'!P281)</f>
        <v>N</v>
      </c>
      <c r="Q39" s="16" t="str">
        <f>IF('MASTER DATA'!Q281="","",'MASTER DATA'!Q281)</f>
        <v/>
      </c>
      <c r="R39" s="16" t="str">
        <f>IF('MASTER DATA'!R281="","",'MASTER DATA'!R281)</f>
        <v/>
      </c>
      <c r="S39" s="16" t="str">
        <f>IF('MASTER DATA'!S281="","",'MASTER DATA'!S281)</f>
        <v>Y</v>
      </c>
      <c r="T39" s="15">
        <f>IF('MASTER DATA'!T281="","",'MASTER DATA'!T281)</f>
        <v>44553</v>
      </c>
      <c r="U39" s="16" t="str">
        <f>IF('MASTER DATA'!U281="","",'MASTER DATA'!U281)</f>
        <v>N</v>
      </c>
      <c r="V39" s="16" t="str">
        <f>IF('MASTER DATA'!V281="","",'MASTER DATA'!V281)</f>
        <v>N</v>
      </c>
      <c r="W39" s="16" t="str">
        <f>IF('MASTER DATA'!W281="","",'MASTER DATA'!W281)</f>
        <v>N</v>
      </c>
      <c r="X39" s="16" t="str">
        <f>IF('MASTER DATA'!X281="","",'MASTER DATA'!X281)</f>
        <v>N</v>
      </c>
      <c r="Y39" s="16" t="str">
        <f>IF('MASTER DATA'!Y281="","",'MASTER DATA'!Y281)</f>
        <v>N</v>
      </c>
      <c r="Z39" s="16" t="str">
        <f>IF('MASTER DATA'!Z281="","",'MASTER DATA'!Z281)</f>
        <v>N</v>
      </c>
      <c r="AA39" s="16">
        <f>IF('MASTER DATA'!AA281="","",'MASTER DATA'!AA281)</f>
        <v>2</v>
      </c>
      <c r="AB39" s="16" t="str">
        <f>IF('MASTER DATA'!AB281="","",'MASTER DATA'!AB281)</f>
        <v>MULTI-SIGNAL</v>
      </c>
      <c r="AC39" s="16" t="str">
        <f>IF('MASTER DATA'!AC281="","",'MASTER DATA'!AC281)</f>
        <v>Settlement Authorization | Inactive Customer</v>
      </c>
    </row>
    <row r="40" spans="1:29" x14ac:dyDescent="0.45">
      <c r="A40" t="str">
        <f>IF('MASTER DATA'!A282="","",'MASTER DATA'!A282)</f>
        <v>SYN-CLM-0281</v>
      </c>
      <c r="B40" t="str">
        <f>IF('MASTER DATA'!B282="","",'MASTER DATA'!B282)</f>
        <v>Synthetic Claimant 0281</v>
      </c>
      <c r="C40" t="str">
        <f>IF('MASTER DATA'!C282="","",'MASTER DATA'!C282)</f>
        <v>Claims Analyst F</v>
      </c>
      <c r="D40" t="str">
        <f>IF('MASTER DATA'!D282="","",'MASTER DATA'!D282)</f>
        <v>Synthetic Policyholder 045, LLC</v>
      </c>
      <c r="E40" s="15">
        <f>IF('MASTER DATA'!E282="","",'MASTER DATA'!E282)</f>
        <v>44813</v>
      </c>
      <c r="F40" s="16" t="str">
        <f>IF('MASTER DATA'!F282="","",'MASTER DATA'!F282)</f>
        <v>N</v>
      </c>
      <c r="G40" s="17" t="str">
        <f>IF('MASTER DATA'!G282="","",'MASTER DATA'!G282)</f>
        <v/>
      </c>
      <c r="H40" s="16" t="str">
        <f>IF('MASTER DATA'!H282="","",'MASTER DATA'!H282)</f>
        <v/>
      </c>
      <c r="I40" s="15" t="str">
        <f>IF('MASTER DATA'!I282="","",'MASTER DATA'!I282)</f>
        <v/>
      </c>
      <c r="J40" s="16" t="str">
        <f>IF('MASTER DATA'!J282="","",'MASTER DATA'!J282)</f>
        <v>N</v>
      </c>
      <c r="K40" s="15" t="str">
        <f>IF('MASTER DATA'!K282="","",'MASTER DATA'!K282)</f>
        <v/>
      </c>
      <c r="L40" s="16" t="str">
        <f>IF('MASTER DATA'!L282="","",'MASTER DATA'!L282)</f>
        <v/>
      </c>
      <c r="M40" s="16" t="str">
        <f>IF('MASTER DATA'!M282="","",'MASTER DATA'!M282)</f>
        <v>N</v>
      </c>
      <c r="N40" s="15" t="str">
        <f>IF('MASTER DATA'!N282="","",'MASTER DATA'!N282)</f>
        <v/>
      </c>
      <c r="O40" s="16" t="str">
        <f>IF('MASTER DATA'!O282="","",'MASTER DATA'!O282)</f>
        <v/>
      </c>
      <c r="P40" s="16" t="str">
        <f>IF('MASTER DATA'!P282="","",'MASTER DATA'!P282)</f>
        <v>N</v>
      </c>
      <c r="Q40" s="16" t="str">
        <f>IF('MASTER DATA'!Q282="","",'MASTER DATA'!Q282)</f>
        <v/>
      </c>
      <c r="R40" s="16" t="str">
        <f>IF('MASTER DATA'!R282="","",'MASTER DATA'!R282)</f>
        <v/>
      </c>
      <c r="S40" s="16" t="str">
        <f>IF('MASTER DATA'!S282="","",'MASTER DATA'!S282)</f>
        <v>Y</v>
      </c>
      <c r="T40" s="15">
        <f>IF('MASTER DATA'!T282="","",'MASTER DATA'!T282)</f>
        <v>46713</v>
      </c>
      <c r="U40" s="16" t="str">
        <f>IF('MASTER DATA'!U282="","",'MASTER DATA'!U282)</f>
        <v>N</v>
      </c>
      <c r="V40" s="16" t="str">
        <f>IF('MASTER DATA'!V282="","",'MASTER DATA'!V282)</f>
        <v>N</v>
      </c>
      <c r="W40" s="16" t="str">
        <f>IF('MASTER DATA'!W282="","",'MASTER DATA'!W282)</f>
        <v>N</v>
      </c>
      <c r="X40" s="16" t="str">
        <f>IF('MASTER DATA'!X282="","",'MASTER DATA'!X282)</f>
        <v>N</v>
      </c>
      <c r="Y40" s="16" t="str">
        <f>IF('MASTER DATA'!Y282="","",'MASTER DATA'!Y282)</f>
        <v>N</v>
      </c>
      <c r="Z40" s="16" t="str">
        <f>IF('MASTER DATA'!Z282="","",'MASTER DATA'!Z282)</f>
        <v>N</v>
      </c>
      <c r="AA40" s="16">
        <f>IF('MASTER DATA'!AA282="","",'MASTER DATA'!AA282)</f>
        <v>1</v>
      </c>
      <c r="AB40" s="16" t="str">
        <f>IF('MASTER DATA'!AB282="","",'MASTER DATA'!AB282)</f>
        <v>SINGLE-SIGNAL</v>
      </c>
      <c r="AC40" s="16" t="str">
        <f>IF('MASTER DATA'!AC282="","",'MASTER DATA'!AC282)</f>
        <v>Inactive Customer</v>
      </c>
    </row>
    <row r="41" spans="1:29" x14ac:dyDescent="0.45">
      <c r="A41" t="str">
        <f>IF('MASTER DATA'!A283="","",'MASTER DATA'!A283)</f>
        <v>SYN-CLM-0282</v>
      </c>
      <c r="B41" t="str">
        <f>IF('MASTER DATA'!B283="","",'MASTER DATA'!B283)</f>
        <v>Synthetic Claimant 0282</v>
      </c>
      <c r="C41" t="str">
        <f>IF('MASTER DATA'!C283="","",'MASTER DATA'!C283)</f>
        <v>Claims Analyst F</v>
      </c>
      <c r="D41" t="str">
        <f>IF('MASTER DATA'!D283="","",'MASTER DATA'!D283)</f>
        <v>Synthetic Policyholder 170, LLC</v>
      </c>
      <c r="E41" s="15">
        <f>IF('MASTER DATA'!E283="","",'MASTER DATA'!E283)</f>
        <v>45308</v>
      </c>
      <c r="F41" s="16" t="str">
        <f>IF('MASTER DATA'!F283="","",'MASTER DATA'!F283)</f>
        <v>N</v>
      </c>
      <c r="G41" s="17" t="str">
        <f>IF('MASTER DATA'!G283="","",'MASTER DATA'!G283)</f>
        <v/>
      </c>
      <c r="H41" s="16" t="str">
        <f>IF('MASTER DATA'!H283="","",'MASTER DATA'!H283)</f>
        <v/>
      </c>
      <c r="I41" s="15" t="str">
        <f>IF('MASTER DATA'!I283="","",'MASTER DATA'!I283)</f>
        <v/>
      </c>
      <c r="J41" s="16" t="str">
        <f>IF('MASTER DATA'!J283="","",'MASTER DATA'!J283)</f>
        <v>N</v>
      </c>
      <c r="K41" s="15" t="str">
        <f>IF('MASTER DATA'!K283="","",'MASTER DATA'!K283)</f>
        <v/>
      </c>
      <c r="L41" s="16" t="str">
        <f>IF('MASTER DATA'!L283="","",'MASTER DATA'!L283)</f>
        <v/>
      </c>
      <c r="M41" s="16" t="str">
        <f>IF('MASTER DATA'!M283="","",'MASTER DATA'!M283)</f>
        <v>N</v>
      </c>
      <c r="N41" s="15" t="str">
        <f>IF('MASTER DATA'!N283="","",'MASTER DATA'!N283)</f>
        <v/>
      </c>
      <c r="O41" s="16" t="str">
        <f>IF('MASTER DATA'!O283="","",'MASTER DATA'!O283)</f>
        <v/>
      </c>
      <c r="P41" s="16" t="str">
        <f>IF('MASTER DATA'!P283="","",'MASTER DATA'!P283)</f>
        <v>N</v>
      </c>
      <c r="Q41" s="16" t="str">
        <f>IF('MASTER DATA'!Q283="","",'MASTER DATA'!Q283)</f>
        <v/>
      </c>
      <c r="R41" s="16" t="str">
        <f>IF('MASTER DATA'!R283="","",'MASTER DATA'!R283)</f>
        <v/>
      </c>
      <c r="S41" s="16" t="str">
        <f>IF('MASTER DATA'!S283="","",'MASTER DATA'!S283)</f>
        <v>Y</v>
      </c>
      <c r="T41" s="15">
        <f>IF('MASTER DATA'!T283="","",'MASTER DATA'!T283)</f>
        <v>47364</v>
      </c>
      <c r="U41" s="16" t="str">
        <f>IF('MASTER DATA'!U283="","",'MASTER DATA'!U283)</f>
        <v>N</v>
      </c>
      <c r="V41" s="16" t="str">
        <f>IF('MASTER DATA'!V283="","",'MASTER DATA'!V283)</f>
        <v>N</v>
      </c>
      <c r="W41" s="16" t="str">
        <f>IF('MASTER DATA'!W283="","",'MASTER DATA'!W283)</f>
        <v>N</v>
      </c>
      <c r="X41" s="16" t="str">
        <f>IF('MASTER DATA'!X283="","",'MASTER DATA'!X283)</f>
        <v>N</v>
      </c>
      <c r="Y41" s="16" t="str">
        <f>IF('MASTER DATA'!Y283="","",'MASTER DATA'!Y283)</f>
        <v>N</v>
      </c>
      <c r="Z41" s="16" t="str">
        <f>IF('MASTER DATA'!Z283="","",'MASTER DATA'!Z283)</f>
        <v>N</v>
      </c>
      <c r="AA41" s="16">
        <f>IF('MASTER DATA'!AA283="","",'MASTER DATA'!AA283)</f>
        <v>1</v>
      </c>
      <c r="AB41" s="16" t="str">
        <f>IF('MASTER DATA'!AB283="","",'MASTER DATA'!AB283)</f>
        <v>SINGLE-SIGNAL</v>
      </c>
      <c r="AC41" s="16" t="str">
        <f>IF('MASTER DATA'!AC283="","",'MASTER DATA'!AC283)</f>
        <v>Inactive Customer</v>
      </c>
    </row>
    <row r="42" spans="1:29" x14ac:dyDescent="0.45">
      <c r="A42" t="str">
        <f>IF('MASTER DATA'!A284="","",'MASTER DATA'!A284)</f>
        <v>SYN-CLM-0283</v>
      </c>
      <c r="B42" t="str">
        <f>IF('MASTER DATA'!B284="","",'MASTER DATA'!B284)</f>
        <v>Synthetic Claimant 0283</v>
      </c>
      <c r="C42" t="str">
        <f>IF('MASTER DATA'!C284="","",'MASTER DATA'!C284)</f>
        <v>Claims Analyst F</v>
      </c>
      <c r="D42" t="str">
        <f>IF('MASTER DATA'!D284="","",'MASTER DATA'!D284)</f>
        <v>Synthetic Policyholder 115, LLC</v>
      </c>
      <c r="E42" s="15">
        <f>IF('MASTER DATA'!E284="","",'MASTER DATA'!E284)</f>
        <v>44717</v>
      </c>
      <c r="F42" s="16" t="str">
        <f>IF('MASTER DATA'!F284="","",'MASTER DATA'!F284)</f>
        <v>Y</v>
      </c>
      <c r="G42" s="17">
        <f>IF('MASTER DATA'!G284="","",'MASTER DATA'!G284)</f>
        <v>79500</v>
      </c>
      <c r="H42" s="16" t="str">
        <f>IF('MASTER DATA'!H284="","",'MASTER DATA'!H284)</f>
        <v>Synthetic Approver 12</v>
      </c>
      <c r="I42" s="15">
        <f>IF('MASTER DATA'!I284="","",'MASTER DATA'!I284)</f>
        <v>46163</v>
      </c>
      <c r="J42" s="16" t="str">
        <f>IF('MASTER DATA'!J284="","",'MASTER DATA'!J284)</f>
        <v>N</v>
      </c>
      <c r="K42" s="15" t="str">
        <f>IF('MASTER DATA'!K284="","",'MASTER DATA'!K284)</f>
        <v/>
      </c>
      <c r="L42" s="16" t="str">
        <f>IF('MASTER DATA'!L284="","",'MASTER DATA'!L284)</f>
        <v>N</v>
      </c>
      <c r="M42" s="16" t="str">
        <f>IF('MASTER DATA'!M284="","",'MASTER DATA'!M284)</f>
        <v>Y</v>
      </c>
      <c r="N42" s="15">
        <f>IF('MASTER DATA'!N284="","",'MASTER DATA'!N284)</f>
        <v>46326</v>
      </c>
      <c r="O42" s="16" t="str">
        <f>IF('MASTER DATA'!O284="","",'MASTER DATA'!O284)</f>
        <v>Synthetic QME Evaluator 11</v>
      </c>
      <c r="P42" s="16" t="str">
        <f>IF('MASTER DATA'!P284="","",'MASTER DATA'!P284)</f>
        <v>N</v>
      </c>
      <c r="Q42" s="16" t="str">
        <f>IF('MASTER DATA'!Q284="","",'MASTER DATA'!Q284)</f>
        <v/>
      </c>
      <c r="R42" s="16" t="str">
        <f>IF('MASTER DATA'!R284="","",'MASTER DATA'!R284)</f>
        <v/>
      </c>
      <c r="S42" s="16" t="str">
        <f>IF('MASTER DATA'!S284="","",'MASTER DATA'!S284)</f>
        <v>N</v>
      </c>
      <c r="T42" s="15" t="str">
        <f>IF('MASTER DATA'!T284="","",'MASTER DATA'!T284)</f>
        <v/>
      </c>
      <c r="U42" s="16" t="str">
        <f>IF('MASTER DATA'!U284="","",'MASTER DATA'!U284)</f>
        <v>N</v>
      </c>
      <c r="V42" s="16" t="str">
        <f>IF('MASTER DATA'!V284="","",'MASTER DATA'!V284)</f>
        <v>N</v>
      </c>
      <c r="W42" s="16" t="str">
        <f>IF('MASTER DATA'!W284="","",'MASTER DATA'!W284)</f>
        <v>N</v>
      </c>
      <c r="X42" s="16" t="str">
        <f>IF('MASTER DATA'!X284="","",'MASTER DATA'!X284)</f>
        <v>N</v>
      </c>
      <c r="Y42" s="16" t="str">
        <f>IF('MASTER DATA'!Y284="","",'MASTER DATA'!Y284)</f>
        <v>N</v>
      </c>
      <c r="Z42" s="16" t="str">
        <f>IF('MASTER DATA'!Z284="","",'MASTER DATA'!Z284)</f>
        <v>N</v>
      </c>
      <c r="AA42" s="16">
        <f>IF('MASTER DATA'!AA284="","",'MASTER DATA'!AA284)</f>
        <v>2</v>
      </c>
      <c r="AB42" s="16" t="str">
        <f>IF('MASTER DATA'!AB284="","",'MASTER DATA'!AB284)</f>
        <v>MULTI-SIGNAL</v>
      </c>
      <c r="AC42" s="16" t="str">
        <f>IF('MASTER DATA'!AC284="","",'MASTER DATA'!AC284)</f>
        <v>Settlement Authorization | Pending QME</v>
      </c>
    </row>
    <row r="43" spans="1:29" x14ac:dyDescent="0.45">
      <c r="A43" t="str">
        <f>IF('MASTER DATA'!A285="","",'MASTER DATA'!A285)</f>
        <v>SYN-CLM-0284</v>
      </c>
      <c r="B43" t="str">
        <f>IF('MASTER DATA'!B285="","",'MASTER DATA'!B285)</f>
        <v>Synthetic Claimant 0284</v>
      </c>
      <c r="C43" t="str">
        <f>IF('MASTER DATA'!C285="","",'MASTER DATA'!C285)</f>
        <v>Claims Analyst F</v>
      </c>
      <c r="D43" t="str">
        <f>IF('MASTER DATA'!D285="","",'MASTER DATA'!D285)</f>
        <v>Synthetic Policyholder 053, LLC</v>
      </c>
      <c r="E43" s="15">
        <f>IF('MASTER DATA'!E285="","",'MASTER DATA'!E285)</f>
        <v>44952</v>
      </c>
      <c r="F43" s="16" t="str">
        <f>IF('MASTER DATA'!F285="","",'MASTER DATA'!F285)</f>
        <v>N</v>
      </c>
      <c r="G43" s="17" t="str">
        <f>IF('MASTER DATA'!G285="","",'MASTER DATA'!G285)</f>
        <v/>
      </c>
      <c r="H43" s="16" t="str">
        <f>IF('MASTER DATA'!H285="","",'MASTER DATA'!H285)</f>
        <v/>
      </c>
      <c r="I43" s="15" t="str">
        <f>IF('MASTER DATA'!I285="","",'MASTER DATA'!I285)</f>
        <v/>
      </c>
      <c r="J43" s="16" t="str">
        <f>IF('MASTER DATA'!J285="","",'MASTER DATA'!J285)</f>
        <v>N</v>
      </c>
      <c r="K43" s="15" t="str">
        <f>IF('MASTER DATA'!K285="","",'MASTER DATA'!K285)</f>
        <v/>
      </c>
      <c r="L43" s="16" t="str">
        <f>IF('MASTER DATA'!L285="","",'MASTER DATA'!L285)</f>
        <v/>
      </c>
      <c r="M43" s="16" t="str">
        <f>IF('MASTER DATA'!M285="","",'MASTER DATA'!M285)</f>
        <v>N</v>
      </c>
      <c r="N43" s="15" t="str">
        <f>IF('MASTER DATA'!N285="","",'MASTER DATA'!N285)</f>
        <v/>
      </c>
      <c r="O43" s="16" t="str">
        <f>IF('MASTER DATA'!O285="","",'MASTER DATA'!O285)</f>
        <v/>
      </c>
      <c r="P43" s="16" t="str">
        <f>IF('MASTER DATA'!P285="","",'MASTER DATA'!P285)</f>
        <v>Y</v>
      </c>
      <c r="Q43" s="16" t="str">
        <f>IF('MASTER DATA'!Q285="","",'MASTER DATA'!Q285)</f>
        <v>MSA Eligible in Next 3 Years</v>
      </c>
      <c r="R43" s="16" t="str">
        <f>IF('MASTER DATA'!R285="","",'MASTER DATA'!R285)</f>
        <v>Denied Treatment Requests</v>
      </c>
      <c r="S43" s="16" t="str">
        <f>IF('MASTER DATA'!S285="","",'MASTER DATA'!S285)</f>
        <v>N</v>
      </c>
      <c r="T43" s="15" t="str">
        <f>IF('MASTER DATA'!T285="","",'MASTER DATA'!T285)</f>
        <v/>
      </c>
      <c r="U43" s="16" t="str">
        <f>IF('MASTER DATA'!U285="","",'MASTER DATA'!U285)</f>
        <v>N</v>
      </c>
      <c r="V43" s="16" t="str">
        <f>IF('MASTER DATA'!V285="","",'MASTER DATA'!V285)</f>
        <v>N</v>
      </c>
      <c r="W43" s="16" t="str">
        <f>IF('MASTER DATA'!W285="","",'MASTER DATA'!W285)</f>
        <v>Y</v>
      </c>
      <c r="X43" s="16" t="str">
        <f>IF('MASTER DATA'!X285="","",'MASTER DATA'!X285)</f>
        <v>N</v>
      </c>
      <c r="Y43" s="16" t="str">
        <f>IF('MASTER DATA'!Y285="","",'MASTER DATA'!Y285)</f>
        <v>N</v>
      </c>
      <c r="Z43" s="16" t="str">
        <f>IF('MASTER DATA'!Z285="","",'MASTER DATA'!Z285)</f>
        <v>Y</v>
      </c>
      <c r="AA43" s="16">
        <f>IF('MASTER DATA'!AA285="","",'MASTER DATA'!AA285)</f>
        <v>1</v>
      </c>
      <c r="AB43" s="16" t="str">
        <f>IF('MASTER DATA'!AB285="","",'MASTER DATA'!AB285)</f>
        <v>SINGLE-SIGNAL</v>
      </c>
      <c r="AC43" s="16" t="str">
        <f>IF('MASTER DATA'!AC285="","",'MASTER DATA'!AC285)</f>
        <v>Automated Claim Alert</v>
      </c>
    </row>
    <row r="44" spans="1:29" x14ac:dyDescent="0.45">
      <c r="A44" t="str">
        <f>IF('MASTER DATA'!A286="","",'MASTER DATA'!A286)</f>
        <v>SYN-CLM-0285</v>
      </c>
      <c r="B44" t="str">
        <f>IF('MASTER DATA'!B286="","",'MASTER DATA'!B286)</f>
        <v>Synthetic Claimant 0285</v>
      </c>
      <c r="C44" t="str">
        <f>IF('MASTER DATA'!C286="","",'MASTER DATA'!C286)</f>
        <v>Claims Analyst F</v>
      </c>
      <c r="D44" t="str">
        <f>IF('MASTER DATA'!D286="","",'MASTER DATA'!D286)</f>
        <v>Synthetic Policyholder 113, LLC</v>
      </c>
      <c r="E44" s="15">
        <f>IF('MASTER DATA'!E286="","",'MASTER DATA'!E286)</f>
        <v>43369</v>
      </c>
      <c r="F44" s="16" t="str">
        <f>IF('MASTER DATA'!F286="","",'MASTER DATA'!F286)</f>
        <v>N</v>
      </c>
      <c r="G44" s="17" t="str">
        <f>IF('MASTER DATA'!G286="","",'MASTER DATA'!G286)</f>
        <v/>
      </c>
      <c r="H44" s="16" t="str">
        <f>IF('MASTER DATA'!H286="","",'MASTER DATA'!H286)</f>
        <v/>
      </c>
      <c r="I44" s="15" t="str">
        <f>IF('MASTER DATA'!I286="","",'MASTER DATA'!I286)</f>
        <v/>
      </c>
      <c r="J44" s="16" t="str">
        <f>IF('MASTER DATA'!J286="","",'MASTER DATA'!J286)</f>
        <v>N</v>
      </c>
      <c r="K44" s="15" t="str">
        <f>IF('MASTER DATA'!K286="","",'MASTER DATA'!K286)</f>
        <v/>
      </c>
      <c r="L44" s="16" t="str">
        <f>IF('MASTER DATA'!L286="","",'MASTER DATA'!L286)</f>
        <v/>
      </c>
      <c r="M44" s="16" t="str">
        <f>IF('MASTER DATA'!M286="","",'MASTER DATA'!M286)</f>
        <v>Y</v>
      </c>
      <c r="N44" s="15">
        <f>IF('MASTER DATA'!N286="","",'MASTER DATA'!N286)</f>
        <v>45005</v>
      </c>
      <c r="O44" s="16" t="str">
        <f>IF('MASTER DATA'!O286="","",'MASTER DATA'!O286)</f>
        <v>Synthetic QME Evaluator 09</v>
      </c>
      <c r="P44" s="16" t="str">
        <f>IF('MASTER DATA'!P286="","",'MASTER DATA'!P286)</f>
        <v>N</v>
      </c>
      <c r="Q44" s="16" t="str">
        <f>IF('MASTER DATA'!Q286="","",'MASTER DATA'!Q286)</f>
        <v/>
      </c>
      <c r="R44" s="16" t="str">
        <f>IF('MASTER DATA'!R286="","",'MASTER DATA'!R286)</f>
        <v/>
      </c>
      <c r="S44" s="16" t="str">
        <f>IF('MASTER DATA'!S286="","",'MASTER DATA'!S286)</f>
        <v>N</v>
      </c>
      <c r="T44" s="15" t="str">
        <f>IF('MASTER DATA'!T286="","",'MASTER DATA'!T286)</f>
        <v/>
      </c>
      <c r="U44" s="16" t="str">
        <f>IF('MASTER DATA'!U286="","",'MASTER DATA'!U286)</f>
        <v>N</v>
      </c>
      <c r="V44" s="16" t="str">
        <f>IF('MASTER DATA'!V286="","",'MASTER DATA'!V286)</f>
        <v>N</v>
      </c>
      <c r="W44" s="16" t="str">
        <f>IF('MASTER DATA'!W286="","",'MASTER DATA'!W286)</f>
        <v>N</v>
      </c>
      <c r="X44" s="16" t="str">
        <f>IF('MASTER DATA'!X286="","",'MASTER DATA'!X286)</f>
        <v>N</v>
      </c>
      <c r="Y44" s="16" t="str">
        <f>IF('MASTER DATA'!Y286="","",'MASTER DATA'!Y286)</f>
        <v>N</v>
      </c>
      <c r="Z44" s="16" t="str">
        <f>IF('MASTER DATA'!Z286="","",'MASTER DATA'!Z286)</f>
        <v>N</v>
      </c>
      <c r="AA44" s="16">
        <f>IF('MASTER DATA'!AA286="","",'MASTER DATA'!AA286)</f>
        <v>1</v>
      </c>
      <c r="AB44" s="16" t="str">
        <f>IF('MASTER DATA'!AB286="","",'MASTER DATA'!AB286)</f>
        <v>SINGLE-SIGNAL</v>
      </c>
      <c r="AC44" s="16" t="str">
        <f>IF('MASTER DATA'!AC286="","",'MASTER DATA'!AC286)</f>
        <v>Pending QME</v>
      </c>
    </row>
    <row r="45" spans="1:29" x14ac:dyDescent="0.45">
      <c r="A45" t="str">
        <f>IF('MASTER DATA'!A287="","",'MASTER DATA'!A287)</f>
        <v>SYN-CLM-0286</v>
      </c>
      <c r="B45" t="str">
        <f>IF('MASTER DATA'!B287="","",'MASTER DATA'!B287)</f>
        <v>Synthetic Claimant 0286</v>
      </c>
      <c r="C45" t="str">
        <f>IF('MASTER DATA'!C287="","",'MASTER DATA'!C287)</f>
        <v>Claims Analyst F</v>
      </c>
      <c r="D45" t="str">
        <f>IF('MASTER DATA'!D287="","",'MASTER DATA'!D287)</f>
        <v>Synthetic Policyholder 075, LLC</v>
      </c>
      <c r="E45" s="15">
        <f>IF('MASTER DATA'!E287="","",'MASTER DATA'!E287)</f>
        <v>45435</v>
      </c>
      <c r="F45" s="16" t="str">
        <f>IF('MASTER DATA'!F287="","",'MASTER DATA'!F287)</f>
        <v>N</v>
      </c>
      <c r="G45" s="17" t="str">
        <f>IF('MASTER DATA'!G287="","",'MASTER DATA'!G287)</f>
        <v/>
      </c>
      <c r="H45" s="16" t="str">
        <f>IF('MASTER DATA'!H287="","",'MASTER DATA'!H287)</f>
        <v/>
      </c>
      <c r="I45" s="15" t="str">
        <f>IF('MASTER DATA'!I287="","",'MASTER DATA'!I287)</f>
        <v/>
      </c>
      <c r="J45" s="16" t="str">
        <f>IF('MASTER DATA'!J287="","",'MASTER DATA'!J287)</f>
        <v>N</v>
      </c>
      <c r="K45" s="15" t="str">
        <f>IF('MASTER DATA'!K287="","",'MASTER DATA'!K287)</f>
        <v/>
      </c>
      <c r="L45" s="16" t="str">
        <f>IF('MASTER DATA'!L287="","",'MASTER DATA'!L287)</f>
        <v/>
      </c>
      <c r="M45" s="16" t="str">
        <f>IF('MASTER DATA'!M287="","",'MASTER DATA'!M287)</f>
        <v>N</v>
      </c>
      <c r="N45" s="15" t="str">
        <f>IF('MASTER DATA'!N287="","",'MASTER DATA'!N287)</f>
        <v/>
      </c>
      <c r="O45" s="16" t="str">
        <f>IF('MASTER DATA'!O287="","",'MASTER DATA'!O287)</f>
        <v/>
      </c>
      <c r="P45" s="16" t="str">
        <f>IF('MASTER DATA'!P287="","",'MASTER DATA'!P287)</f>
        <v>Y</v>
      </c>
      <c r="Q45" s="16" t="str">
        <f>IF('MASTER DATA'!Q287="","",'MASTER DATA'!Q287)</f>
        <v>MMI Date Reported; Denied Treatment Requests</v>
      </c>
      <c r="R45" s="16" t="str">
        <f>IF('MASTER DATA'!R287="","",'MASTER DATA'!R287)</f>
        <v>MSA Eligible in Next 3 Years</v>
      </c>
      <c r="S45" s="16" t="str">
        <f>IF('MASTER DATA'!S287="","",'MASTER DATA'!S287)</f>
        <v>N</v>
      </c>
      <c r="T45" s="15" t="str">
        <f>IF('MASTER DATA'!T287="","",'MASTER DATA'!T287)</f>
        <v/>
      </c>
      <c r="U45" s="16" t="str">
        <f>IF('MASTER DATA'!U287="","",'MASTER DATA'!U287)</f>
        <v>N</v>
      </c>
      <c r="V45" s="16" t="str">
        <f>IF('MASTER DATA'!V287="","",'MASTER DATA'!V287)</f>
        <v>Y</v>
      </c>
      <c r="W45" s="16" t="str">
        <f>IF('MASTER DATA'!W287="","",'MASTER DATA'!W287)</f>
        <v>Y</v>
      </c>
      <c r="X45" s="16" t="str">
        <f>IF('MASTER DATA'!X287="","",'MASTER DATA'!X287)</f>
        <v>N</v>
      </c>
      <c r="Y45" s="16" t="str">
        <f>IF('MASTER DATA'!Y287="","",'MASTER DATA'!Y287)</f>
        <v>N</v>
      </c>
      <c r="Z45" s="16" t="str">
        <f>IF('MASTER DATA'!Z287="","",'MASTER DATA'!Z287)</f>
        <v>Y</v>
      </c>
      <c r="AA45" s="16">
        <f>IF('MASTER DATA'!AA287="","",'MASTER DATA'!AA287)</f>
        <v>1</v>
      </c>
      <c r="AB45" s="16" t="str">
        <f>IF('MASTER DATA'!AB287="","",'MASTER DATA'!AB287)</f>
        <v>SINGLE-SIGNAL</v>
      </c>
      <c r="AC45" s="16" t="str">
        <f>IF('MASTER DATA'!AC287="","",'MASTER DATA'!AC287)</f>
        <v>Automated Claim Alert</v>
      </c>
    </row>
    <row r="46" spans="1:29" x14ac:dyDescent="0.45">
      <c r="A46" t="str">
        <f>IF('MASTER DATA'!A288="","",'MASTER DATA'!A288)</f>
        <v>SYN-CLM-0287</v>
      </c>
      <c r="B46" t="str">
        <f>IF('MASTER DATA'!B288="","",'MASTER DATA'!B288)</f>
        <v>Synthetic Claimant 0287</v>
      </c>
      <c r="C46" t="str">
        <f>IF('MASTER DATA'!C288="","",'MASTER DATA'!C288)</f>
        <v>Claims Analyst F</v>
      </c>
      <c r="D46" t="str">
        <f>IF('MASTER DATA'!D288="","",'MASTER DATA'!D288)</f>
        <v>Synthetic Policyholder 142, LLC</v>
      </c>
      <c r="E46" s="15">
        <f>IF('MASTER DATA'!E288="","",'MASTER DATA'!E288)</f>
        <v>43496</v>
      </c>
      <c r="F46" s="16" t="str">
        <f>IF('MASTER DATA'!F288="","",'MASTER DATA'!F288)</f>
        <v>Y</v>
      </c>
      <c r="G46" s="17">
        <f>IF('MASTER DATA'!G288="","",'MASTER DATA'!G288)</f>
        <v>133750</v>
      </c>
      <c r="H46" s="16" t="str">
        <f>IF('MASTER DATA'!H288="","",'MASTER DATA'!H288)</f>
        <v>Synthetic Approver 06</v>
      </c>
      <c r="I46" s="15">
        <f>IF('MASTER DATA'!I288="","",'MASTER DATA'!I288)</f>
        <v>44686</v>
      </c>
      <c r="J46" s="16" t="str">
        <f>IF('MASTER DATA'!J288="","",'MASTER DATA'!J288)</f>
        <v>Y</v>
      </c>
      <c r="K46" s="15">
        <f>IF('MASTER DATA'!K288="","",'MASTER DATA'!K288)</f>
        <v>43613</v>
      </c>
      <c r="L46" s="16" t="str">
        <f>IF('MASTER DATA'!L288="","",'MASTER DATA'!L288)</f>
        <v>Y</v>
      </c>
      <c r="M46" s="16" t="str">
        <f>IF('MASTER DATA'!M288="","",'MASTER DATA'!M288)</f>
        <v>Y</v>
      </c>
      <c r="N46" s="15">
        <f>IF('MASTER DATA'!N288="","",'MASTER DATA'!N288)</f>
        <v>45026</v>
      </c>
      <c r="O46" s="16" t="str">
        <f>IF('MASTER DATA'!O288="","",'MASTER DATA'!O288)</f>
        <v>Synthetic QME Evaluator 16</v>
      </c>
      <c r="P46" s="16" t="str">
        <f>IF('MASTER DATA'!P288="","",'MASTER DATA'!P288)</f>
        <v>N</v>
      </c>
      <c r="Q46" s="16" t="str">
        <f>IF('MASTER DATA'!Q288="","",'MASTER DATA'!Q288)</f>
        <v/>
      </c>
      <c r="R46" s="16" t="str">
        <f>IF('MASTER DATA'!R288="","",'MASTER DATA'!R288)</f>
        <v/>
      </c>
      <c r="S46" s="16" t="str">
        <f>IF('MASTER DATA'!S288="","",'MASTER DATA'!S288)</f>
        <v>N</v>
      </c>
      <c r="T46" s="15" t="str">
        <f>IF('MASTER DATA'!T288="","",'MASTER DATA'!T288)</f>
        <v/>
      </c>
      <c r="U46" s="16" t="str">
        <f>IF('MASTER DATA'!U288="","",'MASTER DATA'!U288)</f>
        <v>N</v>
      </c>
      <c r="V46" s="16" t="str">
        <f>IF('MASTER DATA'!V288="","",'MASTER DATA'!V288)</f>
        <v>N</v>
      </c>
      <c r="W46" s="16" t="str">
        <f>IF('MASTER DATA'!W288="","",'MASTER DATA'!W288)</f>
        <v>N</v>
      </c>
      <c r="X46" s="16" t="str">
        <f>IF('MASTER DATA'!X288="","",'MASTER DATA'!X288)</f>
        <v>N</v>
      </c>
      <c r="Y46" s="16" t="str">
        <f>IF('MASTER DATA'!Y288="","",'MASTER DATA'!Y288)</f>
        <v>N</v>
      </c>
      <c r="Z46" s="16" t="str">
        <f>IF('MASTER DATA'!Z288="","",'MASTER DATA'!Z288)</f>
        <v>N</v>
      </c>
      <c r="AA46" s="16">
        <f>IF('MASTER DATA'!AA288="","",'MASTER DATA'!AA288)</f>
        <v>3</v>
      </c>
      <c r="AB46" s="16" t="str">
        <f>IF('MASTER DATA'!AB288="","",'MASTER DATA'!AB288)</f>
        <v>ELEVATED MULTI-SIGNAL</v>
      </c>
      <c r="AC46" s="16" t="str">
        <f>IF('MASTER DATA'!AC288="","",'MASTER DATA'!AC288)</f>
        <v>Settlement Authorization | Open Stipulation | Pending QME</v>
      </c>
    </row>
    <row r="47" spans="1:29" x14ac:dyDescent="0.45">
      <c r="A47" t="str">
        <f>IF('MASTER DATA'!A289="","",'MASTER DATA'!A289)</f>
        <v>SYN-CLM-0288</v>
      </c>
      <c r="B47" t="str">
        <f>IF('MASTER DATA'!B289="","",'MASTER DATA'!B289)</f>
        <v>Synthetic Claimant 0288</v>
      </c>
      <c r="C47" t="str">
        <f>IF('MASTER DATA'!C289="","",'MASTER DATA'!C289)</f>
        <v>Claims Analyst F</v>
      </c>
      <c r="D47" t="str">
        <f>IF('MASTER DATA'!D289="","",'MASTER DATA'!D289)</f>
        <v>Synthetic Policyholder 080, LLC</v>
      </c>
      <c r="E47" s="15">
        <f>IF('MASTER DATA'!E289="","",'MASTER DATA'!E289)</f>
        <v>44786</v>
      </c>
      <c r="F47" s="16" t="str">
        <f>IF('MASTER DATA'!F289="","",'MASTER DATA'!F289)</f>
        <v>Y</v>
      </c>
      <c r="G47" s="17">
        <f>IF('MASTER DATA'!G289="","",'MASTER DATA'!G289)</f>
        <v>96250</v>
      </c>
      <c r="H47" s="16" t="str">
        <f>IF('MASTER DATA'!H289="","",'MASTER DATA'!H289)</f>
        <v>Synthetic Approver 07</v>
      </c>
      <c r="I47" s="15">
        <f>IF('MASTER DATA'!I289="","",'MASTER DATA'!I289)</f>
        <v>45989</v>
      </c>
      <c r="J47" s="16" t="str">
        <f>IF('MASTER DATA'!J289="","",'MASTER DATA'!J289)</f>
        <v>N</v>
      </c>
      <c r="K47" s="15" t="str">
        <f>IF('MASTER DATA'!K289="","",'MASTER DATA'!K289)</f>
        <v/>
      </c>
      <c r="L47" s="16" t="str">
        <f>IF('MASTER DATA'!L289="","",'MASTER DATA'!L289)</f>
        <v>Y</v>
      </c>
      <c r="M47" s="16" t="str">
        <f>IF('MASTER DATA'!M289="","",'MASTER DATA'!M289)</f>
        <v>N</v>
      </c>
      <c r="N47" s="15" t="str">
        <f>IF('MASTER DATA'!N289="","",'MASTER DATA'!N289)</f>
        <v/>
      </c>
      <c r="O47" s="16" t="str">
        <f>IF('MASTER DATA'!O289="","",'MASTER DATA'!O289)</f>
        <v/>
      </c>
      <c r="P47" s="16" t="str">
        <f>IF('MASTER DATA'!P289="","",'MASTER DATA'!P289)</f>
        <v>Y</v>
      </c>
      <c r="Q47" s="16" t="str">
        <f>IF('MASTER DATA'!Q289="","",'MASTER DATA'!Q289)</f>
        <v>MMI Date Reported</v>
      </c>
      <c r="R47" s="16" t="str">
        <f>IF('MASTER DATA'!R289="","",'MASTER DATA'!R289)</f>
        <v>Specialist Consultation Requested; MSA Eligible in Next 3 Years</v>
      </c>
      <c r="S47" s="16" t="str">
        <f>IF('MASTER DATA'!S289="","",'MASTER DATA'!S289)</f>
        <v>N</v>
      </c>
      <c r="T47" s="15" t="str">
        <f>IF('MASTER DATA'!T289="","",'MASTER DATA'!T289)</f>
        <v/>
      </c>
      <c r="U47" s="16" t="str">
        <f>IF('MASTER DATA'!U289="","",'MASTER DATA'!U289)</f>
        <v>N</v>
      </c>
      <c r="V47" s="16" t="str">
        <f>IF('MASTER DATA'!V289="","",'MASTER DATA'!V289)</f>
        <v>Y</v>
      </c>
      <c r="W47" s="16" t="str">
        <f>IF('MASTER DATA'!W289="","",'MASTER DATA'!W289)</f>
        <v>N</v>
      </c>
      <c r="X47" s="16" t="str">
        <f>IF('MASTER DATA'!X289="","",'MASTER DATA'!X289)</f>
        <v>Y</v>
      </c>
      <c r="Y47" s="16" t="str">
        <f>IF('MASTER DATA'!Y289="","",'MASTER DATA'!Y289)</f>
        <v>N</v>
      </c>
      <c r="Z47" s="16" t="str">
        <f>IF('MASTER DATA'!Z289="","",'MASTER DATA'!Z289)</f>
        <v>Y</v>
      </c>
      <c r="AA47" s="16">
        <f>IF('MASTER DATA'!AA289="","",'MASTER DATA'!AA289)</f>
        <v>2</v>
      </c>
      <c r="AB47" s="16" t="str">
        <f>IF('MASTER DATA'!AB289="","",'MASTER DATA'!AB289)</f>
        <v>MULTI-SIGNAL</v>
      </c>
      <c r="AC47" s="16" t="str">
        <f>IF('MASTER DATA'!AC289="","",'MASTER DATA'!AC289)</f>
        <v>Settlement Authorization | Automated Claim Alert</v>
      </c>
    </row>
    <row r="48" spans="1:29" x14ac:dyDescent="0.45">
      <c r="A48" t="str">
        <f>IF('MASTER DATA'!A290="","",'MASTER DATA'!A290)</f>
        <v>SYN-CLM-0289</v>
      </c>
      <c r="B48" t="str">
        <f>IF('MASTER DATA'!B290="","",'MASTER DATA'!B290)</f>
        <v>Synthetic Claimant 0289</v>
      </c>
      <c r="C48" t="str">
        <f>IF('MASTER DATA'!C290="","",'MASTER DATA'!C290)</f>
        <v>Claims Analyst F</v>
      </c>
      <c r="D48" t="str">
        <f>IF('MASTER DATA'!D290="","",'MASTER DATA'!D290)</f>
        <v>Synthetic Policyholder 031, LLC</v>
      </c>
      <c r="E48" s="15">
        <f>IF('MASTER DATA'!E290="","",'MASTER DATA'!E290)</f>
        <v>45658</v>
      </c>
      <c r="F48" s="16" t="str">
        <f>IF('MASTER DATA'!F290="","",'MASTER DATA'!F290)</f>
        <v>Y</v>
      </c>
      <c r="G48" s="17">
        <f>IF('MASTER DATA'!G290="","",'MASTER DATA'!G290)</f>
        <v>122250</v>
      </c>
      <c r="H48" s="16" t="str">
        <f>IF('MASTER DATA'!H290="","",'MASTER DATA'!H290)</f>
        <v>Synthetic Approver 06</v>
      </c>
      <c r="I48" s="15">
        <f>IF('MASTER DATA'!I290="","",'MASTER DATA'!I290)</f>
        <v>45714</v>
      </c>
      <c r="J48" s="16" t="str">
        <f>IF('MASTER DATA'!J290="","",'MASTER DATA'!J290)</f>
        <v>N</v>
      </c>
      <c r="K48" s="15" t="str">
        <f>IF('MASTER DATA'!K290="","",'MASTER DATA'!K290)</f>
        <v/>
      </c>
      <c r="L48" s="16" t="str">
        <f>IF('MASTER DATA'!L290="","",'MASTER DATA'!L290)</f>
        <v>Y</v>
      </c>
      <c r="M48" s="16" t="str">
        <f>IF('MASTER DATA'!M290="","",'MASTER DATA'!M290)</f>
        <v>N</v>
      </c>
      <c r="N48" s="15" t="str">
        <f>IF('MASTER DATA'!N290="","",'MASTER DATA'!N290)</f>
        <v/>
      </c>
      <c r="O48" s="16" t="str">
        <f>IF('MASTER DATA'!O290="","",'MASTER DATA'!O290)</f>
        <v/>
      </c>
      <c r="P48" s="16" t="str">
        <f>IF('MASTER DATA'!P290="","",'MASTER DATA'!P290)</f>
        <v>N</v>
      </c>
      <c r="Q48" s="16" t="str">
        <f>IF('MASTER DATA'!Q290="","",'MASTER DATA'!Q290)</f>
        <v/>
      </c>
      <c r="R48" s="16" t="str">
        <f>IF('MASTER DATA'!R290="","",'MASTER DATA'!R290)</f>
        <v/>
      </c>
      <c r="S48" s="16" t="str">
        <f>IF('MASTER DATA'!S290="","",'MASTER DATA'!S290)</f>
        <v>N</v>
      </c>
      <c r="T48" s="15" t="str">
        <f>IF('MASTER DATA'!T290="","",'MASTER DATA'!T290)</f>
        <v/>
      </c>
      <c r="U48" s="16" t="str">
        <f>IF('MASTER DATA'!U290="","",'MASTER DATA'!U290)</f>
        <v>N</v>
      </c>
      <c r="V48" s="16" t="str">
        <f>IF('MASTER DATA'!V290="","",'MASTER DATA'!V290)</f>
        <v>N</v>
      </c>
      <c r="W48" s="16" t="str">
        <f>IF('MASTER DATA'!W290="","",'MASTER DATA'!W290)</f>
        <v>N</v>
      </c>
      <c r="X48" s="16" t="str">
        <f>IF('MASTER DATA'!X290="","",'MASTER DATA'!X290)</f>
        <v>N</v>
      </c>
      <c r="Y48" s="16" t="str">
        <f>IF('MASTER DATA'!Y290="","",'MASTER DATA'!Y290)</f>
        <v>N</v>
      </c>
      <c r="Z48" s="16" t="str">
        <f>IF('MASTER DATA'!Z290="","",'MASTER DATA'!Z290)</f>
        <v>N</v>
      </c>
      <c r="AA48" s="16">
        <f>IF('MASTER DATA'!AA290="","",'MASTER DATA'!AA290)</f>
        <v>1</v>
      </c>
      <c r="AB48" s="16" t="str">
        <f>IF('MASTER DATA'!AB290="","",'MASTER DATA'!AB290)</f>
        <v>SINGLE-SIGNAL</v>
      </c>
      <c r="AC48" s="16" t="str">
        <f>IF('MASTER DATA'!AC290="","",'MASTER DATA'!AC290)</f>
        <v>Settlement Authorization</v>
      </c>
    </row>
    <row r="49" spans="1:29" x14ac:dyDescent="0.45">
      <c r="A49" t="str">
        <f>IF('MASTER DATA'!A291="","",'MASTER DATA'!A291)</f>
        <v>SYN-CLM-0290</v>
      </c>
      <c r="B49" t="str">
        <f>IF('MASTER DATA'!B291="","",'MASTER DATA'!B291)</f>
        <v>Synthetic Claimant 0290</v>
      </c>
      <c r="C49" t="str">
        <f>IF('MASTER DATA'!C291="","",'MASTER DATA'!C291)</f>
        <v>Claims Analyst F</v>
      </c>
      <c r="D49" t="str">
        <f>IF('MASTER DATA'!D291="","",'MASTER DATA'!D291)</f>
        <v>Synthetic Policyholder 114, LLC</v>
      </c>
      <c r="E49" s="15">
        <f>IF('MASTER DATA'!E291="","",'MASTER DATA'!E291)</f>
        <v>46010</v>
      </c>
      <c r="F49" s="16" t="str">
        <f>IF('MASTER DATA'!F291="","",'MASTER DATA'!F291)</f>
        <v>Y</v>
      </c>
      <c r="G49" s="17">
        <f>IF('MASTER DATA'!G291="","",'MASTER DATA'!G291)</f>
        <v>64500</v>
      </c>
      <c r="H49" s="16" t="str">
        <f>IF('MASTER DATA'!H291="","",'MASTER DATA'!H291)</f>
        <v>Synthetic Approver 07</v>
      </c>
      <c r="I49" s="15">
        <f>IF('MASTER DATA'!I291="","",'MASTER DATA'!I291)</f>
        <v>46260</v>
      </c>
      <c r="J49" s="16" t="str">
        <f>IF('MASTER DATA'!J291="","",'MASTER DATA'!J291)</f>
        <v>N</v>
      </c>
      <c r="K49" s="15" t="str">
        <f>IF('MASTER DATA'!K291="","",'MASTER DATA'!K291)</f>
        <v/>
      </c>
      <c r="L49" s="16" t="str">
        <f>IF('MASTER DATA'!L291="","",'MASTER DATA'!L291)</f>
        <v>N</v>
      </c>
      <c r="M49" s="16" t="str">
        <f>IF('MASTER DATA'!M291="","",'MASTER DATA'!M291)</f>
        <v>N</v>
      </c>
      <c r="N49" s="15" t="str">
        <f>IF('MASTER DATA'!N291="","",'MASTER DATA'!N291)</f>
        <v/>
      </c>
      <c r="O49" s="16" t="str">
        <f>IF('MASTER DATA'!O291="","",'MASTER DATA'!O291)</f>
        <v/>
      </c>
      <c r="P49" s="16" t="str">
        <f>IF('MASTER DATA'!P291="","",'MASTER DATA'!P291)</f>
        <v>N</v>
      </c>
      <c r="Q49" s="16" t="str">
        <f>IF('MASTER DATA'!Q291="","",'MASTER DATA'!Q291)</f>
        <v/>
      </c>
      <c r="R49" s="16" t="str">
        <f>IF('MASTER DATA'!R291="","",'MASTER DATA'!R291)</f>
        <v/>
      </c>
      <c r="S49" s="16" t="str">
        <f>IF('MASTER DATA'!S291="","",'MASTER DATA'!S291)</f>
        <v>Y</v>
      </c>
      <c r="T49" s="15">
        <f>IF('MASTER DATA'!T291="","",'MASTER DATA'!T291)</f>
        <v>46463</v>
      </c>
      <c r="U49" s="16" t="str">
        <f>IF('MASTER DATA'!U291="","",'MASTER DATA'!U291)</f>
        <v>N</v>
      </c>
      <c r="V49" s="16" t="str">
        <f>IF('MASTER DATA'!V291="","",'MASTER DATA'!V291)</f>
        <v>N</v>
      </c>
      <c r="W49" s="16" t="str">
        <f>IF('MASTER DATA'!W291="","",'MASTER DATA'!W291)</f>
        <v>N</v>
      </c>
      <c r="X49" s="16" t="str">
        <f>IF('MASTER DATA'!X291="","",'MASTER DATA'!X291)</f>
        <v>N</v>
      </c>
      <c r="Y49" s="16" t="str">
        <f>IF('MASTER DATA'!Y291="","",'MASTER DATA'!Y291)</f>
        <v>N</v>
      </c>
      <c r="Z49" s="16" t="str">
        <f>IF('MASTER DATA'!Z291="","",'MASTER DATA'!Z291)</f>
        <v>N</v>
      </c>
      <c r="AA49" s="16">
        <f>IF('MASTER DATA'!AA291="","",'MASTER DATA'!AA291)</f>
        <v>2</v>
      </c>
      <c r="AB49" s="16" t="str">
        <f>IF('MASTER DATA'!AB291="","",'MASTER DATA'!AB291)</f>
        <v>MULTI-SIGNAL</v>
      </c>
      <c r="AC49" s="16" t="str">
        <f>IF('MASTER DATA'!AC291="","",'MASTER DATA'!AC291)</f>
        <v>Settlement Authorization | Inactive Customer</v>
      </c>
    </row>
  </sheetData>
  <conditionalFormatting sqref="A2:AC49">
    <cfRule type="expression" dxfId="6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5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66.59765625" bestFit="1" customWidth="1"/>
    <col min="18" max="18" width="50.664062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72.39843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DATA'!A4="","",'MASTER DATA'!A4)</f>
        <v>SYN-CLM-0003</v>
      </c>
      <c r="B2" t="str">
        <f>IF('MASTER DATA'!B4="","",'MASTER DATA'!B4)</f>
        <v>Synthetic Claimant 0003</v>
      </c>
      <c r="C2" t="str">
        <f>IF('MASTER DATA'!C4="","",'MASTER DATA'!C4)</f>
        <v>Claims Analyst G</v>
      </c>
      <c r="D2" t="str">
        <f>IF('MASTER DATA'!D4="","",'MASTER DATA'!D4)</f>
        <v>Synthetic Policyholder 147, LLC</v>
      </c>
      <c r="E2" s="15">
        <f>IF('MASTER DATA'!E4="","",'MASTER DATA'!E4)</f>
        <v>45745</v>
      </c>
      <c r="F2" s="16" t="str">
        <f>IF('MASTER DATA'!F4="","",'MASTER DATA'!F4)</f>
        <v>Y</v>
      </c>
      <c r="G2" s="17">
        <f>IF('MASTER DATA'!G4="","",'MASTER DATA'!G4)</f>
        <v>138750</v>
      </c>
      <c r="H2" s="16" t="str">
        <f>IF('MASTER DATA'!H4="","",'MASTER DATA'!H4)</f>
        <v>Synthetic Approver 11</v>
      </c>
      <c r="I2" s="15">
        <f>IF('MASTER DATA'!I4="","",'MASTER DATA'!I4)</f>
        <v>46948</v>
      </c>
      <c r="J2" s="16" t="str">
        <f>IF('MASTER DATA'!J4="","",'MASTER DATA'!J4)</f>
        <v>N</v>
      </c>
      <c r="K2" s="15" t="str">
        <f>IF('MASTER DATA'!K4="","",'MASTER DATA'!K4)</f>
        <v/>
      </c>
      <c r="L2" s="16" t="str">
        <f>IF('MASTER DATA'!L4="","",'MASTER DATA'!L4)</f>
        <v>N</v>
      </c>
      <c r="M2" s="16" t="str">
        <f>IF('MASTER DATA'!M4="","",'MASTER DATA'!M4)</f>
        <v>N</v>
      </c>
      <c r="N2" s="15" t="str">
        <f>IF('MASTER DATA'!N4="","",'MASTER DATA'!N4)</f>
        <v/>
      </c>
      <c r="O2" s="16" t="str">
        <f>IF('MASTER DATA'!O4="","",'MASTER DATA'!O4)</f>
        <v/>
      </c>
      <c r="P2" s="16" t="str">
        <f>IF('MASTER DATA'!P4="","",'MASTER DATA'!P4)</f>
        <v>N</v>
      </c>
      <c r="Q2" s="16" t="str">
        <f>IF('MASTER DATA'!Q4="","",'MASTER DATA'!Q4)</f>
        <v/>
      </c>
      <c r="R2" s="16" t="str">
        <f>IF('MASTER DATA'!R4="","",'MASTER DATA'!R4)</f>
        <v/>
      </c>
      <c r="S2" s="16" t="str">
        <f>IF('MASTER DATA'!S4="","",'MASTER DATA'!S4)</f>
        <v>N</v>
      </c>
      <c r="T2" s="15" t="str">
        <f>IF('MASTER DATA'!T4="","",'MASTER DATA'!T4)</f>
        <v/>
      </c>
      <c r="U2" s="16" t="str">
        <f>IF('MASTER DATA'!U4="","",'MASTER DATA'!U4)</f>
        <v>N</v>
      </c>
      <c r="V2" s="16" t="str">
        <f>IF('MASTER DATA'!V4="","",'MASTER DATA'!V4)</f>
        <v>N</v>
      </c>
      <c r="W2" s="16" t="str">
        <f>IF('MASTER DATA'!W4="","",'MASTER DATA'!W4)</f>
        <v>N</v>
      </c>
      <c r="X2" s="16" t="str">
        <f>IF('MASTER DATA'!X4="","",'MASTER DATA'!X4)</f>
        <v>N</v>
      </c>
      <c r="Y2" s="16" t="str">
        <f>IF('MASTER DATA'!Y4="","",'MASTER DATA'!Y4)</f>
        <v>N</v>
      </c>
      <c r="Z2" s="16" t="str">
        <f>IF('MASTER DATA'!Z4="","",'MASTER DATA'!Z4)</f>
        <v>N</v>
      </c>
      <c r="AA2" s="16">
        <f>IF('MASTER DATA'!AA4="","",'MASTER DATA'!AA4)</f>
        <v>1</v>
      </c>
      <c r="AB2" s="16" t="str">
        <f>IF('MASTER DATA'!AB4="","",'MASTER DATA'!AB4)</f>
        <v>SINGLE-SIGNAL</v>
      </c>
      <c r="AC2" s="16" t="str">
        <f>IF('MASTER DATA'!AC4="","",'MASTER DATA'!AC4)</f>
        <v>Settlement Authorization</v>
      </c>
    </row>
    <row r="3" spans="1:29" x14ac:dyDescent="0.45">
      <c r="A3" t="str">
        <f>IF('MASTER DATA'!A60="","",'MASTER DATA'!A60)</f>
        <v>SYN-CLM-0059</v>
      </c>
      <c r="B3" t="str">
        <f>IF('MASTER DATA'!B60="","",'MASTER DATA'!B60)</f>
        <v>Synthetic Claimant 0059</v>
      </c>
      <c r="C3" t="str">
        <f>IF('MASTER DATA'!C60="","",'MASTER DATA'!C60)</f>
        <v>Claims Analyst G</v>
      </c>
      <c r="D3" t="str">
        <f>IF('MASTER DATA'!D60="","",'MASTER DATA'!D60)</f>
        <v>Synthetic Policyholder 050, LLC</v>
      </c>
      <c r="E3" s="15">
        <f>IF('MASTER DATA'!E60="","",'MASTER DATA'!E60)</f>
        <v>44994</v>
      </c>
      <c r="F3" s="16" t="str">
        <f>IF('MASTER DATA'!F60="","",'MASTER DATA'!F60)</f>
        <v>Y</v>
      </c>
      <c r="G3" s="17">
        <f>IF('MASTER DATA'!G60="","",'MASTER DATA'!G60)</f>
        <v>98000</v>
      </c>
      <c r="H3" s="16" t="str">
        <f>IF('MASTER DATA'!H60="","",'MASTER DATA'!H60)</f>
        <v>Synthetic Approver 04</v>
      </c>
      <c r="I3" s="15">
        <f>IF('MASTER DATA'!I60="","",'MASTER DATA'!I60)</f>
        <v>46079</v>
      </c>
      <c r="J3" s="16" t="str">
        <f>IF('MASTER DATA'!J60="","",'MASTER DATA'!J60)</f>
        <v>Y</v>
      </c>
      <c r="K3" s="15">
        <f>IF('MASTER DATA'!K60="","",'MASTER DATA'!K60)</f>
        <v>46245</v>
      </c>
      <c r="L3" s="16" t="str">
        <f>IF('MASTER DATA'!L60="","",'MASTER DATA'!L60)</f>
        <v>N</v>
      </c>
      <c r="M3" s="16" t="str">
        <f>IF('MASTER DATA'!M60="","",'MASTER DATA'!M60)</f>
        <v>N</v>
      </c>
      <c r="N3" s="15" t="str">
        <f>IF('MASTER DATA'!N60="","",'MASTER DATA'!N60)</f>
        <v/>
      </c>
      <c r="O3" s="16" t="str">
        <f>IF('MASTER DATA'!O60="","",'MASTER DATA'!O60)</f>
        <v/>
      </c>
      <c r="P3" s="16" t="str">
        <f>IF('MASTER DATA'!P60="","",'MASTER DATA'!P60)</f>
        <v>Y</v>
      </c>
      <c r="Q3" s="16" t="str">
        <f>IF('MASTER DATA'!Q60="","",'MASTER DATA'!Q60)</f>
        <v>Specialist Consultation Requested; Denied Treatment Requests; Surgery Requested</v>
      </c>
      <c r="R3" s="16" t="str">
        <f>IF('MASTER DATA'!R60="","",'MASTER DATA'!R60)</f>
        <v/>
      </c>
      <c r="S3" s="16" t="str">
        <f>IF('MASTER DATA'!S60="","",'MASTER DATA'!S60)</f>
        <v>N</v>
      </c>
      <c r="T3" s="15" t="str">
        <f>IF('MASTER DATA'!T60="","",'MASTER DATA'!T60)</f>
        <v/>
      </c>
      <c r="U3" s="16" t="str">
        <f>IF('MASTER DATA'!U60="","",'MASTER DATA'!U60)</f>
        <v>Y</v>
      </c>
      <c r="V3" s="16" t="str">
        <f>IF('MASTER DATA'!V60="","",'MASTER DATA'!V60)</f>
        <v>N</v>
      </c>
      <c r="W3" s="16" t="str">
        <f>IF('MASTER DATA'!W60="","",'MASTER DATA'!W60)</f>
        <v>Y</v>
      </c>
      <c r="X3" s="16" t="str">
        <f>IF('MASTER DATA'!X60="","",'MASTER DATA'!X60)</f>
        <v>Y</v>
      </c>
      <c r="Y3" s="16" t="str">
        <f>IF('MASTER DATA'!Y60="","",'MASTER DATA'!Y60)</f>
        <v>N</v>
      </c>
      <c r="Z3" s="16" t="str">
        <f>IF('MASTER DATA'!Z60="","",'MASTER DATA'!Z60)</f>
        <v>N</v>
      </c>
      <c r="AA3" s="16">
        <f>IF('MASTER DATA'!AA60="","",'MASTER DATA'!AA60)</f>
        <v>3</v>
      </c>
      <c r="AB3" s="16" t="str">
        <f>IF('MASTER DATA'!AB60="","",'MASTER DATA'!AB60)</f>
        <v>ELEVATED MULTI-SIGNAL</v>
      </c>
      <c r="AC3" s="16" t="str">
        <f>IF('MASTER DATA'!AC60="","",'MASTER DATA'!AC60)</f>
        <v>Settlement Authorization | Open Stipulation | Automated Claim Alert</v>
      </c>
    </row>
    <row r="4" spans="1:29" x14ac:dyDescent="0.45">
      <c r="A4" t="str">
        <f>IF('MASTER DATA'!A61="","",'MASTER DATA'!A61)</f>
        <v>SYN-CLM-0060</v>
      </c>
      <c r="B4" t="str">
        <f>IF('MASTER DATA'!B61="","",'MASTER DATA'!B61)</f>
        <v>Synthetic Claimant 0060</v>
      </c>
      <c r="C4" t="str">
        <f>IF('MASTER DATA'!C61="","",'MASTER DATA'!C61)</f>
        <v>Claims Analyst G</v>
      </c>
      <c r="D4" t="str">
        <f>IF('MASTER DATA'!D61="","",'MASTER DATA'!D61)</f>
        <v>Synthetic Policyholder 037, LLC</v>
      </c>
      <c r="E4" s="15">
        <f>IF('MASTER DATA'!E61="","",'MASTER DATA'!E61)</f>
        <v>43272</v>
      </c>
      <c r="F4" s="16" t="str">
        <f>IF('MASTER DATA'!F61="","",'MASTER DATA'!F61)</f>
        <v>Y</v>
      </c>
      <c r="G4" s="17">
        <f>IF('MASTER DATA'!G61="","",'MASTER DATA'!G61)</f>
        <v>156000</v>
      </c>
      <c r="H4" s="16" t="str">
        <f>IF('MASTER DATA'!H61="","",'MASTER DATA'!H61)</f>
        <v>Synthetic Approver 11</v>
      </c>
      <c r="I4" s="15">
        <f>IF('MASTER DATA'!I61="","",'MASTER DATA'!I61)</f>
        <v>44695</v>
      </c>
      <c r="J4" s="16" t="str">
        <f>IF('MASTER DATA'!J61="","",'MASTER DATA'!J61)</f>
        <v>Y</v>
      </c>
      <c r="K4" s="15">
        <f>IF('MASTER DATA'!K61="","",'MASTER DATA'!K61)</f>
        <v>44409</v>
      </c>
      <c r="L4" s="16" t="str">
        <f>IF('MASTER DATA'!L61="","",'MASTER DATA'!L61)</f>
        <v>N</v>
      </c>
      <c r="M4" s="16" t="str">
        <f>IF('MASTER DATA'!M61="","",'MASTER DATA'!M61)</f>
        <v>Y</v>
      </c>
      <c r="N4" s="15">
        <f>IF('MASTER DATA'!N61="","",'MASTER DATA'!N61)</f>
        <v>44207</v>
      </c>
      <c r="O4" s="16" t="str">
        <f>IF('MASTER DATA'!O61="","",'MASTER DATA'!O61)</f>
        <v>Synthetic QME Evaluator 02</v>
      </c>
      <c r="P4" s="16" t="str">
        <f>IF('MASTER DATA'!P61="","",'MASTER DATA'!P61)</f>
        <v>N</v>
      </c>
      <c r="Q4" s="16" t="str">
        <f>IF('MASTER DATA'!Q61="","",'MASTER DATA'!Q61)</f>
        <v/>
      </c>
      <c r="R4" s="16" t="str">
        <f>IF('MASTER DATA'!R61="","",'MASTER DATA'!R61)</f>
        <v/>
      </c>
      <c r="S4" s="16" t="str">
        <f>IF('MASTER DATA'!S61="","",'MASTER DATA'!S61)</f>
        <v>N</v>
      </c>
      <c r="T4" s="15" t="str">
        <f>IF('MASTER DATA'!T61="","",'MASTER DATA'!T61)</f>
        <v/>
      </c>
      <c r="U4" s="16" t="str">
        <f>IF('MASTER DATA'!U61="","",'MASTER DATA'!U61)</f>
        <v>N</v>
      </c>
      <c r="V4" s="16" t="str">
        <f>IF('MASTER DATA'!V61="","",'MASTER DATA'!V61)</f>
        <v>N</v>
      </c>
      <c r="W4" s="16" t="str">
        <f>IF('MASTER DATA'!W61="","",'MASTER DATA'!W61)</f>
        <v>N</v>
      </c>
      <c r="X4" s="16" t="str">
        <f>IF('MASTER DATA'!X61="","",'MASTER DATA'!X61)</f>
        <v>N</v>
      </c>
      <c r="Y4" s="16" t="str">
        <f>IF('MASTER DATA'!Y61="","",'MASTER DATA'!Y61)</f>
        <v>N</v>
      </c>
      <c r="Z4" s="16" t="str">
        <f>IF('MASTER DATA'!Z61="","",'MASTER DATA'!Z61)</f>
        <v>N</v>
      </c>
      <c r="AA4" s="16">
        <f>IF('MASTER DATA'!AA61="","",'MASTER DATA'!AA61)</f>
        <v>3</v>
      </c>
      <c r="AB4" s="16" t="str">
        <f>IF('MASTER DATA'!AB61="","",'MASTER DATA'!AB61)</f>
        <v>ELEVATED MULTI-SIGNAL</v>
      </c>
      <c r="AC4" s="16" t="str">
        <f>IF('MASTER DATA'!AC61="","",'MASTER DATA'!AC61)</f>
        <v>Settlement Authorization | Open Stipulation | Pending QME</v>
      </c>
    </row>
    <row r="5" spans="1:29" x14ac:dyDescent="0.45">
      <c r="A5" t="str">
        <f>IF('MASTER DATA'!A62="","",'MASTER DATA'!A62)</f>
        <v>SYN-CLM-0061</v>
      </c>
      <c r="B5" t="str">
        <f>IF('MASTER DATA'!B62="","",'MASTER DATA'!B62)</f>
        <v>Synthetic Claimant 0061</v>
      </c>
      <c r="C5" t="str">
        <f>IF('MASTER DATA'!C62="","",'MASTER DATA'!C62)</f>
        <v>Claims Analyst G</v>
      </c>
      <c r="D5" t="str">
        <f>IF('MASTER DATA'!D62="","",'MASTER DATA'!D62)</f>
        <v>Synthetic Policyholder 004, LLC</v>
      </c>
      <c r="E5" s="15">
        <f>IF('MASTER DATA'!E62="","",'MASTER DATA'!E62)</f>
        <v>44113</v>
      </c>
      <c r="F5" s="16" t="str">
        <f>IF('MASTER DATA'!F62="","",'MASTER DATA'!F62)</f>
        <v>N</v>
      </c>
      <c r="G5" s="17" t="str">
        <f>IF('MASTER DATA'!G62="","",'MASTER DATA'!G62)</f>
        <v/>
      </c>
      <c r="H5" s="16" t="str">
        <f>IF('MASTER DATA'!H62="","",'MASTER DATA'!H62)</f>
        <v/>
      </c>
      <c r="I5" s="15" t="str">
        <f>IF('MASTER DATA'!I62="","",'MASTER DATA'!I62)</f>
        <v/>
      </c>
      <c r="J5" s="16" t="str">
        <f>IF('MASTER DATA'!J62="","",'MASTER DATA'!J62)</f>
        <v>N</v>
      </c>
      <c r="K5" s="15" t="str">
        <f>IF('MASTER DATA'!K62="","",'MASTER DATA'!K62)</f>
        <v/>
      </c>
      <c r="L5" s="16" t="str">
        <f>IF('MASTER DATA'!L62="","",'MASTER DATA'!L62)</f>
        <v/>
      </c>
      <c r="M5" s="16" t="str">
        <f>IF('MASTER DATA'!M62="","",'MASTER DATA'!M62)</f>
        <v>N</v>
      </c>
      <c r="N5" s="15" t="str">
        <f>IF('MASTER DATA'!N62="","",'MASTER DATA'!N62)</f>
        <v/>
      </c>
      <c r="O5" s="16" t="str">
        <f>IF('MASTER DATA'!O62="","",'MASTER DATA'!O62)</f>
        <v/>
      </c>
      <c r="P5" s="16" t="str">
        <f>IF('MASTER DATA'!P62="","",'MASTER DATA'!P62)</f>
        <v>Y</v>
      </c>
      <c r="Q5" s="16" t="str">
        <f>IF('MASTER DATA'!Q62="","",'MASTER DATA'!Q62)</f>
        <v>Non-Renewed Account</v>
      </c>
      <c r="R5" s="16" t="str">
        <f>IF('MASTER DATA'!R62="","",'MASTER DATA'!R62)</f>
        <v>Specialist Consultation Requested; Denied Treatment Requests</v>
      </c>
      <c r="S5" s="16" t="str">
        <f>IF('MASTER DATA'!S62="","",'MASTER DATA'!S62)</f>
        <v>N</v>
      </c>
      <c r="T5" s="15" t="str">
        <f>IF('MASTER DATA'!T62="","",'MASTER DATA'!T62)</f>
        <v/>
      </c>
      <c r="U5" s="16" t="str">
        <f>IF('MASTER DATA'!U62="","",'MASTER DATA'!U62)</f>
        <v>N</v>
      </c>
      <c r="V5" s="16" t="str">
        <f>IF('MASTER DATA'!V62="","",'MASTER DATA'!V62)</f>
        <v>N</v>
      </c>
      <c r="W5" s="16" t="str">
        <f>IF('MASTER DATA'!W62="","",'MASTER DATA'!W62)</f>
        <v>Y</v>
      </c>
      <c r="X5" s="16" t="str">
        <f>IF('MASTER DATA'!X62="","",'MASTER DATA'!X62)</f>
        <v>Y</v>
      </c>
      <c r="Y5" s="16" t="str">
        <f>IF('MASTER DATA'!Y62="","",'MASTER DATA'!Y62)</f>
        <v>Y</v>
      </c>
      <c r="Z5" s="16" t="str">
        <f>IF('MASTER DATA'!Z62="","",'MASTER DATA'!Z62)</f>
        <v>N</v>
      </c>
      <c r="AA5" s="16">
        <f>IF('MASTER DATA'!AA62="","",'MASTER DATA'!AA62)</f>
        <v>1</v>
      </c>
      <c r="AB5" s="16" t="str">
        <f>IF('MASTER DATA'!AB62="","",'MASTER DATA'!AB62)</f>
        <v>SINGLE-SIGNAL</v>
      </c>
      <c r="AC5" s="16" t="str">
        <f>IF('MASTER DATA'!AC62="","",'MASTER DATA'!AC62)</f>
        <v>Automated Claim Alert</v>
      </c>
    </row>
    <row r="6" spans="1:29" x14ac:dyDescent="0.45">
      <c r="A6" t="str">
        <f>IF('MASTER DATA'!A63="","",'MASTER DATA'!A63)</f>
        <v>SYN-CLM-0062</v>
      </c>
      <c r="B6" t="str">
        <f>IF('MASTER DATA'!B63="","",'MASTER DATA'!B63)</f>
        <v>Synthetic Claimant 0062</v>
      </c>
      <c r="C6" t="str">
        <f>IF('MASTER DATA'!C63="","",'MASTER DATA'!C63)</f>
        <v>Claims Analyst G</v>
      </c>
      <c r="D6" t="str">
        <f>IF('MASTER DATA'!D63="","",'MASTER DATA'!D63)</f>
        <v>Synthetic Policyholder 165, LLC</v>
      </c>
      <c r="E6" s="15">
        <f>IF('MASTER DATA'!E63="","",'MASTER DATA'!E63)</f>
        <v>43136</v>
      </c>
      <c r="F6" s="16" t="str">
        <f>IF('MASTER DATA'!F63="","",'MASTER DATA'!F63)</f>
        <v>N</v>
      </c>
      <c r="G6" s="17" t="str">
        <f>IF('MASTER DATA'!G63="","",'MASTER DATA'!G63)</f>
        <v/>
      </c>
      <c r="H6" s="16" t="str">
        <f>IF('MASTER DATA'!H63="","",'MASTER DATA'!H63)</f>
        <v/>
      </c>
      <c r="I6" s="15" t="str">
        <f>IF('MASTER DATA'!I63="","",'MASTER DATA'!I63)</f>
        <v/>
      </c>
      <c r="J6" s="16" t="str">
        <f>IF('MASTER DATA'!J63="","",'MASTER DATA'!J63)</f>
        <v>N</v>
      </c>
      <c r="K6" s="15" t="str">
        <f>IF('MASTER DATA'!K63="","",'MASTER DATA'!K63)</f>
        <v/>
      </c>
      <c r="L6" s="16" t="str">
        <f>IF('MASTER DATA'!L63="","",'MASTER DATA'!L63)</f>
        <v/>
      </c>
      <c r="M6" s="16" t="str">
        <f>IF('MASTER DATA'!M63="","",'MASTER DATA'!M63)</f>
        <v>Y</v>
      </c>
      <c r="N6" s="15">
        <f>IF('MASTER DATA'!N63="","",'MASTER DATA'!N63)</f>
        <v>43789</v>
      </c>
      <c r="O6" s="16" t="str">
        <f>IF('MASTER DATA'!O63="","",'MASTER DATA'!O63)</f>
        <v>Synthetic QME Evaluator 17</v>
      </c>
      <c r="P6" s="16" t="str">
        <f>IF('MASTER DATA'!P63="","",'MASTER DATA'!P63)</f>
        <v>N</v>
      </c>
      <c r="Q6" s="16" t="str">
        <f>IF('MASTER DATA'!Q63="","",'MASTER DATA'!Q63)</f>
        <v/>
      </c>
      <c r="R6" s="16" t="str">
        <f>IF('MASTER DATA'!R63="","",'MASTER DATA'!R63)</f>
        <v/>
      </c>
      <c r="S6" s="16" t="str">
        <f>IF('MASTER DATA'!S63="","",'MASTER DATA'!S63)</f>
        <v>N</v>
      </c>
      <c r="T6" s="15" t="str">
        <f>IF('MASTER DATA'!T63="","",'MASTER DATA'!T63)</f>
        <v/>
      </c>
      <c r="U6" s="16" t="str">
        <f>IF('MASTER DATA'!U63="","",'MASTER DATA'!U63)</f>
        <v>N</v>
      </c>
      <c r="V6" s="16" t="str">
        <f>IF('MASTER DATA'!V63="","",'MASTER DATA'!V63)</f>
        <v>N</v>
      </c>
      <c r="W6" s="16" t="str">
        <f>IF('MASTER DATA'!W63="","",'MASTER DATA'!W63)</f>
        <v>N</v>
      </c>
      <c r="X6" s="16" t="str">
        <f>IF('MASTER DATA'!X63="","",'MASTER DATA'!X63)</f>
        <v>N</v>
      </c>
      <c r="Y6" s="16" t="str">
        <f>IF('MASTER DATA'!Y63="","",'MASTER DATA'!Y63)</f>
        <v>N</v>
      </c>
      <c r="Z6" s="16" t="str">
        <f>IF('MASTER DATA'!Z63="","",'MASTER DATA'!Z63)</f>
        <v>N</v>
      </c>
      <c r="AA6" s="16">
        <f>IF('MASTER DATA'!AA63="","",'MASTER DATA'!AA63)</f>
        <v>1</v>
      </c>
      <c r="AB6" s="16" t="str">
        <f>IF('MASTER DATA'!AB63="","",'MASTER DATA'!AB63)</f>
        <v>SINGLE-SIGNAL</v>
      </c>
      <c r="AC6" s="16" t="str">
        <f>IF('MASTER DATA'!AC63="","",'MASTER DATA'!AC63)</f>
        <v>Pending QME</v>
      </c>
    </row>
    <row r="7" spans="1:29" x14ac:dyDescent="0.45">
      <c r="A7" t="str">
        <f>IF('MASTER DATA'!A64="","",'MASTER DATA'!A64)</f>
        <v>SYN-CLM-0063</v>
      </c>
      <c r="B7" t="str">
        <f>IF('MASTER DATA'!B64="","",'MASTER DATA'!B64)</f>
        <v>Synthetic Claimant 0063</v>
      </c>
      <c r="C7" t="str">
        <f>IF('MASTER DATA'!C64="","",'MASTER DATA'!C64)</f>
        <v>Claims Analyst G</v>
      </c>
      <c r="D7" t="str">
        <f>IF('MASTER DATA'!D64="","",'MASTER DATA'!D64)</f>
        <v>Synthetic Policyholder 132, LLC</v>
      </c>
      <c r="E7" s="15">
        <f>IF('MASTER DATA'!E64="","",'MASTER DATA'!E64)</f>
        <v>43318</v>
      </c>
      <c r="F7" s="16" t="str">
        <f>IF('MASTER DATA'!F64="","",'MASTER DATA'!F64)</f>
        <v>N</v>
      </c>
      <c r="G7" s="17" t="str">
        <f>IF('MASTER DATA'!G64="","",'MASTER DATA'!G64)</f>
        <v/>
      </c>
      <c r="H7" s="16" t="str">
        <f>IF('MASTER DATA'!H64="","",'MASTER DATA'!H64)</f>
        <v/>
      </c>
      <c r="I7" s="15" t="str">
        <f>IF('MASTER DATA'!I64="","",'MASTER DATA'!I64)</f>
        <v/>
      </c>
      <c r="J7" s="16" t="str">
        <f>IF('MASTER DATA'!J64="","",'MASTER DATA'!J64)</f>
        <v>Y</v>
      </c>
      <c r="K7" s="15">
        <f>IF('MASTER DATA'!K64="","",'MASTER DATA'!K64)</f>
        <v>43529</v>
      </c>
      <c r="L7" s="16" t="str">
        <f>IF('MASTER DATA'!L64="","",'MASTER DATA'!L64)</f>
        <v>N</v>
      </c>
      <c r="M7" s="16" t="str">
        <f>IF('MASTER DATA'!M64="","",'MASTER DATA'!M64)</f>
        <v>N</v>
      </c>
      <c r="N7" s="15" t="str">
        <f>IF('MASTER DATA'!N64="","",'MASTER DATA'!N64)</f>
        <v/>
      </c>
      <c r="O7" s="16" t="str">
        <f>IF('MASTER DATA'!O64="","",'MASTER DATA'!O64)</f>
        <v/>
      </c>
      <c r="P7" s="16" t="str">
        <f>IF('MASTER DATA'!P64="","",'MASTER DATA'!P64)</f>
        <v>N</v>
      </c>
      <c r="Q7" s="16" t="str">
        <f>IF('MASTER DATA'!Q64="","",'MASTER DATA'!Q64)</f>
        <v/>
      </c>
      <c r="R7" s="16" t="str">
        <f>IF('MASTER DATA'!R64="","",'MASTER DATA'!R64)</f>
        <v/>
      </c>
      <c r="S7" s="16" t="str">
        <f>IF('MASTER DATA'!S64="","",'MASTER DATA'!S64)</f>
        <v>N</v>
      </c>
      <c r="T7" s="15" t="str">
        <f>IF('MASTER DATA'!T64="","",'MASTER DATA'!T64)</f>
        <v/>
      </c>
      <c r="U7" s="16" t="str">
        <f>IF('MASTER DATA'!U64="","",'MASTER DATA'!U64)</f>
        <v>N</v>
      </c>
      <c r="V7" s="16" t="str">
        <f>IF('MASTER DATA'!V64="","",'MASTER DATA'!V64)</f>
        <v>N</v>
      </c>
      <c r="W7" s="16" t="str">
        <f>IF('MASTER DATA'!W64="","",'MASTER DATA'!W64)</f>
        <v>N</v>
      </c>
      <c r="X7" s="16" t="str">
        <f>IF('MASTER DATA'!X64="","",'MASTER DATA'!X64)</f>
        <v>N</v>
      </c>
      <c r="Y7" s="16" t="str">
        <f>IF('MASTER DATA'!Y64="","",'MASTER DATA'!Y64)</f>
        <v>N</v>
      </c>
      <c r="Z7" s="16" t="str">
        <f>IF('MASTER DATA'!Z64="","",'MASTER DATA'!Z64)</f>
        <v>N</v>
      </c>
      <c r="AA7" s="16">
        <f>IF('MASTER DATA'!AA64="","",'MASTER DATA'!AA64)</f>
        <v>1</v>
      </c>
      <c r="AB7" s="16" t="str">
        <f>IF('MASTER DATA'!AB64="","",'MASTER DATA'!AB64)</f>
        <v>SINGLE-SIGNAL</v>
      </c>
      <c r="AC7" s="16" t="str">
        <f>IF('MASTER DATA'!AC64="","",'MASTER DATA'!AC64)</f>
        <v>Open Stipulation</v>
      </c>
    </row>
    <row r="8" spans="1:29" x14ac:dyDescent="0.45">
      <c r="A8" t="str">
        <f>IF('MASTER DATA'!A292="","",'MASTER DATA'!A292)</f>
        <v>SYN-CLM-0291</v>
      </c>
      <c r="B8" t="str">
        <f>IF('MASTER DATA'!B292="","",'MASTER DATA'!B292)</f>
        <v>Synthetic Claimant 0291</v>
      </c>
      <c r="C8" t="str">
        <f>IF('MASTER DATA'!C292="","",'MASTER DATA'!C292)</f>
        <v>Claims Analyst G</v>
      </c>
      <c r="D8" t="str">
        <f>IF('MASTER DATA'!D292="","",'MASTER DATA'!D292)</f>
        <v>Synthetic Policyholder 131, LLC</v>
      </c>
      <c r="E8" s="15">
        <f>IF('MASTER DATA'!E292="","",'MASTER DATA'!E292)</f>
        <v>44614</v>
      </c>
      <c r="F8" s="16" t="str">
        <f>IF('MASTER DATA'!F292="","",'MASTER DATA'!F292)</f>
        <v>Y</v>
      </c>
      <c r="G8" s="17">
        <f>IF('MASTER DATA'!G292="","",'MASTER DATA'!G292)</f>
        <v>56500</v>
      </c>
      <c r="H8" s="16" t="str">
        <f>IF('MASTER DATA'!H292="","",'MASTER DATA'!H292)</f>
        <v>Synthetic Approver 07</v>
      </c>
      <c r="I8" s="15">
        <f>IF('MASTER DATA'!I292="","",'MASTER DATA'!I292)</f>
        <v>46242</v>
      </c>
      <c r="J8" s="16" t="str">
        <f>IF('MASTER DATA'!J292="","",'MASTER DATA'!J292)</f>
        <v>N</v>
      </c>
      <c r="K8" s="15" t="str">
        <f>IF('MASTER DATA'!K292="","",'MASTER DATA'!K292)</f>
        <v/>
      </c>
      <c r="L8" s="16" t="str">
        <f>IF('MASTER DATA'!L292="","",'MASTER DATA'!L292)</f>
        <v>N</v>
      </c>
      <c r="M8" s="16" t="str">
        <f>IF('MASTER DATA'!M292="","",'MASTER DATA'!M292)</f>
        <v>N</v>
      </c>
      <c r="N8" s="15" t="str">
        <f>IF('MASTER DATA'!N292="","",'MASTER DATA'!N292)</f>
        <v/>
      </c>
      <c r="O8" s="16" t="str">
        <f>IF('MASTER DATA'!O292="","",'MASTER DATA'!O292)</f>
        <v/>
      </c>
      <c r="P8" s="16" t="str">
        <f>IF('MASTER DATA'!P292="","",'MASTER DATA'!P292)</f>
        <v>N</v>
      </c>
      <c r="Q8" s="16" t="str">
        <f>IF('MASTER DATA'!Q292="","",'MASTER DATA'!Q292)</f>
        <v/>
      </c>
      <c r="R8" s="16" t="str">
        <f>IF('MASTER DATA'!R292="","",'MASTER DATA'!R292)</f>
        <v/>
      </c>
      <c r="S8" s="16" t="str">
        <f>IF('MASTER DATA'!S292="","",'MASTER DATA'!S292)</f>
        <v>N</v>
      </c>
      <c r="T8" s="15" t="str">
        <f>IF('MASTER DATA'!T292="","",'MASTER DATA'!T292)</f>
        <v/>
      </c>
      <c r="U8" s="16" t="str">
        <f>IF('MASTER DATA'!U292="","",'MASTER DATA'!U292)</f>
        <v>N</v>
      </c>
      <c r="V8" s="16" t="str">
        <f>IF('MASTER DATA'!V292="","",'MASTER DATA'!V292)</f>
        <v>N</v>
      </c>
      <c r="W8" s="16" t="str">
        <f>IF('MASTER DATA'!W292="","",'MASTER DATA'!W292)</f>
        <v>N</v>
      </c>
      <c r="X8" s="16" t="str">
        <f>IF('MASTER DATA'!X292="","",'MASTER DATA'!X292)</f>
        <v>N</v>
      </c>
      <c r="Y8" s="16" t="str">
        <f>IF('MASTER DATA'!Y292="","",'MASTER DATA'!Y292)</f>
        <v>N</v>
      </c>
      <c r="Z8" s="16" t="str">
        <f>IF('MASTER DATA'!Z292="","",'MASTER DATA'!Z292)</f>
        <v>N</v>
      </c>
      <c r="AA8" s="16">
        <f>IF('MASTER DATA'!AA292="","",'MASTER DATA'!AA292)</f>
        <v>1</v>
      </c>
      <c r="AB8" s="16" t="str">
        <f>IF('MASTER DATA'!AB292="","",'MASTER DATA'!AB292)</f>
        <v>SINGLE-SIGNAL</v>
      </c>
      <c r="AC8" s="16" t="str">
        <f>IF('MASTER DATA'!AC292="","",'MASTER DATA'!AC292)</f>
        <v>Settlement Authorization</v>
      </c>
    </row>
    <row r="9" spans="1:29" x14ac:dyDescent="0.45">
      <c r="A9" t="str">
        <f>IF('MASTER DATA'!A293="","",'MASTER DATA'!A293)</f>
        <v>SYN-CLM-0292</v>
      </c>
      <c r="B9" t="str">
        <f>IF('MASTER DATA'!B293="","",'MASTER DATA'!B293)</f>
        <v>Synthetic Claimant 0292</v>
      </c>
      <c r="C9" t="str">
        <f>IF('MASTER DATA'!C293="","",'MASTER DATA'!C293)</f>
        <v>Claims Analyst G</v>
      </c>
      <c r="D9" t="str">
        <f>IF('MASTER DATA'!D293="","",'MASTER DATA'!D293)</f>
        <v>Synthetic Policyholder 129, LLC</v>
      </c>
      <c r="E9" s="15">
        <f>IF('MASTER DATA'!E293="","",'MASTER DATA'!E293)</f>
        <v>44275</v>
      </c>
      <c r="F9" s="16" t="str">
        <f>IF('MASTER DATA'!F293="","",'MASTER DATA'!F293)</f>
        <v>Y</v>
      </c>
      <c r="G9" s="17">
        <f>IF('MASTER DATA'!G293="","",'MASTER DATA'!G293)</f>
        <v>136500</v>
      </c>
      <c r="H9" s="16" t="str">
        <f>IF('MASTER DATA'!H293="","",'MASTER DATA'!H293)</f>
        <v>Synthetic Approver 05</v>
      </c>
      <c r="I9" s="15">
        <f>IF('MASTER DATA'!I293="","",'MASTER DATA'!I293)</f>
        <v>46073</v>
      </c>
      <c r="J9" s="16" t="str">
        <f>IF('MASTER DATA'!J293="","",'MASTER DATA'!J293)</f>
        <v>N</v>
      </c>
      <c r="K9" s="15" t="str">
        <f>IF('MASTER DATA'!K293="","",'MASTER DATA'!K293)</f>
        <v/>
      </c>
      <c r="L9" s="16" t="str">
        <f>IF('MASTER DATA'!L293="","",'MASTER DATA'!L293)</f>
        <v>N</v>
      </c>
      <c r="M9" s="16" t="str">
        <f>IF('MASTER DATA'!M293="","",'MASTER DATA'!M293)</f>
        <v>N</v>
      </c>
      <c r="N9" s="15" t="str">
        <f>IF('MASTER DATA'!N293="","",'MASTER DATA'!N293)</f>
        <v/>
      </c>
      <c r="O9" s="16" t="str">
        <f>IF('MASTER DATA'!O293="","",'MASTER DATA'!O293)</f>
        <v/>
      </c>
      <c r="P9" s="16" t="str">
        <f>IF('MASTER DATA'!P293="","",'MASTER DATA'!P293)</f>
        <v>N</v>
      </c>
      <c r="Q9" s="16" t="str">
        <f>IF('MASTER DATA'!Q293="","",'MASTER DATA'!Q293)</f>
        <v/>
      </c>
      <c r="R9" s="16" t="str">
        <f>IF('MASTER DATA'!R293="","",'MASTER DATA'!R293)</f>
        <v/>
      </c>
      <c r="S9" s="16" t="str">
        <f>IF('MASTER DATA'!S293="","",'MASTER DATA'!S293)</f>
        <v>N</v>
      </c>
      <c r="T9" s="15" t="str">
        <f>IF('MASTER DATA'!T293="","",'MASTER DATA'!T293)</f>
        <v/>
      </c>
      <c r="U9" s="16" t="str">
        <f>IF('MASTER DATA'!U293="","",'MASTER DATA'!U293)</f>
        <v>N</v>
      </c>
      <c r="V9" s="16" t="str">
        <f>IF('MASTER DATA'!V293="","",'MASTER DATA'!V293)</f>
        <v>N</v>
      </c>
      <c r="W9" s="16" t="str">
        <f>IF('MASTER DATA'!W293="","",'MASTER DATA'!W293)</f>
        <v>N</v>
      </c>
      <c r="X9" s="16" t="str">
        <f>IF('MASTER DATA'!X293="","",'MASTER DATA'!X293)</f>
        <v>N</v>
      </c>
      <c r="Y9" s="16" t="str">
        <f>IF('MASTER DATA'!Y293="","",'MASTER DATA'!Y293)</f>
        <v>N</v>
      </c>
      <c r="Z9" s="16" t="str">
        <f>IF('MASTER DATA'!Z293="","",'MASTER DATA'!Z293)</f>
        <v>N</v>
      </c>
      <c r="AA9" s="16">
        <f>IF('MASTER DATA'!AA293="","",'MASTER DATA'!AA293)</f>
        <v>1</v>
      </c>
      <c r="AB9" s="16" t="str">
        <f>IF('MASTER DATA'!AB293="","",'MASTER DATA'!AB293)</f>
        <v>SINGLE-SIGNAL</v>
      </c>
      <c r="AC9" s="16" t="str">
        <f>IF('MASTER DATA'!AC293="","",'MASTER DATA'!AC293)</f>
        <v>Settlement Authorization</v>
      </c>
    </row>
    <row r="10" spans="1:29" x14ac:dyDescent="0.45">
      <c r="A10" t="str">
        <f>IF('MASTER DATA'!A294="","",'MASTER DATA'!A294)</f>
        <v>SYN-CLM-0293</v>
      </c>
      <c r="B10" t="str">
        <f>IF('MASTER DATA'!B294="","",'MASTER DATA'!B294)</f>
        <v>Synthetic Claimant 0293</v>
      </c>
      <c r="C10" t="str">
        <f>IF('MASTER DATA'!C294="","",'MASTER DATA'!C294)</f>
        <v>Claims Analyst G</v>
      </c>
      <c r="D10" t="str">
        <f>IF('MASTER DATA'!D294="","",'MASTER DATA'!D294)</f>
        <v>Synthetic Policyholder 137, LLC</v>
      </c>
      <c r="E10" s="15">
        <f>IF('MASTER DATA'!E294="","",'MASTER DATA'!E294)</f>
        <v>43405</v>
      </c>
      <c r="F10" s="16" t="str">
        <f>IF('MASTER DATA'!F294="","",'MASTER DATA'!F294)</f>
        <v>Y</v>
      </c>
      <c r="G10" s="17">
        <f>IF('MASTER DATA'!G294="","",'MASTER DATA'!G294)</f>
        <v>138250</v>
      </c>
      <c r="H10" s="16" t="str">
        <f>IF('MASTER DATA'!H294="","",'MASTER DATA'!H294)</f>
        <v>Synthetic Approver 01</v>
      </c>
      <c r="I10" s="15">
        <f>IF('MASTER DATA'!I294="","",'MASTER DATA'!I294)</f>
        <v>43970</v>
      </c>
      <c r="J10" s="16" t="str">
        <f>IF('MASTER DATA'!J294="","",'MASTER DATA'!J294)</f>
        <v>N</v>
      </c>
      <c r="K10" s="15" t="str">
        <f>IF('MASTER DATA'!K294="","",'MASTER DATA'!K294)</f>
        <v/>
      </c>
      <c r="L10" s="16" t="str">
        <f>IF('MASTER DATA'!L294="","",'MASTER DATA'!L294)</f>
        <v>N</v>
      </c>
      <c r="M10" s="16" t="str">
        <f>IF('MASTER DATA'!M294="","",'MASTER DATA'!M294)</f>
        <v>Y</v>
      </c>
      <c r="N10" s="15">
        <f>IF('MASTER DATA'!N294="","",'MASTER DATA'!N294)</f>
        <v>43815</v>
      </c>
      <c r="O10" s="16" t="str">
        <f>IF('MASTER DATA'!O294="","",'MASTER DATA'!O294)</f>
        <v>Synthetic QME Evaluator 28</v>
      </c>
      <c r="P10" s="16" t="str">
        <f>IF('MASTER DATA'!P294="","",'MASTER DATA'!P294)</f>
        <v>N</v>
      </c>
      <c r="Q10" s="16" t="str">
        <f>IF('MASTER DATA'!Q294="","",'MASTER DATA'!Q294)</f>
        <v/>
      </c>
      <c r="R10" s="16" t="str">
        <f>IF('MASTER DATA'!R294="","",'MASTER DATA'!R294)</f>
        <v/>
      </c>
      <c r="S10" s="16" t="str">
        <f>IF('MASTER DATA'!S294="","",'MASTER DATA'!S294)</f>
        <v>N</v>
      </c>
      <c r="T10" s="15" t="str">
        <f>IF('MASTER DATA'!T294="","",'MASTER DATA'!T294)</f>
        <v/>
      </c>
      <c r="U10" s="16" t="str">
        <f>IF('MASTER DATA'!U294="","",'MASTER DATA'!U294)</f>
        <v>N</v>
      </c>
      <c r="V10" s="16" t="str">
        <f>IF('MASTER DATA'!V294="","",'MASTER DATA'!V294)</f>
        <v>N</v>
      </c>
      <c r="W10" s="16" t="str">
        <f>IF('MASTER DATA'!W294="","",'MASTER DATA'!W294)</f>
        <v>N</v>
      </c>
      <c r="X10" s="16" t="str">
        <f>IF('MASTER DATA'!X294="","",'MASTER DATA'!X294)</f>
        <v>N</v>
      </c>
      <c r="Y10" s="16" t="str">
        <f>IF('MASTER DATA'!Y294="","",'MASTER DATA'!Y294)</f>
        <v>N</v>
      </c>
      <c r="Z10" s="16" t="str">
        <f>IF('MASTER DATA'!Z294="","",'MASTER DATA'!Z294)</f>
        <v>N</v>
      </c>
      <c r="AA10" s="16">
        <f>IF('MASTER DATA'!AA294="","",'MASTER DATA'!AA294)</f>
        <v>2</v>
      </c>
      <c r="AB10" s="16" t="str">
        <f>IF('MASTER DATA'!AB294="","",'MASTER DATA'!AB294)</f>
        <v>MULTI-SIGNAL</v>
      </c>
      <c r="AC10" s="16" t="str">
        <f>IF('MASTER DATA'!AC294="","",'MASTER DATA'!AC294)</f>
        <v>Settlement Authorization | Pending QME</v>
      </c>
    </row>
    <row r="11" spans="1:29" x14ac:dyDescent="0.45">
      <c r="A11" t="str">
        <f>IF('MASTER DATA'!A295="","",'MASTER DATA'!A295)</f>
        <v>SYN-CLM-0294</v>
      </c>
      <c r="B11" t="str">
        <f>IF('MASTER DATA'!B295="","",'MASTER DATA'!B295)</f>
        <v>Synthetic Claimant 0294</v>
      </c>
      <c r="C11" t="str">
        <f>IF('MASTER DATA'!C295="","",'MASTER DATA'!C295)</f>
        <v>Claims Analyst G</v>
      </c>
      <c r="D11" t="str">
        <f>IF('MASTER DATA'!D295="","",'MASTER DATA'!D295)</f>
        <v>Synthetic Policyholder 163, LLC</v>
      </c>
      <c r="E11" s="15">
        <f>IF('MASTER DATA'!E295="","",'MASTER DATA'!E295)</f>
        <v>44361</v>
      </c>
      <c r="F11" s="16" t="str">
        <f>IF('MASTER DATA'!F295="","",'MASTER DATA'!F295)</f>
        <v>N</v>
      </c>
      <c r="G11" s="17" t="str">
        <f>IF('MASTER DATA'!G295="","",'MASTER DATA'!G295)</f>
        <v/>
      </c>
      <c r="H11" s="16" t="str">
        <f>IF('MASTER DATA'!H295="","",'MASTER DATA'!H295)</f>
        <v/>
      </c>
      <c r="I11" s="15" t="str">
        <f>IF('MASTER DATA'!I295="","",'MASTER DATA'!I295)</f>
        <v/>
      </c>
      <c r="J11" s="16" t="str">
        <f>IF('MASTER DATA'!J295="","",'MASTER DATA'!J295)</f>
        <v>Y</v>
      </c>
      <c r="K11" s="15">
        <f>IF('MASTER DATA'!K295="","",'MASTER DATA'!K295)</f>
        <v>45260</v>
      </c>
      <c r="L11" s="16" t="str">
        <f>IF('MASTER DATA'!L295="","",'MASTER DATA'!L295)</f>
        <v>N</v>
      </c>
      <c r="M11" s="16" t="str">
        <f>IF('MASTER DATA'!M295="","",'MASTER DATA'!M295)</f>
        <v>N</v>
      </c>
      <c r="N11" s="15" t="str">
        <f>IF('MASTER DATA'!N295="","",'MASTER DATA'!N295)</f>
        <v/>
      </c>
      <c r="O11" s="16" t="str">
        <f>IF('MASTER DATA'!O295="","",'MASTER DATA'!O295)</f>
        <v/>
      </c>
      <c r="P11" s="16" t="str">
        <f>IF('MASTER DATA'!P295="","",'MASTER DATA'!P295)</f>
        <v>N</v>
      </c>
      <c r="Q11" s="16" t="str">
        <f>IF('MASTER DATA'!Q295="","",'MASTER DATA'!Q295)</f>
        <v/>
      </c>
      <c r="R11" s="16" t="str">
        <f>IF('MASTER DATA'!R295="","",'MASTER DATA'!R295)</f>
        <v/>
      </c>
      <c r="S11" s="16" t="str">
        <f>IF('MASTER DATA'!S295="","",'MASTER DATA'!S295)</f>
        <v>N</v>
      </c>
      <c r="T11" s="15" t="str">
        <f>IF('MASTER DATA'!T295="","",'MASTER DATA'!T295)</f>
        <v/>
      </c>
      <c r="U11" s="16" t="str">
        <f>IF('MASTER DATA'!U295="","",'MASTER DATA'!U295)</f>
        <v>N</v>
      </c>
      <c r="V11" s="16" t="str">
        <f>IF('MASTER DATA'!V295="","",'MASTER DATA'!V295)</f>
        <v>N</v>
      </c>
      <c r="W11" s="16" t="str">
        <f>IF('MASTER DATA'!W295="","",'MASTER DATA'!W295)</f>
        <v>N</v>
      </c>
      <c r="X11" s="16" t="str">
        <f>IF('MASTER DATA'!X295="","",'MASTER DATA'!X295)</f>
        <v>N</v>
      </c>
      <c r="Y11" s="16" t="str">
        <f>IF('MASTER DATA'!Y295="","",'MASTER DATA'!Y295)</f>
        <v>N</v>
      </c>
      <c r="Z11" s="16" t="str">
        <f>IF('MASTER DATA'!Z295="","",'MASTER DATA'!Z295)</f>
        <v>N</v>
      </c>
      <c r="AA11" s="16">
        <f>IF('MASTER DATA'!AA295="","",'MASTER DATA'!AA295)</f>
        <v>1</v>
      </c>
      <c r="AB11" s="16" t="str">
        <f>IF('MASTER DATA'!AB295="","",'MASTER DATA'!AB295)</f>
        <v>SINGLE-SIGNAL</v>
      </c>
      <c r="AC11" s="16" t="str">
        <f>IF('MASTER DATA'!AC295="","",'MASTER DATA'!AC295)</f>
        <v>Open Stipulation</v>
      </c>
    </row>
    <row r="12" spans="1:29" x14ac:dyDescent="0.45">
      <c r="A12" t="str">
        <f>IF('MASTER DATA'!A296="","",'MASTER DATA'!A296)</f>
        <v>SYN-CLM-0295</v>
      </c>
      <c r="B12" t="str">
        <f>IF('MASTER DATA'!B296="","",'MASTER DATA'!B296)</f>
        <v>Synthetic Claimant 0295</v>
      </c>
      <c r="C12" t="str">
        <f>IF('MASTER DATA'!C296="","",'MASTER DATA'!C296)</f>
        <v>Claims Analyst G</v>
      </c>
      <c r="D12" t="str">
        <f>IF('MASTER DATA'!D296="","",'MASTER DATA'!D296)</f>
        <v>Synthetic Policyholder 141, LLC</v>
      </c>
      <c r="E12" s="15">
        <f>IF('MASTER DATA'!E296="","",'MASTER DATA'!E296)</f>
        <v>45148</v>
      </c>
      <c r="F12" s="16" t="str">
        <f>IF('MASTER DATA'!F296="","",'MASTER DATA'!F296)</f>
        <v>Y</v>
      </c>
      <c r="G12" s="17">
        <f>IF('MASTER DATA'!G296="","",'MASTER DATA'!G296)</f>
        <v>172500</v>
      </c>
      <c r="H12" s="16" t="str">
        <f>IF('MASTER DATA'!H296="","",'MASTER DATA'!H296)</f>
        <v>Synthetic Approver 09</v>
      </c>
      <c r="I12" s="15">
        <f>IF('MASTER DATA'!I296="","",'MASTER DATA'!I296)</f>
        <v>45815</v>
      </c>
      <c r="J12" s="16" t="str">
        <f>IF('MASTER DATA'!J296="","",'MASTER DATA'!J296)</f>
        <v>N</v>
      </c>
      <c r="K12" s="15" t="str">
        <f>IF('MASTER DATA'!K296="","",'MASTER DATA'!K296)</f>
        <v/>
      </c>
      <c r="L12" s="16" t="str">
        <f>IF('MASTER DATA'!L296="","",'MASTER DATA'!L296)</f>
        <v>N</v>
      </c>
      <c r="M12" s="16" t="str">
        <f>IF('MASTER DATA'!M296="","",'MASTER DATA'!M296)</f>
        <v>N</v>
      </c>
      <c r="N12" s="15" t="str">
        <f>IF('MASTER DATA'!N296="","",'MASTER DATA'!N296)</f>
        <v/>
      </c>
      <c r="O12" s="16" t="str">
        <f>IF('MASTER DATA'!O296="","",'MASTER DATA'!O296)</f>
        <v/>
      </c>
      <c r="P12" s="16" t="str">
        <f>IF('MASTER DATA'!P296="","",'MASTER DATA'!P296)</f>
        <v>N</v>
      </c>
      <c r="Q12" s="16" t="str">
        <f>IF('MASTER DATA'!Q296="","",'MASTER DATA'!Q296)</f>
        <v/>
      </c>
      <c r="R12" s="16" t="str">
        <f>IF('MASTER DATA'!R296="","",'MASTER DATA'!R296)</f>
        <v/>
      </c>
      <c r="S12" s="16" t="str">
        <f>IF('MASTER DATA'!S296="","",'MASTER DATA'!S296)</f>
        <v>N</v>
      </c>
      <c r="T12" s="15" t="str">
        <f>IF('MASTER DATA'!T296="","",'MASTER DATA'!T296)</f>
        <v/>
      </c>
      <c r="U12" s="16" t="str">
        <f>IF('MASTER DATA'!U296="","",'MASTER DATA'!U296)</f>
        <v>N</v>
      </c>
      <c r="V12" s="16" t="str">
        <f>IF('MASTER DATA'!V296="","",'MASTER DATA'!V296)</f>
        <v>N</v>
      </c>
      <c r="W12" s="16" t="str">
        <f>IF('MASTER DATA'!W296="","",'MASTER DATA'!W296)</f>
        <v>N</v>
      </c>
      <c r="X12" s="16" t="str">
        <f>IF('MASTER DATA'!X296="","",'MASTER DATA'!X296)</f>
        <v>N</v>
      </c>
      <c r="Y12" s="16" t="str">
        <f>IF('MASTER DATA'!Y296="","",'MASTER DATA'!Y296)</f>
        <v>N</v>
      </c>
      <c r="Z12" s="16" t="str">
        <f>IF('MASTER DATA'!Z296="","",'MASTER DATA'!Z296)</f>
        <v>N</v>
      </c>
      <c r="AA12" s="16">
        <f>IF('MASTER DATA'!AA296="","",'MASTER DATA'!AA296)</f>
        <v>1</v>
      </c>
      <c r="AB12" s="16" t="str">
        <f>IF('MASTER DATA'!AB296="","",'MASTER DATA'!AB296)</f>
        <v>SINGLE-SIGNAL</v>
      </c>
      <c r="AC12" s="16" t="str">
        <f>IF('MASTER DATA'!AC296="","",'MASTER DATA'!AC296)</f>
        <v>Settlement Authorization</v>
      </c>
    </row>
    <row r="13" spans="1:29" x14ac:dyDescent="0.45">
      <c r="A13" t="str">
        <f>IF('MASTER DATA'!A297="","",'MASTER DATA'!A297)</f>
        <v>SYN-CLM-0296</v>
      </c>
      <c r="B13" t="str">
        <f>IF('MASTER DATA'!B297="","",'MASTER DATA'!B297)</f>
        <v>Synthetic Claimant 0296</v>
      </c>
      <c r="C13" t="str">
        <f>IF('MASTER DATA'!C297="","",'MASTER DATA'!C297)</f>
        <v>Claims Analyst G</v>
      </c>
      <c r="D13" t="str">
        <f>IF('MASTER DATA'!D297="","",'MASTER DATA'!D297)</f>
        <v>Synthetic Policyholder 010, LLC</v>
      </c>
      <c r="E13" s="15">
        <f>IF('MASTER DATA'!E297="","",'MASTER DATA'!E297)</f>
        <v>46022</v>
      </c>
      <c r="F13" s="16" t="str">
        <f>IF('MASTER DATA'!F297="","",'MASTER DATA'!F297)</f>
        <v>Y</v>
      </c>
      <c r="G13" s="17">
        <f>IF('MASTER DATA'!G297="","",'MASTER DATA'!G297)</f>
        <v>168000</v>
      </c>
      <c r="H13" s="16" t="str">
        <f>IF('MASTER DATA'!H297="","",'MASTER DATA'!H297)</f>
        <v>Synthetic Approver 06</v>
      </c>
      <c r="I13" s="15">
        <f>IF('MASTER DATA'!I297="","",'MASTER DATA'!I297)</f>
        <v>46301</v>
      </c>
      <c r="J13" s="16" t="str">
        <f>IF('MASTER DATA'!J297="","",'MASTER DATA'!J297)</f>
        <v>N</v>
      </c>
      <c r="K13" s="15" t="str">
        <f>IF('MASTER DATA'!K297="","",'MASTER DATA'!K297)</f>
        <v/>
      </c>
      <c r="L13" s="16" t="str">
        <f>IF('MASTER DATA'!L297="","",'MASTER DATA'!L297)</f>
        <v>Y</v>
      </c>
      <c r="M13" s="16" t="str">
        <f>IF('MASTER DATA'!M297="","",'MASTER DATA'!M297)</f>
        <v>N</v>
      </c>
      <c r="N13" s="15" t="str">
        <f>IF('MASTER DATA'!N297="","",'MASTER DATA'!N297)</f>
        <v/>
      </c>
      <c r="O13" s="16" t="str">
        <f>IF('MASTER DATA'!O297="","",'MASTER DATA'!O297)</f>
        <v/>
      </c>
      <c r="P13" s="16" t="str">
        <f>IF('MASTER DATA'!P297="","",'MASTER DATA'!P297)</f>
        <v>Y</v>
      </c>
      <c r="Q13" s="16" t="str">
        <f>IF('MASTER DATA'!Q297="","",'MASTER DATA'!Q297)</f>
        <v>MSA Eligible in Next 3 Years</v>
      </c>
      <c r="R13" s="16" t="str">
        <f>IF('MASTER DATA'!R297="","",'MASTER DATA'!R297)</f>
        <v>Surgery Requested</v>
      </c>
      <c r="S13" s="16" t="str">
        <f>IF('MASTER DATA'!S297="","",'MASTER DATA'!S297)</f>
        <v>Y</v>
      </c>
      <c r="T13" s="15">
        <f>IF('MASTER DATA'!T297="","",'MASTER DATA'!T297)</f>
        <v>47829</v>
      </c>
      <c r="U13" s="16" t="str">
        <f>IF('MASTER DATA'!U297="","",'MASTER DATA'!U297)</f>
        <v>Y</v>
      </c>
      <c r="V13" s="16" t="str">
        <f>IF('MASTER DATA'!V297="","",'MASTER DATA'!V297)</f>
        <v>N</v>
      </c>
      <c r="W13" s="16" t="str">
        <f>IF('MASTER DATA'!W297="","",'MASTER DATA'!W297)</f>
        <v>N</v>
      </c>
      <c r="X13" s="16" t="str">
        <f>IF('MASTER DATA'!X297="","",'MASTER DATA'!X297)</f>
        <v>N</v>
      </c>
      <c r="Y13" s="16" t="str">
        <f>IF('MASTER DATA'!Y297="","",'MASTER DATA'!Y297)</f>
        <v>N</v>
      </c>
      <c r="Z13" s="16" t="str">
        <f>IF('MASTER DATA'!Z297="","",'MASTER DATA'!Z297)</f>
        <v>Y</v>
      </c>
      <c r="AA13" s="16">
        <f>IF('MASTER DATA'!AA297="","",'MASTER DATA'!AA297)</f>
        <v>3</v>
      </c>
      <c r="AB13" s="16" t="str">
        <f>IF('MASTER DATA'!AB297="","",'MASTER DATA'!AB297)</f>
        <v>ELEVATED MULTI-SIGNAL</v>
      </c>
      <c r="AC13" s="16" t="str">
        <f>IF('MASTER DATA'!AC297="","",'MASTER DATA'!AC297)</f>
        <v>Settlement Authorization | Automated Claim Alert | Inactive Customer</v>
      </c>
    </row>
    <row r="14" spans="1:29" x14ac:dyDescent="0.45">
      <c r="A14" t="str">
        <f>IF('MASTER DATA'!A298="","",'MASTER DATA'!A298)</f>
        <v>SYN-CLM-0297</v>
      </c>
      <c r="B14" t="str">
        <f>IF('MASTER DATA'!B298="","",'MASTER DATA'!B298)</f>
        <v>Synthetic Claimant 0297</v>
      </c>
      <c r="C14" t="str">
        <f>IF('MASTER DATA'!C298="","",'MASTER DATA'!C298)</f>
        <v>Claims Analyst G</v>
      </c>
      <c r="D14" t="str">
        <f>IF('MASTER DATA'!D298="","",'MASTER DATA'!D298)</f>
        <v>Synthetic Policyholder 142, LLC</v>
      </c>
      <c r="E14" s="15">
        <f>IF('MASTER DATA'!E298="","",'MASTER DATA'!E298)</f>
        <v>43413</v>
      </c>
      <c r="F14" s="16" t="str">
        <f>IF('MASTER DATA'!F298="","",'MASTER DATA'!F298)</f>
        <v>Y</v>
      </c>
      <c r="G14" s="17">
        <f>IF('MASTER DATA'!G298="","",'MASTER DATA'!G298)</f>
        <v>115750</v>
      </c>
      <c r="H14" s="16" t="str">
        <f>IF('MASTER DATA'!H298="","",'MASTER DATA'!H298)</f>
        <v>Synthetic Approver 02</v>
      </c>
      <c r="I14" s="15">
        <f>IF('MASTER DATA'!I298="","",'MASTER DATA'!I298)</f>
        <v>45142</v>
      </c>
      <c r="J14" s="16" t="str">
        <f>IF('MASTER DATA'!J298="","",'MASTER DATA'!J298)</f>
        <v>N</v>
      </c>
      <c r="K14" s="15" t="str">
        <f>IF('MASTER DATA'!K298="","",'MASTER DATA'!K298)</f>
        <v/>
      </c>
      <c r="L14" s="16" t="str">
        <f>IF('MASTER DATA'!L298="","",'MASTER DATA'!L298)</f>
        <v>N</v>
      </c>
      <c r="M14" s="16" t="str">
        <f>IF('MASTER DATA'!M298="","",'MASTER DATA'!M298)</f>
        <v>N</v>
      </c>
      <c r="N14" s="15" t="str">
        <f>IF('MASTER DATA'!N298="","",'MASTER DATA'!N298)</f>
        <v/>
      </c>
      <c r="O14" s="16" t="str">
        <f>IF('MASTER DATA'!O298="","",'MASTER DATA'!O298)</f>
        <v/>
      </c>
      <c r="P14" s="16" t="str">
        <f>IF('MASTER DATA'!P298="","",'MASTER DATA'!P298)</f>
        <v>Y</v>
      </c>
      <c r="Q14" s="16" t="str">
        <f>IF('MASTER DATA'!Q298="","",'MASTER DATA'!Q298)</f>
        <v>Non-Renewed Account; Specialist Consultation Requested</v>
      </c>
      <c r="R14" s="16" t="str">
        <f>IF('MASTER DATA'!R298="","",'MASTER DATA'!R298)</f>
        <v>MSA Eligible in Next 3 Years; Denied Treatment Requests</v>
      </c>
      <c r="S14" s="16" t="str">
        <f>IF('MASTER DATA'!S298="","",'MASTER DATA'!S298)</f>
        <v>N</v>
      </c>
      <c r="T14" s="15" t="str">
        <f>IF('MASTER DATA'!T298="","",'MASTER DATA'!T298)</f>
        <v/>
      </c>
      <c r="U14" s="16" t="str">
        <f>IF('MASTER DATA'!U298="","",'MASTER DATA'!U298)</f>
        <v>N</v>
      </c>
      <c r="V14" s="16" t="str">
        <f>IF('MASTER DATA'!V298="","",'MASTER DATA'!V298)</f>
        <v>N</v>
      </c>
      <c r="W14" s="16" t="str">
        <f>IF('MASTER DATA'!W298="","",'MASTER DATA'!W298)</f>
        <v>Y</v>
      </c>
      <c r="X14" s="16" t="str">
        <f>IF('MASTER DATA'!X298="","",'MASTER DATA'!X298)</f>
        <v>Y</v>
      </c>
      <c r="Y14" s="16" t="str">
        <f>IF('MASTER DATA'!Y298="","",'MASTER DATA'!Y298)</f>
        <v>Y</v>
      </c>
      <c r="Z14" s="16" t="str">
        <f>IF('MASTER DATA'!Z298="","",'MASTER DATA'!Z298)</f>
        <v>Y</v>
      </c>
      <c r="AA14" s="16">
        <f>IF('MASTER DATA'!AA298="","",'MASTER DATA'!AA298)</f>
        <v>2</v>
      </c>
      <c r="AB14" s="16" t="str">
        <f>IF('MASTER DATA'!AB298="","",'MASTER DATA'!AB298)</f>
        <v>MULTI-SIGNAL</v>
      </c>
      <c r="AC14" s="16" t="str">
        <f>IF('MASTER DATA'!AC298="","",'MASTER DATA'!AC298)</f>
        <v>Settlement Authorization | Automated Claim Alert</v>
      </c>
    </row>
    <row r="15" spans="1:29" x14ac:dyDescent="0.45">
      <c r="A15" t="str">
        <f>IF('MASTER DATA'!A299="","",'MASTER DATA'!A299)</f>
        <v>SYN-CLM-0298</v>
      </c>
      <c r="B15" t="str">
        <f>IF('MASTER DATA'!B299="","",'MASTER DATA'!B299)</f>
        <v>Synthetic Claimant 0298</v>
      </c>
      <c r="C15" t="str">
        <f>IF('MASTER DATA'!C299="","",'MASTER DATA'!C299)</f>
        <v>Claims Analyst G</v>
      </c>
      <c r="D15" t="str">
        <f>IF('MASTER DATA'!D299="","",'MASTER DATA'!D299)</f>
        <v>Synthetic Policyholder 101, LLC</v>
      </c>
      <c r="E15" s="15">
        <f>IF('MASTER DATA'!E299="","",'MASTER DATA'!E299)</f>
        <v>43729</v>
      </c>
      <c r="F15" s="16" t="str">
        <f>IF('MASTER DATA'!F299="","",'MASTER DATA'!F299)</f>
        <v>N</v>
      </c>
      <c r="G15" s="17" t="str">
        <f>IF('MASTER DATA'!G299="","",'MASTER DATA'!G299)</f>
        <v/>
      </c>
      <c r="H15" s="16" t="str">
        <f>IF('MASTER DATA'!H299="","",'MASTER DATA'!H299)</f>
        <v/>
      </c>
      <c r="I15" s="15" t="str">
        <f>IF('MASTER DATA'!I299="","",'MASTER DATA'!I299)</f>
        <v/>
      </c>
      <c r="J15" s="16" t="str">
        <f>IF('MASTER DATA'!J299="","",'MASTER DATA'!J299)</f>
        <v>N</v>
      </c>
      <c r="K15" s="15" t="str">
        <f>IF('MASTER DATA'!K299="","",'MASTER DATA'!K299)</f>
        <v/>
      </c>
      <c r="L15" s="16" t="str">
        <f>IF('MASTER DATA'!L299="","",'MASTER DATA'!L299)</f>
        <v/>
      </c>
      <c r="M15" s="16" t="str">
        <f>IF('MASTER DATA'!M299="","",'MASTER DATA'!M299)</f>
        <v>Y</v>
      </c>
      <c r="N15" s="15">
        <f>IF('MASTER DATA'!N299="","",'MASTER DATA'!N299)</f>
        <v>44372</v>
      </c>
      <c r="O15" s="16" t="str">
        <f>IF('MASTER DATA'!O299="","",'MASTER DATA'!O299)</f>
        <v>Synthetic QME Evaluator 27</v>
      </c>
      <c r="P15" s="16" t="str">
        <f>IF('MASTER DATA'!P299="","",'MASTER DATA'!P299)</f>
        <v>N</v>
      </c>
      <c r="Q15" s="16" t="str">
        <f>IF('MASTER DATA'!Q299="","",'MASTER DATA'!Q299)</f>
        <v/>
      </c>
      <c r="R15" s="16" t="str">
        <f>IF('MASTER DATA'!R299="","",'MASTER DATA'!R299)</f>
        <v/>
      </c>
      <c r="S15" s="16" t="str">
        <f>IF('MASTER DATA'!S299="","",'MASTER DATA'!S299)</f>
        <v>N</v>
      </c>
      <c r="T15" s="15" t="str">
        <f>IF('MASTER DATA'!T299="","",'MASTER DATA'!T299)</f>
        <v/>
      </c>
      <c r="U15" s="16" t="str">
        <f>IF('MASTER DATA'!U299="","",'MASTER DATA'!U299)</f>
        <v>N</v>
      </c>
      <c r="V15" s="16" t="str">
        <f>IF('MASTER DATA'!V299="","",'MASTER DATA'!V299)</f>
        <v>N</v>
      </c>
      <c r="W15" s="16" t="str">
        <f>IF('MASTER DATA'!W299="","",'MASTER DATA'!W299)</f>
        <v>N</v>
      </c>
      <c r="X15" s="16" t="str">
        <f>IF('MASTER DATA'!X299="","",'MASTER DATA'!X299)</f>
        <v>N</v>
      </c>
      <c r="Y15" s="16" t="str">
        <f>IF('MASTER DATA'!Y299="","",'MASTER DATA'!Y299)</f>
        <v>N</v>
      </c>
      <c r="Z15" s="16" t="str">
        <f>IF('MASTER DATA'!Z299="","",'MASTER DATA'!Z299)</f>
        <v>N</v>
      </c>
      <c r="AA15" s="16">
        <f>IF('MASTER DATA'!AA299="","",'MASTER DATA'!AA299)</f>
        <v>1</v>
      </c>
      <c r="AB15" s="16" t="str">
        <f>IF('MASTER DATA'!AB299="","",'MASTER DATA'!AB299)</f>
        <v>SINGLE-SIGNAL</v>
      </c>
      <c r="AC15" s="16" t="str">
        <f>IF('MASTER DATA'!AC299="","",'MASTER DATA'!AC299)</f>
        <v>Pending QME</v>
      </c>
    </row>
    <row r="16" spans="1:29" x14ac:dyDescent="0.45">
      <c r="A16" t="str">
        <f>IF('MASTER DATA'!A300="","",'MASTER DATA'!A300)</f>
        <v>SYN-CLM-0299</v>
      </c>
      <c r="B16" t="str">
        <f>IF('MASTER DATA'!B300="","",'MASTER DATA'!B300)</f>
        <v>Synthetic Claimant 0299</v>
      </c>
      <c r="C16" t="str">
        <f>IF('MASTER DATA'!C300="","",'MASTER DATA'!C300)</f>
        <v>Claims Analyst G</v>
      </c>
      <c r="D16" t="str">
        <f>IF('MASTER DATA'!D300="","",'MASTER DATA'!D300)</f>
        <v>Synthetic Policyholder 114, LLC</v>
      </c>
      <c r="E16" s="15">
        <f>IF('MASTER DATA'!E300="","",'MASTER DATA'!E300)</f>
        <v>44282</v>
      </c>
      <c r="F16" s="16" t="str">
        <f>IF('MASTER DATA'!F300="","",'MASTER DATA'!F300)</f>
        <v>Y</v>
      </c>
      <c r="G16" s="17">
        <f>IF('MASTER DATA'!G300="","",'MASTER DATA'!G300)</f>
        <v>87750</v>
      </c>
      <c r="H16" s="16" t="str">
        <f>IF('MASTER DATA'!H300="","",'MASTER DATA'!H300)</f>
        <v>Synthetic Approver 05</v>
      </c>
      <c r="I16" s="15">
        <f>IF('MASTER DATA'!I300="","",'MASTER DATA'!I300)</f>
        <v>44346</v>
      </c>
      <c r="J16" s="16" t="str">
        <f>IF('MASTER DATA'!J300="","",'MASTER DATA'!J300)</f>
        <v>N</v>
      </c>
      <c r="K16" s="15" t="str">
        <f>IF('MASTER DATA'!K300="","",'MASTER DATA'!K300)</f>
        <v/>
      </c>
      <c r="L16" s="16" t="str">
        <f>IF('MASTER DATA'!L300="","",'MASTER DATA'!L300)</f>
        <v>N</v>
      </c>
      <c r="M16" s="16" t="str">
        <f>IF('MASTER DATA'!M300="","",'MASTER DATA'!M300)</f>
        <v>N</v>
      </c>
      <c r="N16" s="15" t="str">
        <f>IF('MASTER DATA'!N300="","",'MASTER DATA'!N300)</f>
        <v/>
      </c>
      <c r="O16" s="16" t="str">
        <f>IF('MASTER DATA'!O300="","",'MASTER DATA'!O300)</f>
        <v/>
      </c>
      <c r="P16" s="16" t="str">
        <f>IF('MASTER DATA'!P300="","",'MASTER DATA'!P300)</f>
        <v>N</v>
      </c>
      <c r="Q16" s="16" t="str">
        <f>IF('MASTER DATA'!Q300="","",'MASTER DATA'!Q300)</f>
        <v/>
      </c>
      <c r="R16" s="16" t="str">
        <f>IF('MASTER DATA'!R300="","",'MASTER DATA'!R300)</f>
        <v/>
      </c>
      <c r="S16" s="16" t="str">
        <f>IF('MASTER DATA'!S300="","",'MASTER DATA'!S300)</f>
        <v>N</v>
      </c>
      <c r="T16" s="15" t="str">
        <f>IF('MASTER DATA'!T300="","",'MASTER DATA'!T300)</f>
        <v/>
      </c>
      <c r="U16" s="16" t="str">
        <f>IF('MASTER DATA'!U300="","",'MASTER DATA'!U300)</f>
        <v>N</v>
      </c>
      <c r="V16" s="16" t="str">
        <f>IF('MASTER DATA'!V300="","",'MASTER DATA'!V300)</f>
        <v>N</v>
      </c>
      <c r="W16" s="16" t="str">
        <f>IF('MASTER DATA'!W300="","",'MASTER DATA'!W300)</f>
        <v>N</v>
      </c>
      <c r="X16" s="16" t="str">
        <f>IF('MASTER DATA'!X300="","",'MASTER DATA'!X300)</f>
        <v>N</v>
      </c>
      <c r="Y16" s="16" t="str">
        <f>IF('MASTER DATA'!Y300="","",'MASTER DATA'!Y300)</f>
        <v>N</v>
      </c>
      <c r="Z16" s="16" t="str">
        <f>IF('MASTER DATA'!Z300="","",'MASTER DATA'!Z300)</f>
        <v>N</v>
      </c>
      <c r="AA16" s="16">
        <f>IF('MASTER DATA'!AA300="","",'MASTER DATA'!AA300)</f>
        <v>1</v>
      </c>
      <c r="AB16" s="16" t="str">
        <f>IF('MASTER DATA'!AB300="","",'MASTER DATA'!AB300)</f>
        <v>SINGLE-SIGNAL</v>
      </c>
      <c r="AC16" s="16" t="str">
        <f>IF('MASTER DATA'!AC300="","",'MASTER DATA'!AC300)</f>
        <v>Settlement Authorization</v>
      </c>
    </row>
    <row r="17" spans="1:29" x14ac:dyDescent="0.45">
      <c r="A17" t="str">
        <f>IF('MASTER DATA'!A301="","",'MASTER DATA'!A301)</f>
        <v>SYN-CLM-0300</v>
      </c>
      <c r="B17" t="str">
        <f>IF('MASTER DATA'!B301="","",'MASTER DATA'!B301)</f>
        <v>Synthetic Claimant 0300</v>
      </c>
      <c r="C17" t="str">
        <f>IF('MASTER DATA'!C301="","",'MASTER DATA'!C301)</f>
        <v>Claims Analyst G</v>
      </c>
      <c r="D17" t="str">
        <f>IF('MASTER DATA'!D301="","",'MASTER DATA'!D301)</f>
        <v>Synthetic Policyholder 049, LLC</v>
      </c>
      <c r="E17" s="15">
        <f>IF('MASTER DATA'!E301="","",'MASTER DATA'!E301)</f>
        <v>43502</v>
      </c>
      <c r="F17" s="16" t="str">
        <f>IF('MASTER DATA'!F301="","",'MASTER DATA'!F301)</f>
        <v>Y</v>
      </c>
      <c r="G17" s="17">
        <f>IF('MASTER DATA'!G301="","",'MASTER DATA'!G301)</f>
        <v>55000</v>
      </c>
      <c r="H17" s="16" t="str">
        <f>IF('MASTER DATA'!H301="","",'MASTER DATA'!H301)</f>
        <v>Synthetic Approver 06</v>
      </c>
      <c r="I17" s="15">
        <f>IF('MASTER DATA'!I301="","",'MASTER DATA'!I301)</f>
        <v>44639</v>
      </c>
      <c r="J17" s="16" t="str">
        <f>IF('MASTER DATA'!J301="","",'MASTER DATA'!J301)</f>
        <v>N</v>
      </c>
      <c r="K17" s="15" t="str">
        <f>IF('MASTER DATA'!K301="","",'MASTER DATA'!K301)</f>
        <v/>
      </c>
      <c r="L17" s="16" t="str">
        <f>IF('MASTER DATA'!L301="","",'MASTER DATA'!L301)</f>
        <v>Y</v>
      </c>
      <c r="M17" s="16" t="str">
        <f>IF('MASTER DATA'!M301="","",'MASTER DATA'!M301)</f>
        <v>N</v>
      </c>
      <c r="N17" s="15" t="str">
        <f>IF('MASTER DATA'!N301="","",'MASTER DATA'!N301)</f>
        <v/>
      </c>
      <c r="O17" s="16" t="str">
        <f>IF('MASTER DATA'!O301="","",'MASTER DATA'!O301)</f>
        <v/>
      </c>
      <c r="P17" s="16" t="str">
        <f>IF('MASTER DATA'!P301="","",'MASTER DATA'!P301)</f>
        <v>N</v>
      </c>
      <c r="Q17" s="16" t="str">
        <f>IF('MASTER DATA'!Q301="","",'MASTER DATA'!Q301)</f>
        <v/>
      </c>
      <c r="R17" s="16" t="str">
        <f>IF('MASTER DATA'!R301="","",'MASTER DATA'!R301)</f>
        <v/>
      </c>
      <c r="S17" s="16" t="str">
        <f>IF('MASTER DATA'!S301="","",'MASTER DATA'!S301)</f>
        <v>N</v>
      </c>
      <c r="T17" s="15" t="str">
        <f>IF('MASTER DATA'!T301="","",'MASTER DATA'!T301)</f>
        <v/>
      </c>
      <c r="U17" s="16" t="str">
        <f>IF('MASTER DATA'!U301="","",'MASTER DATA'!U301)</f>
        <v>N</v>
      </c>
      <c r="V17" s="16" t="str">
        <f>IF('MASTER DATA'!V301="","",'MASTER DATA'!V301)</f>
        <v>N</v>
      </c>
      <c r="W17" s="16" t="str">
        <f>IF('MASTER DATA'!W301="","",'MASTER DATA'!W301)</f>
        <v>N</v>
      </c>
      <c r="X17" s="16" t="str">
        <f>IF('MASTER DATA'!X301="","",'MASTER DATA'!X301)</f>
        <v>N</v>
      </c>
      <c r="Y17" s="16" t="str">
        <f>IF('MASTER DATA'!Y301="","",'MASTER DATA'!Y301)</f>
        <v>N</v>
      </c>
      <c r="Z17" s="16" t="str">
        <f>IF('MASTER DATA'!Z301="","",'MASTER DATA'!Z301)</f>
        <v>N</v>
      </c>
      <c r="AA17" s="16">
        <f>IF('MASTER DATA'!AA301="","",'MASTER DATA'!AA301)</f>
        <v>1</v>
      </c>
      <c r="AB17" s="16" t="str">
        <f>IF('MASTER DATA'!AB301="","",'MASTER DATA'!AB301)</f>
        <v>SINGLE-SIGNAL</v>
      </c>
      <c r="AC17" s="16" t="str">
        <f>IF('MASTER DATA'!AC301="","",'MASTER DATA'!AC301)</f>
        <v>Settlement Authorization</v>
      </c>
    </row>
    <row r="18" spans="1:29" x14ac:dyDescent="0.45">
      <c r="A18" t="str">
        <f>IF('MASTER DATA'!A302="","",'MASTER DATA'!A302)</f>
        <v>SYN-CLM-0301</v>
      </c>
      <c r="B18" t="str">
        <f>IF('MASTER DATA'!B302="","",'MASTER DATA'!B302)</f>
        <v>Synthetic Claimant 0301</v>
      </c>
      <c r="C18" t="str">
        <f>IF('MASTER DATA'!C302="","",'MASTER DATA'!C302)</f>
        <v>Claims Analyst G</v>
      </c>
      <c r="D18" t="str">
        <f>IF('MASTER DATA'!D302="","",'MASTER DATA'!D302)</f>
        <v>Synthetic Policyholder 129, LLC</v>
      </c>
      <c r="E18" s="15">
        <f>IF('MASTER DATA'!E302="","",'MASTER DATA'!E302)</f>
        <v>44251</v>
      </c>
      <c r="F18" s="16" t="str">
        <f>IF('MASTER DATA'!F302="","",'MASTER DATA'!F302)</f>
        <v>Y</v>
      </c>
      <c r="G18" s="17">
        <f>IF('MASTER DATA'!G302="","",'MASTER DATA'!G302)</f>
        <v>55250</v>
      </c>
      <c r="H18" s="16" t="str">
        <f>IF('MASTER DATA'!H302="","",'MASTER DATA'!H302)</f>
        <v>Synthetic Approver 02</v>
      </c>
      <c r="I18" s="15">
        <f>IF('MASTER DATA'!I302="","",'MASTER DATA'!I302)</f>
        <v>46038</v>
      </c>
      <c r="J18" s="16" t="str">
        <f>IF('MASTER DATA'!J302="","",'MASTER DATA'!J302)</f>
        <v>N</v>
      </c>
      <c r="K18" s="15" t="str">
        <f>IF('MASTER DATA'!K302="","",'MASTER DATA'!K302)</f>
        <v/>
      </c>
      <c r="L18" s="16" t="str">
        <f>IF('MASTER DATA'!L302="","",'MASTER DATA'!L302)</f>
        <v>N</v>
      </c>
      <c r="M18" s="16" t="str">
        <f>IF('MASTER DATA'!M302="","",'MASTER DATA'!M302)</f>
        <v>N</v>
      </c>
      <c r="N18" s="15" t="str">
        <f>IF('MASTER DATA'!N302="","",'MASTER DATA'!N302)</f>
        <v/>
      </c>
      <c r="O18" s="16" t="str">
        <f>IF('MASTER DATA'!O302="","",'MASTER DATA'!O302)</f>
        <v/>
      </c>
      <c r="P18" s="16" t="str">
        <f>IF('MASTER DATA'!P302="","",'MASTER DATA'!P302)</f>
        <v>N</v>
      </c>
      <c r="Q18" s="16" t="str">
        <f>IF('MASTER DATA'!Q302="","",'MASTER DATA'!Q302)</f>
        <v/>
      </c>
      <c r="R18" s="16" t="str">
        <f>IF('MASTER DATA'!R302="","",'MASTER DATA'!R302)</f>
        <v/>
      </c>
      <c r="S18" s="16" t="str">
        <f>IF('MASTER DATA'!S302="","",'MASTER DATA'!S302)</f>
        <v>Y</v>
      </c>
      <c r="T18" s="15">
        <f>IF('MASTER DATA'!T302="","",'MASTER DATA'!T302)</f>
        <v>45780</v>
      </c>
      <c r="U18" s="16" t="str">
        <f>IF('MASTER DATA'!U302="","",'MASTER DATA'!U302)</f>
        <v>N</v>
      </c>
      <c r="V18" s="16" t="str">
        <f>IF('MASTER DATA'!V302="","",'MASTER DATA'!V302)</f>
        <v>N</v>
      </c>
      <c r="W18" s="16" t="str">
        <f>IF('MASTER DATA'!W302="","",'MASTER DATA'!W302)</f>
        <v>N</v>
      </c>
      <c r="X18" s="16" t="str">
        <f>IF('MASTER DATA'!X302="","",'MASTER DATA'!X302)</f>
        <v>N</v>
      </c>
      <c r="Y18" s="16" t="str">
        <f>IF('MASTER DATA'!Y302="","",'MASTER DATA'!Y302)</f>
        <v>N</v>
      </c>
      <c r="Z18" s="16" t="str">
        <f>IF('MASTER DATA'!Z302="","",'MASTER DATA'!Z302)</f>
        <v>N</v>
      </c>
      <c r="AA18" s="16">
        <f>IF('MASTER DATA'!AA302="","",'MASTER DATA'!AA302)</f>
        <v>2</v>
      </c>
      <c r="AB18" s="16" t="str">
        <f>IF('MASTER DATA'!AB302="","",'MASTER DATA'!AB302)</f>
        <v>MULTI-SIGNAL</v>
      </c>
      <c r="AC18" s="16" t="str">
        <f>IF('MASTER DATA'!AC302="","",'MASTER DATA'!AC302)</f>
        <v>Settlement Authorization | Inactive Customer</v>
      </c>
    </row>
    <row r="19" spans="1:29" x14ac:dyDescent="0.45">
      <c r="A19" t="str">
        <f>IF('MASTER DATA'!A303="","",'MASTER DATA'!A303)</f>
        <v>SYN-CLM-0302</v>
      </c>
      <c r="B19" t="str">
        <f>IF('MASTER DATA'!B303="","",'MASTER DATA'!B303)</f>
        <v>Synthetic Claimant 0302</v>
      </c>
      <c r="C19" t="str">
        <f>IF('MASTER DATA'!C303="","",'MASTER DATA'!C303)</f>
        <v>Claims Analyst G</v>
      </c>
      <c r="D19" t="str">
        <f>IF('MASTER DATA'!D303="","",'MASTER DATA'!D303)</f>
        <v>Synthetic Policyholder 058, LLC</v>
      </c>
      <c r="E19" s="15">
        <f>IF('MASTER DATA'!E303="","",'MASTER DATA'!E303)</f>
        <v>44677</v>
      </c>
      <c r="F19" s="16" t="str">
        <f>IF('MASTER DATA'!F303="","",'MASTER DATA'!F303)</f>
        <v>N</v>
      </c>
      <c r="G19" s="17" t="str">
        <f>IF('MASTER DATA'!G303="","",'MASTER DATA'!G303)</f>
        <v/>
      </c>
      <c r="H19" s="16" t="str">
        <f>IF('MASTER DATA'!H303="","",'MASTER DATA'!H303)</f>
        <v/>
      </c>
      <c r="I19" s="15" t="str">
        <f>IF('MASTER DATA'!I303="","",'MASTER DATA'!I303)</f>
        <v/>
      </c>
      <c r="J19" s="16" t="str">
        <f>IF('MASTER DATA'!J303="","",'MASTER DATA'!J303)</f>
        <v>N</v>
      </c>
      <c r="K19" s="15" t="str">
        <f>IF('MASTER DATA'!K303="","",'MASTER DATA'!K303)</f>
        <v/>
      </c>
      <c r="L19" s="16" t="str">
        <f>IF('MASTER DATA'!L303="","",'MASTER DATA'!L303)</f>
        <v/>
      </c>
      <c r="M19" s="16" t="str">
        <f>IF('MASTER DATA'!M303="","",'MASTER DATA'!M303)</f>
        <v>N</v>
      </c>
      <c r="N19" s="15" t="str">
        <f>IF('MASTER DATA'!N303="","",'MASTER DATA'!N303)</f>
        <v/>
      </c>
      <c r="O19" s="16" t="str">
        <f>IF('MASTER DATA'!O303="","",'MASTER DATA'!O303)</f>
        <v/>
      </c>
      <c r="P19" s="16" t="str">
        <f>IF('MASTER DATA'!P303="","",'MASTER DATA'!P303)</f>
        <v>Y</v>
      </c>
      <c r="Q19" s="16" t="str">
        <f>IF('MASTER DATA'!Q303="","",'MASTER DATA'!Q303)</f>
        <v>Surgery Requested; Denied Treatment Requests; MSA Eligible in Next 3 Years</v>
      </c>
      <c r="R19" s="16" t="str">
        <f>IF('MASTER DATA'!R303="","",'MASTER DATA'!R303)</f>
        <v/>
      </c>
      <c r="S19" s="16" t="str">
        <f>IF('MASTER DATA'!S303="","",'MASTER DATA'!S303)</f>
        <v>Y</v>
      </c>
      <c r="T19" s="15">
        <f>IF('MASTER DATA'!T303="","",'MASTER DATA'!T303)</f>
        <v>45096</v>
      </c>
      <c r="U19" s="16" t="str">
        <f>IF('MASTER DATA'!U303="","",'MASTER DATA'!U303)</f>
        <v>Y</v>
      </c>
      <c r="V19" s="16" t="str">
        <f>IF('MASTER DATA'!V303="","",'MASTER DATA'!V303)</f>
        <v>N</v>
      </c>
      <c r="W19" s="16" t="str">
        <f>IF('MASTER DATA'!W303="","",'MASTER DATA'!W303)</f>
        <v>Y</v>
      </c>
      <c r="X19" s="16" t="str">
        <f>IF('MASTER DATA'!X303="","",'MASTER DATA'!X303)</f>
        <v>N</v>
      </c>
      <c r="Y19" s="16" t="str">
        <f>IF('MASTER DATA'!Y303="","",'MASTER DATA'!Y303)</f>
        <v>N</v>
      </c>
      <c r="Z19" s="16" t="str">
        <f>IF('MASTER DATA'!Z303="","",'MASTER DATA'!Z303)</f>
        <v>Y</v>
      </c>
      <c r="AA19" s="16">
        <f>IF('MASTER DATA'!AA303="","",'MASTER DATA'!AA303)</f>
        <v>2</v>
      </c>
      <c r="AB19" s="16" t="str">
        <f>IF('MASTER DATA'!AB303="","",'MASTER DATA'!AB303)</f>
        <v>MULTI-SIGNAL</v>
      </c>
      <c r="AC19" s="16" t="str">
        <f>IF('MASTER DATA'!AC303="","",'MASTER DATA'!AC303)</f>
        <v>Automated Claim Alert | Inactive Customer</v>
      </c>
    </row>
    <row r="20" spans="1:29" x14ac:dyDescent="0.45">
      <c r="A20" t="str">
        <f>IF('MASTER DATA'!A304="","",'MASTER DATA'!A304)</f>
        <v>SYN-CLM-0303</v>
      </c>
      <c r="B20" t="str">
        <f>IF('MASTER DATA'!B304="","",'MASTER DATA'!B304)</f>
        <v>Synthetic Claimant 0303</v>
      </c>
      <c r="C20" t="str">
        <f>IF('MASTER DATA'!C304="","",'MASTER DATA'!C304)</f>
        <v>Claims Analyst G</v>
      </c>
      <c r="D20" t="str">
        <f>IF('MASTER DATA'!D304="","",'MASTER DATA'!D304)</f>
        <v>Synthetic Policyholder 102, LLC</v>
      </c>
      <c r="E20" s="15">
        <f>IF('MASTER DATA'!E304="","",'MASTER DATA'!E304)</f>
        <v>45707</v>
      </c>
      <c r="F20" s="16" t="str">
        <f>IF('MASTER DATA'!F304="","",'MASTER DATA'!F304)</f>
        <v>N</v>
      </c>
      <c r="G20" s="17" t="str">
        <f>IF('MASTER DATA'!G304="","",'MASTER DATA'!G304)</f>
        <v/>
      </c>
      <c r="H20" s="16" t="str">
        <f>IF('MASTER DATA'!H304="","",'MASTER DATA'!H304)</f>
        <v/>
      </c>
      <c r="I20" s="15" t="str">
        <f>IF('MASTER DATA'!I304="","",'MASTER DATA'!I304)</f>
        <v/>
      </c>
      <c r="J20" s="16" t="str">
        <f>IF('MASTER DATA'!J304="","",'MASTER DATA'!J304)</f>
        <v>N</v>
      </c>
      <c r="K20" s="15" t="str">
        <f>IF('MASTER DATA'!K304="","",'MASTER DATA'!K304)</f>
        <v/>
      </c>
      <c r="L20" s="16" t="str">
        <f>IF('MASTER DATA'!L304="","",'MASTER DATA'!L304)</f>
        <v/>
      </c>
      <c r="M20" s="16" t="str">
        <f>IF('MASTER DATA'!M304="","",'MASTER DATA'!M304)</f>
        <v>N</v>
      </c>
      <c r="N20" s="15" t="str">
        <f>IF('MASTER DATA'!N304="","",'MASTER DATA'!N304)</f>
        <v/>
      </c>
      <c r="O20" s="16" t="str">
        <f>IF('MASTER DATA'!O304="","",'MASTER DATA'!O304)</f>
        <v/>
      </c>
      <c r="P20" s="16" t="str">
        <f>IF('MASTER DATA'!P304="","",'MASTER DATA'!P304)</f>
        <v>Y</v>
      </c>
      <c r="Q20" s="16" t="str">
        <f>IF('MASTER DATA'!Q304="","",'MASTER DATA'!Q304)</f>
        <v>Denied Treatment Requests; Surgery Requested; MMI Date Reported</v>
      </c>
      <c r="R20" s="16" t="str">
        <f>IF('MASTER DATA'!R304="","",'MASTER DATA'!R304)</f>
        <v>MSA Eligible in Next 3 Years</v>
      </c>
      <c r="S20" s="16" t="str">
        <f>IF('MASTER DATA'!S304="","",'MASTER DATA'!S304)</f>
        <v>N</v>
      </c>
      <c r="T20" s="15" t="str">
        <f>IF('MASTER DATA'!T304="","",'MASTER DATA'!T304)</f>
        <v/>
      </c>
      <c r="U20" s="16" t="str">
        <f>IF('MASTER DATA'!U304="","",'MASTER DATA'!U304)</f>
        <v>Y</v>
      </c>
      <c r="V20" s="16" t="str">
        <f>IF('MASTER DATA'!V304="","",'MASTER DATA'!V304)</f>
        <v>Y</v>
      </c>
      <c r="W20" s="16" t="str">
        <f>IF('MASTER DATA'!W304="","",'MASTER DATA'!W304)</f>
        <v>Y</v>
      </c>
      <c r="X20" s="16" t="str">
        <f>IF('MASTER DATA'!X304="","",'MASTER DATA'!X304)</f>
        <v>N</v>
      </c>
      <c r="Y20" s="16" t="str">
        <f>IF('MASTER DATA'!Y304="","",'MASTER DATA'!Y304)</f>
        <v>N</v>
      </c>
      <c r="Z20" s="16" t="str">
        <f>IF('MASTER DATA'!Z304="","",'MASTER DATA'!Z304)</f>
        <v>Y</v>
      </c>
      <c r="AA20" s="16">
        <f>IF('MASTER DATA'!AA304="","",'MASTER DATA'!AA304)</f>
        <v>1</v>
      </c>
      <c r="AB20" s="16" t="str">
        <f>IF('MASTER DATA'!AB304="","",'MASTER DATA'!AB304)</f>
        <v>SINGLE-SIGNAL</v>
      </c>
      <c r="AC20" s="16" t="str">
        <f>IF('MASTER DATA'!AC304="","",'MASTER DATA'!AC304)</f>
        <v>Automated Claim Alert</v>
      </c>
    </row>
    <row r="21" spans="1:29" x14ac:dyDescent="0.45">
      <c r="A21" t="str">
        <f>IF('MASTER DATA'!A305="","",'MASTER DATA'!A305)</f>
        <v>SYN-CLM-0304</v>
      </c>
      <c r="B21" t="str">
        <f>IF('MASTER DATA'!B305="","",'MASTER DATA'!B305)</f>
        <v>Synthetic Claimant 0304</v>
      </c>
      <c r="C21" t="str">
        <f>IF('MASTER DATA'!C305="","",'MASTER DATA'!C305)</f>
        <v>Claims Analyst G</v>
      </c>
      <c r="D21" t="str">
        <f>IF('MASTER DATA'!D305="","",'MASTER DATA'!D305)</f>
        <v>Synthetic Policyholder 064, LLC</v>
      </c>
      <c r="E21" s="15">
        <f>IF('MASTER DATA'!E305="","",'MASTER DATA'!E305)</f>
        <v>45234</v>
      </c>
      <c r="F21" s="16" t="str">
        <f>IF('MASTER DATA'!F305="","",'MASTER DATA'!F305)</f>
        <v>Y</v>
      </c>
      <c r="G21" s="17">
        <f>IF('MASTER DATA'!G305="","",'MASTER DATA'!G305)</f>
        <v>140500</v>
      </c>
      <c r="H21" s="16" t="str">
        <f>IF('MASTER DATA'!H305="","",'MASTER DATA'!H305)</f>
        <v>Synthetic Approver 09</v>
      </c>
      <c r="I21" s="15">
        <f>IF('MASTER DATA'!I305="","",'MASTER DATA'!I305)</f>
        <v>45830</v>
      </c>
      <c r="J21" s="16" t="str">
        <f>IF('MASTER DATA'!J305="","",'MASTER DATA'!J305)</f>
        <v>N</v>
      </c>
      <c r="K21" s="15" t="str">
        <f>IF('MASTER DATA'!K305="","",'MASTER DATA'!K305)</f>
        <v/>
      </c>
      <c r="L21" s="16" t="str">
        <f>IF('MASTER DATA'!L305="","",'MASTER DATA'!L305)</f>
        <v>Y</v>
      </c>
      <c r="M21" s="16" t="str">
        <f>IF('MASTER DATA'!M305="","",'MASTER DATA'!M305)</f>
        <v>N</v>
      </c>
      <c r="N21" s="15" t="str">
        <f>IF('MASTER DATA'!N305="","",'MASTER DATA'!N305)</f>
        <v/>
      </c>
      <c r="O21" s="16" t="str">
        <f>IF('MASTER DATA'!O305="","",'MASTER DATA'!O305)</f>
        <v/>
      </c>
      <c r="P21" s="16" t="str">
        <f>IF('MASTER DATA'!P305="","",'MASTER DATA'!P305)</f>
        <v>N</v>
      </c>
      <c r="Q21" s="16" t="str">
        <f>IF('MASTER DATA'!Q305="","",'MASTER DATA'!Q305)</f>
        <v/>
      </c>
      <c r="R21" s="16" t="str">
        <f>IF('MASTER DATA'!R305="","",'MASTER DATA'!R305)</f>
        <v/>
      </c>
      <c r="S21" s="16" t="str">
        <f>IF('MASTER DATA'!S305="","",'MASTER DATA'!S305)</f>
        <v>N</v>
      </c>
      <c r="T21" s="15" t="str">
        <f>IF('MASTER DATA'!T305="","",'MASTER DATA'!T305)</f>
        <v/>
      </c>
      <c r="U21" s="16" t="str">
        <f>IF('MASTER DATA'!U305="","",'MASTER DATA'!U305)</f>
        <v>N</v>
      </c>
      <c r="V21" s="16" t="str">
        <f>IF('MASTER DATA'!V305="","",'MASTER DATA'!V305)</f>
        <v>N</v>
      </c>
      <c r="W21" s="16" t="str">
        <f>IF('MASTER DATA'!W305="","",'MASTER DATA'!W305)</f>
        <v>N</v>
      </c>
      <c r="X21" s="16" t="str">
        <f>IF('MASTER DATA'!X305="","",'MASTER DATA'!X305)</f>
        <v>N</v>
      </c>
      <c r="Y21" s="16" t="str">
        <f>IF('MASTER DATA'!Y305="","",'MASTER DATA'!Y305)</f>
        <v>N</v>
      </c>
      <c r="Z21" s="16" t="str">
        <f>IF('MASTER DATA'!Z305="","",'MASTER DATA'!Z305)</f>
        <v>N</v>
      </c>
      <c r="AA21" s="16">
        <f>IF('MASTER DATA'!AA305="","",'MASTER DATA'!AA305)</f>
        <v>1</v>
      </c>
      <c r="AB21" s="16" t="str">
        <f>IF('MASTER DATA'!AB305="","",'MASTER DATA'!AB305)</f>
        <v>SINGLE-SIGNAL</v>
      </c>
      <c r="AC21" s="16" t="str">
        <f>IF('MASTER DATA'!AC305="","",'MASTER DATA'!AC305)</f>
        <v>Settlement Authorization</v>
      </c>
    </row>
    <row r="22" spans="1:29" x14ac:dyDescent="0.45">
      <c r="A22" t="str">
        <f>IF('MASTER DATA'!A306="","",'MASTER DATA'!A306)</f>
        <v>SYN-CLM-0305</v>
      </c>
      <c r="B22" t="str">
        <f>IF('MASTER DATA'!B306="","",'MASTER DATA'!B306)</f>
        <v>Synthetic Claimant 0305</v>
      </c>
      <c r="C22" t="str">
        <f>IF('MASTER DATA'!C306="","",'MASTER DATA'!C306)</f>
        <v>Claims Analyst G</v>
      </c>
      <c r="D22" t="str">
        <f>IF('MASTER DATA'!D306="","",'MASTER DATA'!D306)</f>
        <v>Synthetic Policyholder 010, LLC</v>
      </c>
      <c r="E22" s="15">
        <f>IF('MASTER DATA'!E306="","",'MASTER DATA'!E306)</f>
        <v>44755</v>
      </c>
      <c r="F22" s="16" t="str">
        <f>IF('MASTER DATA'!F306="","",'MASTER DATA'!F306)</f>
        <v>N</v>
      </c>
      <c r="G22" s="17" t="str">
        <f>IF('MASTER DATA'!G306="","",'MASTER DATA'!G306)</f>
        <v/>
      </c>
      <c r="H22" s="16" t="str">
        <f>IF('MASTER DATA'!H306="","",'MASTER DATA'!H306)</f>
        <v/>
      </c>
      <c r="I22" s="15" t="str">
        <f>IF('MASTER DATA'!I306="","",'MASTER DATA'!I306)</f>
        <v/>
      </c>
      <c r="J22" s="16" t="str">
        <f>IF('MASTER DATA'!J306="","",'MASTER DATA'!J306)</f>
        <v>N</v>
      </c>
      <c r="K22" s="15" t="str">
        <f>IF('MASTER DATA'!K306="","",'MASTER DATA'!K306)</f>
        <v/>
      </c>
      <c r="L22" s="16" t="str">
        <f>IF('MASTER DATA'!L306="","",'MASTER DATA'!L306)</f>
        <v/>
      </c>
      <c r="M22" s="16" t="str">
        <f>IF('MASTER DATA'!M306="","",'MASTER DATA'!M306)</f>
        <v>N</v>
      </c>
      <c r="N22" s="15" t="str">
        <f>IF('MASTER DATA'!N306="","",'MASTER DATA'!N306)</f>
        <v/>
      </c>
      <c r="O22" s="16" t="str">
        <f>IF('MASTER DATA'!O306="","",'MASTER DATA'!O306)</f>
        <v/>
      </c>
      <c r="P22" s="16" t="str">
        <f>IF('MASTER DATA'!P306="","",'MASTER DATA'!P306)</f>
        <v>Y</v>
      </c>
      <c r="Q22" s="16" t="str">
        <f>IF('MASTER DATA'!Q306="","",'MASTER DATA'!Q306)</f>
        <v>Non-Renewed Account</v>
      </c>
      <c r="R22" s="16" t="str">
        <f>IF('MASTER DATA'!R306="","",'MASTER DATA'!R306)</f>
        <v/>
      </c>
      <c r="S22" s="16" t="str">
        <f>IF('MASTER DATA'!S306="","",'MASTER DATA'!S306)</f>
        <v>N</v>
      </c>
      <c r="T22" s="15" t="str">
        <f>IF('MASTER DATA'!T306="","",'MASTER DATA'!T306)</f>
        <v/>
      </c>
      <c r="U22" s="16" t="str">
        <f>IF('MASTER DATA'!U306="","",'MASTER DATA'!U306)</f>
        <v>N</v>
      </c>
      <c r="V22" s="16" t="str">
        <f>IF('MASTER DATA'!V306="","",'MASTER DATA'!V306)</f>
        <v>N</v>
      </c>
      <c r="W22" s="16" t="str">
        <f>IF('MASTER DATA'!W306="","",'MASTER DATA'!W306)</f>
        <v>N</v>
      </c>
      <c r="X22" s="16" t="str">
        <f>IF('MASTER DATA'!X306="","",'MASTER DATA'!X306)</f>
        <v>N</v>
      </c>
      <c r="Y22" s="16" t="str">
        <f>IF('MASTER DATA'!Y306="","",'MASTER DATA'!Y306)</f>
        <v>Y</v>
      </c>
      <c r="Z22" s="16" t="str">
        <f>IF('MASTER DATA'!Z306="","",'MASTER DATA'!Z306)</f>
        <v>N</v>
      </c>
      <c r="AA22" s="16">
        <f>IF('MASTER DATA'!AA306="","",'MASTER DATA'!AA306)</f>
        <v>1</v>
      </c>
      <c r="AB22" s="16" t="str">
        <f>IF('MASTER DATA'!AB306="","",'MASTER DATA'!AB306)</f>
        <v>SINGLE-SIGNAL</v>
      </c>
      <c r="AC22" s="16" t="str">
        <f>IF('MASTER DATA'!AC306="","",'MASTER DATA'!AC306)</f>
        <v>Automated Claim Alert</v>
      </c>
    </row>
    <row r="23" spans="1:29" x14ac:dyDescent="0.45">
      <c r="A23" t="str">
        <f>IF('MASTER DATA'!A307="","",'MASTER DATA'!A307)</f>
        <v>SYN-CLM-0306</v>
      </c>
      <c r="B23" t="str">
        <f>IF('MASTER DATA'!B307="","",'MASTER DATA'!B307)</f>
        <v>Synthetic Claimant 0306</v>
      </c>
      <c r="C23" t="str">
        <f>IF('MASTER DATA'!C307="","",'MASTER DATA'!C307)</f>
        <v>Claims Analyst G</v>
      </c>
      <c r="D23" t="str">
        <f>IF('MASTER DATA'!D307="","",'MASTER DATA'!D307)</f>
        <v>Synthetic Policyholder 119, LLC</v>
      </c>
      <c r="E23" s="15">
        <f>IF('MASTER DATA'!E307="","",'MASTER DATA'!E307)</f>
        <v>43895</v>
      </c>
      <c r="F23" s="16" t="str">
        <f>IF('MASTER DATA'!F307="","",'MASTER DATA'!F307)</f>
        <v>Y</v>
      </c>
      <c r="G23" s="17">
        <f>IF('MASTER DATA'!G307="","",'MASTER DATA'!G307)</f>
        <v>132250</v>
      </c>
      <c r="H23" s="16" t="str">
        <f>IF('MASTER DATA'!H307="","",'MASTER DATA'!H307)</f>
        <v>Synthetic Approver 01</v>
      </c>
      <c r="I23" s="15">
        <f>IF('MASTER DATA'!I307="","",'MASTER DATA'!I307)</f>
        <v>44574</v>
      </c>
      <c r="J23" s="16" t="str">
        <f>IF('MASTER DATA'!J307="","",'MASTER DATA'!J307)</f>
        <v>N</v>
      </c>
      <c r="K23" s="15" t="str">
        <f>IF('MASTER DATA'!K307="","",'MASTER DATA'!K307)</f>
        <v/>
      </c>
      <c r="L23" s="16" t="str">
        <f>IF('MASTER DATA'!L307="","",'MASTER DATA'!L307)</f>
        <v>N</v>
      </c>
      <c r="M23" s="16" t="str">
        <f>IF('MASTER DATA'!M307="","",'MASTER DATA'!M307)</f>
        <v>N</v>
      </c>
      <c r="N23" s="15" t="str">
        <f>IF('MASTER DATA'!N307="","",'MASTER DATA'!N307)</f>
        <v/>
      </c>
      <c r="O23" s="16" t="str">
        <f>IF('MASTER DATA'!O307="","",'MASTER DATA'!O307)</f>
        <v/>
      </c>
      <c r="P23" s="16" t="str">
        <f>IF('MASTER DATA'!P307="","",'MASTER DATA'!P307)</f>
        <v>N</v>
      </c>
      <c r="Q23" s="16" t="str">
        <f>IF('MASTER DATA'!Q307="","",'MASTER DATA'!Q307)</f>
        <v/>
      </c>
      <c r="R23" s="16" t="str">
        <f>IF('MASTER DATA'!R307="","",'MASTER DATA'!R307)</f>
        <v/>
      </c>
      <c r="S23" s="16" t="str">
        <f>IF('MASTER DATA'!S307="","",'MASTER DATA'!S307)</f>
        <v>N</v>
      </c>
      <c r="T23" s="15" t="str">
        <f>IF('MASTER DATA'!T307="","",'MASTER DATA'!T307)</f>
        <v/>
      </c>
      <c r="U23" s="16" t="str">
        <f>IF('MASTER DATA'!U307="","",'MASTER DATA'!U307)</f>
        <v>N</v>
      </c>
      <c r="V23" s="16" t="str">
        <f>IF('MASTER DATA'!V307="","",'MASTER DATA'!V307)</f>
        <v>N</v>
      </c>
      <c r="W23" s="16" t="str">
        <f>IF('MASTER DATA'!W307="","",'MASTER DATA'!W307)</f>
        <v>N</v>
      </c>
      <c r="X23" s="16" t="str">
        <f>IF('MASTER DATA'!X307="","",'MASTER DATA'!X307)</f>
        <v>N</v>
      </c>
      <c r="Y23" s="16" t="str">
        <f>IF('MASTER DATA'!Y307="","",'MASTER DATA'!Y307)</f>
        <v>N</v>
      </c>
      <c r="Z23" s="16" t="str">
        <f>IF('MASTER DATA'!Z307="","",'MASTER DATA'!Z307)</f>
        <v>N</v>
      </c>
      <c r="AA23" s="16">
        <f>IF('MASTER DATA'!AA307="","",'MASTER DATA'!AA307)</f>
        <v>1</v>
      </c>
      <c r="AB23" s="16" t="str">
        <f>IF('MASTER DATA'!AB307="","",'MASTER DATA'!AB307)</f>
        <v>SINGLE-SIGNAL</v>
      </c>
      <c r="AC23" s="16" t="str">
        <f>IF('MASTER DATA'!AC307="","",'MASTER DATA'!AC307)</f>
        <v>Settlement Authorization</v>
      </c>
    </row>
    <row r="24" spans="1:29" x14ac:dyDescent="0.45">
      <c r="A24" t="str">
        <f>IF('MASTER DATA'!A308="","",'MASTER DATA'!A308)</f>
        <v>SYN-CLM-0307</v>
      </c>
      <c r="B24" t="str">
        <f>IF('MASTER DATA'!B308="","",'MASTER DATA'!B308)</f>
        <v>Synthetic Claimant 0307</v>
      </c>
      <c r="C24" t="str">
        <f>IF('MASTER DATA'!C308="","",'MASTER DATA'!C308)</f>
        <v>Claims Analyst G</v>
      </c>
      <c r="D24" t="str">
        <f>IF('MASTER DATA'!D308="","",'MASTER DATA'!D308)</f>
        <v>Synthetic Policyholder 089, LLC</v>
      </c>
      <c r="E24" s="15">
        <f>IF('MASTER DATA'!E308="","",'MASTER DATA'!E308)</f>
        <v>45070</v>
      </c>
      <c r="F24" s="16" t="str">
        <f>IF('MASTER DATA'!F308="","",'MASTER DATA'!F308)</f>
        <v>N</v>
      </c>
      <c r="G24" s="17" t="str">
        <f>IF('MASTER DATA'!G308="","",'MASTER DATA'!G308)</f>
        <v/>
      </c>
      <c r="H24" s="16" t="str">
        <f>IF('MASTER DATA'!H308="","",'MASTER DATA'!H308)</f>
        <v/>
      </c>
      <c r="I24" s="15" t="str">
        <f>IF('MASTER DATA'!I308="","",'MASTER DATA'!I308)</f>
        <v/>
      </c>
      <c r="J24" s="16" t="str">
        <f>IF('MASTER DATA'!J308="","",'MASTER DATA'!J308)</f>
        <v>N</v>
      </c>
      <c r="K24" s="15" t="str">
        <f>IF('MASTER DATA'!K308="","",'MASTER DATA'!K308)</f>
        <v/>
      </c>
      <c r="L24" s="16" t="str">
        <f>IF('MASTER DATA'!L308="","",'MASTER DATA'!L308)</f>
        <v/>
      </c>
      <c r="M24" s="16" t="str">
        <f>IF('MASTER DATA'!M308="","",'MASTER DATA'!M308)</f>
        <v>N</v>
      </c>
      <c r="N24" s="15" t="str">
        <f>IF('MASTER DATA'!N308="","",'MASTER DATA'!N308)</f>
        <v/>
      </c>
      <c r="O24" s="16" t="str">
        <f>IF('MASTER DATA'!O308="","",'MASTER DATA'!O308)</f>
        <v/>
      </c>
      <c r="P24" s="16" t="str">
        <f>IF('MASTER DATA'!P308="","",'MASTER DATA'!P308)</f>
        <v>Y</v>
      </c>
      <c r="Q24" s="16" t="str">
        <f>IF('MASTER DATA'!Q308="","",'MASTER DATA'!Q308)</f>
        <v>Surgery Requested</v>
      </c>
      <c r="R24" s="16" t="str">
        <f>IF('MASTER DATA'!R308="","",'MASTER DATA'!R308)</f>
        <v>MSA Eligible in Next 3 Years</v>
      </c>
      <c r="S24" s="16" t="str">
        <f>IF('MASTER DATA'!S308="","",'MASTER DATA'!S308)</f>
        <v>N</v>
      </c>
      <c r="T24" s="15" t="str">
        <f>IF('MASTER DATA'!T308="","",'MASTER DATA'!T308)</f>
        <v/>
      </c>
      <c r="U24" s="16" t="str">
        <f>IF('MASTER DATA'!U308="","",'MASTER DATA'!U308)</f>
        <v>Y</v>
      </c>
      <c r="V24" s="16" t="str">
        <f>IF('MASTER DATA'!V308="","",'MASTER DATA'!V308)</f>
        <v>N</v>
      </c>
      <c r="W24" s="16" t="str">
        <f>IF('MASTER DATA'!W308="","",'MASTER DATA'!W308)</f>
        <v>N</v>
      </c>
      <c r="X24" s="16" t="str">
        <f>IF('MASTER DATA'!X308="","",'MASTER DATA'!X308)</f>
        <v>N</v>
      </c>
      <c r="Y24" s="16" t="str">
        <f>IF('MASTER DATA'!Y308="","",'MASTER DATA'!Y308)</f>
        <v>N</v>
      </c>
      <c r="Z24" s="16" t="str">
        <f>IF('MASTER DATA'!Z308="","",'MASTER DATA'!Z308)</f>
        <v>Y</v>
      </c>
      <c r="AA24" s="16">
        <f>IF('MASTER DATA'!AA308="","",'MASTER DATA'!AA308)</f>
        <v>1</v>
      </c>
      <c r="AB24" s="16" t="str">
        <f>IF('MASTER DATA'!AB308="","",'MASTER DATA'!AB308)</f>
        <v>SINGLE-SIGNAL</v>
      </c>
      <c r="AC24" s="16" t="str">
        <f>IF('MASTER DATA'!AC308="","",'MASTER DATA'!AC308)</f>
        <v>Automated Claim Alert</v>
      </c>
    </row>
    <row r="25" spans="1:29" x14ac:dyDescent="0.45">
      <c r="A25" t="str">
        <f>IF('MASTER DATA'!A309="","",'MASTER DATA'!A309)</f>
        <v>SYN-CLM-0308</v>
      </c>
      <c r="B25" t="str">
        <f>IF('MASTER DATA'!B309="","",'MASTER DATA'!B309)</f>
        <v>Synthetic Claimant 0308</v>
      </c>
      <c r="C25" t="str">
        <f>IF('MASTER DATA'!C309="","",'MASTER DATA'!C309)</f>
        <v>Claims Analyst G</v>
      </c>
      <c r="D25" t="str">
        <f>IF('MASTER DATA'!D309="","",'MASTER DATA'!D309)</f>
        <v>Synthetic Policyholder 015, LLC</v>
      </c>
      <c r="E25" s="15">
        <f>IF('MASTER DATA'!E309="","",'MASTER DATA'!E309)</f>
        <v>43967</v>
      </c>
      <c r="F25" s="16" t="str">
        <f>IF('MASTER DATA'!F309="","",'MASTER DATA'!F309)</f>
        <v>N</v>
      </c>
      <c r="G25" s="17" t="str">
        <f>IF('MASTER DATA'!G309="","",'MASTER DATA'!G309)</f>
        <v/>
      </c>
      <c r="H25" s="16" t="str">
        <f>IF('MASTER DATA'!H309="","",'MASTER DATA'!H309)</f>
        <v/>
      </c>
      <c r="I25" s="15" t="str">
        <f>IF('MASTER DATA'!I309="","",'MASTER DATA'!I309)</f>
        <v/>
      </c>
      <c r="J25" s="16" t="str">
        <f>IF('MASTER DATA'!J309="","",'MASTER DATA'!J309)</f>
        <v>Y</v>
      </c>
      <c r="K25" s="15">
        <f>IF('MASTER DATA'!K309="","",'MASTER DATA'!K309)</f>
        <v>45068</v>
      </c>
      <c r="L25" s="16" t="str">
        <f>IF('MASTER DATA'!L309="","",'MASTER DATA'!L309)</f>
        <v>N</v>
      </c>
      <c r="M25" s="16" t="str">
        <f>IF('MASTER DATA'!M309="","",'MASTER DATA'!M309)</f>
        <v>N</v>
      </c>
      <c r="N25" s="15" t="str">
        <f>IF('MASTER DATA'!N309="","",'MASTER DATA'!N309)</f>
        <v/>
      </c>
      <c r="O25" s="16" t="str">
        <f>IF('MASTER DATA'!O309="","",'MASTER DATA'!O309)</f>
        <v/>
      </c>
      <c r="P25" s="16" t="str">
        <f>IF('MASTER DATA'!P309="","",'MASTER DATA'!P309)</f>
        <v>N</v>
      </c>
      <c r="Q25" s="16" t="str">
        <f>IF('MASTER DATA'!Q309="","",'MASTER DATA'!Q309)</f>
        <v/>
      </c>
      <c r="R25" s="16" t="str">
        <f>IF('MASTER DATA'!R309="","",'MASTER DATA'!R309)</f>
        <v/>
      </c>
      <c r="S25" s="16" t="str">
        <f>IF('MASTER DATA'!S309="","",'MASTER DATA'!S309)</f>
        <v>N</v>
      </c>
      <c r="T25" s="15" t="str">
        <f>IF('MASTER DATA'!T309="","",'MASTER DATA'!T309)</f>
        <v/>
      </c>
      <c r="U25" s="16" t="str">
        <f>IF('MASTER DATA'!U309="","",'MASTER DATA'!U309)</f>
        <v>N</v>
      </c>
      <c r="V25" s="16" t="str">
        <f>IF('MASTER DATA'!V309="","",'MASTER DATA'!V309)</f>
        <v>N</v>
      </c>
      <c r="W25" s="16" t="str">
        <f>IF('MASTER DATA'!W309="","",'MASTER DATA'!W309)</f>
        <v>N</v>
      </c>
      <c r="X25" s="16" t="str">
        <f>IF('MASTER DATA'!X309="","",'MASTER DATA'!X309)</f>
        <v>N</v>
      </c>
      <c r="Y25" s="16" t="str">
        <f>IF('MASTER DATA'!Y309="","",'MASTER DATA'!Y309)</f>
        <v>N</v>
      </c>
      <c r="Z25" s="16" t="str">
        <f>IF('MASTER DATA'!Z309="","",'MASTER DATA'!Z309)</f>
        <v>N</v>
      </c>
      <c r="AA25" s="16">
        <f>IF('MASTER DATA'!AA309="","",'MASTER DATA'!AA309)</f>
        <v>1</v>
      </c>
      <c r="AB25" s="16" t="str">
        <f>IF('MASTER DATA'!AB309="","",'MASTER DATA'!AB309)</f>
        <v>SINGLE-SIGNAL</v>
      </c>
      <c r="AC25" s="16" t="str">
        <f>IF('MASTER DATA'!AC309="","",'MASTER DATA'!AC309)</f>
        <v>Open Stipulation</v>
      </c>
    </row>
    <row r="26" spans="1:29" x14ac:dyDescent="0.45">
      <c r="A26" t="str">
        <f>IF('MASTER DATA'!A310="","",'MASTER DATA'!A310)</f>
        <v>SYN-CLM-0309</v>
      </c>
      <c r="B26" t="str">
        <f>IF('MASTER DATA'!B310="","",'MASTER DATA'!B310)</f>
        <v>Synthetic Claimant 0309</v>
      </c>
      <c r="C26" t="str">
        <f>IF('MASTER DATA'!C310="","",'MASTER DATA'!C310)</f>
        <v>Claims Analyst G</v>
      </c>
      <c r="D26" t="str">
        <f>IF('MASTER DATA'!D310="","",'MASTER DATA'!D310)</f>
        <v>Synthetic Policyholder 103, LLC</v>
      </c>
      <c r="E26" s="15">
        <f>IF('MASTER DATA'!E310="","",'MASTER DATA'!E310)</f>
        <v>45953</v>
      </c>
      <c r="F26" s="16" t="str">
        <f>IF('MASTER DATA'!F310="","",'MASTER DATA'!F310)</f>
        <v>Y</v>
      </c>
      <c r="G26" s="17">
        <f>IF('MASTER DATA'!G310="","",'MASTER DATA'!G310)</f>
        <v>70750</v>
      </c>
      <c r="H26" s="16" t="str">
        <f>IF('MASTER DATA'!H310="","",'MASTER DATA'!H310)</f>
        <v>Synthetic Approver 03</v>
      </c>
      <c r="I26" s="15">
        <f>IF('MASTER DATA'!I310="","",'MASTER DATA'!I310)</f>
        <v>46697</v>
      </c>
      <c r="J26" s="16" t="str">
        <f>IF('MASTER DATA'!J310="","",'MASTER DATA'!J310)</f>
        <v>Y</v>
      </c>
      <c r="K26" s="15">
        <f>IF('MASTER DATA'!K310="","",'MASTER DATA'!K310)</f>
        <v>47015</v>
      </c>
      <c r="L26" s="16" t="str">
        <f>IF('MASTER DATA'!L310="","",'MASTER DATA'!L310)</f>
        <v>N</v>
      </c>
      <c r="M26" s="16" t="str">
        <f>IF('MASTER DATA'!M310="","",'MASTER DATA'!M310)</f>
        <v>N</v>
      </c>
      <c r="N26" s="15" t="str">
        <f>IF('MASTER DATA'!N310="","",'MASTER DATA'!N310)</f>
        <v/>
      </c>
      <c r="O26" s="16" t="str">
        <f>IF('MASTER DATA'!O310="","",'MASTER DATA'!O310)</f>
        <v/>
      </c>
      <c r="P26" s="16" t="str">
        <f>IF('MASTER DATA'!P310="","",'MASTER DATA'!P310)</f>
        <v>Y</v>
      </c>
      <c r="Q26" s="16" t="str">
        <f>IF('MASTER DATA'!Q310="","",'MASTER DATA'!Q310)</f>
        <v>MMI Date Reported; MSA Eligible in Next 3 Years; Non-Renewed Account</v>
      </c>
      <c r="R26" s="16" t="str">
        <f>IF('MASTER DATA'!R310="","",'MASTER DATA'!R310)</f>
        <v/>
      </c>
      <c r="S26" s="16" t="str">
        <f>IF('MASTER DATA'!S310="","",'MASTER DATA'!S310)</f>
        <v>Y</v>
      </c>
      <c r="T26" s="15">
        <f>IF('MASTER DATA'!T310="","",'MASTER DATA'!T310)</f>
        <v>47919</v>
      </c>
      <c r="U26" s="16" t="str">
        <f>IF('MASTER DATA'!U310="","",'MASTER DATA'!U310)</f>
        <v>N</v>
      </c>
      <c r="V26" s="16" t="str">
        <f>IF('MASTER DATA'!V310="","",'MASTER DATA'!V310)</f>
        <v>Y</v>
      </c>
      <c r="W26" s="16" t="str">
        <f>IF('MASTER DATA'!W310="","",'MASTER DATA'!W310)</f>
        <v>N</v>
      </c>
      <c r="X26" s="16" t="str">
        <f>IF('MASTER DATA'!X310="","",'MASTER DATA'!X310)</f>
        <v>N</v>
      </c>
      <c r="Y26" s="16" t="str">
        <f>IF('MASTER DATA'!Y310="","",'MASTER DATA'!Y310)</f>
        <v>Y</v>
      </c>
      <c r="Z26" s="16" t="str">
        <f>IF('MASTER DATA'!Z310="","",'MASTER DATA'!Z310)</f>
        <v>Y</v>
      </c>
      <c r="AA26" s="16">
        <f>IF('MASTER DATA'!AA310="","",'MASTER DATA'!AA310)</f>
        <v>4</v>
      </c>
      <c r="AB26" s="16" t="str">
        <f>IF('MASTER DATA'!AB310="","",'MASTER DATA'!AB310)</f>
        <v>HIGH MULTI-SIGNAL</v>
      </c>
      <c r="AC26" s="16" t="str">
        <f>IF('MASTER DATA'!AC310="","",'MASTER DATA'!AC310)</f>
        <v>Settlement Authorization | Open Stipulation | Automated Claim Alert | Inactive Customer</v>
      </c>
    </row>
    <row r="27" spans="1:29" x14ac:dyDescent="0.45">
      <c r="A27" t="str">
        <f>IF('MASTER DATA'!A311="","",'MASTER DATA'!A311)</f>
        <v>SYN-CLM-0310</v>
      </c>
      <c r="B27" t="str">
        <f>IF('MASTER DATA'!B311="","",'MASTER DATA'!B311)</f>
        <v>Synthetic Claimant 0310</v>
      </c>
      <c r="C27" t="str">
        <f>IF('MASTER DATA'!C311="","",'MASTER DATA'!C311)</f>
        <v>Claims Analyst G</v>
      </c>
      <c r="D27" t="str">
        <f>IF('MASTER DATA'!D311="","",'MASTER DATA'!D311)</f>
        <v>Synthetic Policyholder 173, LLC</v>
      </c>
      <c r="E27" s="15">
        <f>IF('MASTER DATA'!E311="","",'MASTER DATA'!E311)</f>
        <v>44515</v>
      </c>
      <c r="F27" s="16" t="str">
        <f>IF('MASTER DATA'!F311="","",'MASTER DATA'!F311)</f>
        <v>Y</v>
      </c>
      <c r="G27" s="17">
        <f>IF('MASTER DATA'!G311="","",'MASTER DATA'!G311)</f>
        <v>141250</v>
      </c>
      <c r="H27" s="16" t="str">
        <f>IF('MASTER DATA'!H311="","",'MASTER DATA'!H311)</f>
        <v>Synthetic Approver 11</v>
      </c>
      <c r="I27" s="15">
        <f>IF('MASTER DATA'!I311="","",'MASTER DATA'!I311)</f>
        <v>46312</v>
      </c>
      <c r="J27" s="16" t="str">
        <f>IF('MASTER DATA'!J311="","",'MASTER DATA'!J311)</f>
        <v>N</v>
      </c>
      <c r="K27" s="15" t="str">
        <f>IF('MASTER DATA'!K311="","",'MASTER DATA'!K311)</f>
        <v/>
      </c>
      <c r="L27" s="16" t="str">
        <f>IF('MASTER DATA'!L311="","",'MASTER DATA'!L311)</f>
        <v>Y</v>
      </c>
      <c r="M27" s="16" t="str">
        <f>IF('MASTER DATA'!M311="","",'MASTER DATA'!M311)</f>
        <v>N</v>
      </c>
      <c r="N27" s="15" t="str">
        <f>IF('MASTER DATA'!N311="","",'MASTER DATA'!N311)</f>
        <v/>
      </c>
      <c r="O27" s="16" t="str">
        <f>IF('MASTER DATA'!O311="","",'MASTER DATA'!O311)</f>
        <v/>
      </c>
      <c r="P27" s="16" t="str">
        <f>IF('MASTER DATA'!P311="","",'MASTER DATA'!P311)</f>
        <v>N</v>
      </c>
      <c r="Q27" s="16" t="str">
        <f>IF('MASTER DATA'!Q311="","",'MASTER DATA'!Q311)</f>
        <v/>
      </c>
      <c r="R27" s="16" t="str">
        <f>IF('MASTER DATA'!R311="","",'MASTER DATA'!R311)</f>
        <v/>
      </c>
      <c r="S27" s="16" t="str">
        <f>IF('MASTER DATA'!S311="","",'MASTER DATA'!S311)</f>
        <v>Y</v>
      </c>
      <c r="T27" s="15">
        <f>IF('MASTER DATA'!T311="","",'MASTER DATA'!T311)</f>
        <v>46702</v>
      </c>
      <c r="U27" s="16" t="str">
        <f>IF('MASTER DATA'!U311="","",'MASTER DATA'!U311)</f>
        <v>N</v>
      </c>
      <c r="V27" s="16" t="str">
        <f>IF('MASTER DATA'!V311="","",'MASTER DATA'!V311)</f>
        <v>N</v>
      </c>
      <c r="W27" s="16" t="str">
        <f>IF('MASTER DATA'!W311="","",'MASTER DATA'!W311)</f>
        <v>N</v>
      </c>
      <c r="X27" s="16" t="str">
        <f>IF('MASTER DATA'!X311="","",'MASTER DATA'!X311)</f>
        <v>N</v>
      </c>
      <c r="Y27" s="16" t="str">
        <f>IF('MASTER DATA'!Y311="","",'MASTER DATA'!Y311)</f>
        <v>N</v>
      </c>
      <c r="Z27" s="16" t="str">
        <f>IF('MASTER DATA'!Z311="","",'MASTER DATA'!Z311)</f>
        <v>N</v>
      </c>
      <c r="AA27" s="16">
        <f>IF('MASTER DATA'!AA311="","",'MASTER DATA'!AA311)</f>
        <v>2</v>
      </c>
      <c r="AB27" s="16" t="str">
        <f>IF('MASTER DATA'!AB311="","",'MASTER DATA'!AB311)</f>
        <v>MULTI-SIGNAL</v>
      </c>
      <c r="AC27" s="16" t="str">
        <f>IF('MASTER DATA'!AC311="","",'MASTER DATA'!AC311)</f>
        <v>Settlement Authorization | Inactive Customer</v>
      </c>
    </row>
    <row r="28" spans="1:29" x14ac:dyDescent="0.45">
      <c r="A28" t="str">
        <f>IF('MASTER DATA'!A312="","",'MASTER DATA'!A312)</f>
        <v>SYN-CLM-0311</v>
      </c>
      <c r="B28" t="str">
        <f>IF('MASTER DATA'!B312="","",'MASTER DATA'!B312)</f>
        <v>Synthetic Claimant 0311</v>
      </c>
      <c r="C28" t="str">
        <f>IF('MASTER DATA'!C312="","",'MASTER DATA'!C312)</f>
        <v>Claims Analyst G</v>
      </c>
      <c r="D28" t="str">
        <f>IF('MASTER DATA'!D312="","",'MASTER DATA'!D312)</f>
        <v>Synthetic Policyholder 065, LLC</v>
      </c>
      <c r="E28" s="15">
        <f>IF('MASTER DATA'!E312="","",'MASTER DATA'!E312)</f>
        <v>44738</v>
      </c>
      <c r="F28" s="16" t="str">
        <f>IF('MASTER DATA'!F312="","",'MASTER DATA'!F312)</f>
        <v>Y</v>
      </c>
      <c r="G28" s="17">
        <f>IF('MASTER DATA'!G312="","",'MASTER DATA'!G312)</f>
        <v>163500</v>
      </c>
      <c r="H28" s="16" t="str">
        <f>IF('MASTER DATA'!H312="","",'MASTER DATA'!H312)</f>
        <v>Synthetic Approver 01</v>
      </c>
      <c r="I28" s="15">
        <f>IF('MASTER DATA'!I312="","",'MASTER DATA'!I312)</f>
        <v>44931</v>
      </c>
      <c r="J28" s="16" t="str">
        <f>IF('MASTER DATA'!J312="","",'MASTER DATA'!J312)</f>
        <v>N</v>
      </c>
      <c r="K28" s="15" t="str">
        <f>IF('MASTER DATA'!K312="","",'MASTER DATA'!K312)</f>
        <v/>
      </c>
      <c r="L28" s="16" t="str">
        <f>IF('MASTER DATA'!L312="","",'MASTER DATA'!L312)</f>
        <v>Y</v>
      </c>
      <c r="M28" s="16" t="str">
        <f>IF('MASTER DATA'!M312="","",'MASTER DATA'!M312)</f>
        <v>N</v>
      </c>
      <c r="N28" s="15" t="str">
        <f>IF('MASTER DATA'!N312="","",'MASTER DATA'!N312)</f>
        <v/>
      </c>
      <c r="O28" s="16" t="str">
        <f>IF('MASTER DATA'!O312="","",'MASTER DATA'!O312)</f>
        <v/>
      </c>
      <c r="P28" s="16" t="str">
        <f>IF('MASTER DATA'!P312="","",'MASTER DATA'!P312)</f>
        <v>N</v>
      </c>
      <c r="Q28" s="16" t="str">
        <f>IF('MASTER DATA'!Q312="","",'MASTER DATA'!Q312)</f>
        <v/>
      </c>
      <c r="R28" s="16" t="str">
        <f>IF('MASTER DATA'!R312="","",'MASTER DATA'!R312)</f>
        <v/>
      </c>
      <c r="S28" s="16" t="str">
        <f>IF('MASTER DATA'!S312="","",'MASTER DATA'!S312)</f>
        <v>N</v>
      </c>
      <c r="T28" s="15" t="str">
        <f>IF('MASTER DATA'!T312="","",'MASTER DATA'!T312)</f>
        <v/>
      </c>
      <c r="U28" s="16" t="str">
        <f>IF('MASTER DATA'!U312="","",'MASTER DATA'!U312)</f>
        <v>N</v>
      </c>
      <c r="V28" s="16" t="str">
        <f>IF('MASTER DATA'!V312="","",'MASTER DATA'!V312)</f>
        <v>N</v>
      </c>
      <c r="W28" s="16" t="str">
        <f>IF('MASTER DATA'!W312="","",'MASTER DATA'!W312)</f>
        <v>N</v>
      </c>
      <c r="X28" s="16" t="str">
        <f>IF('MASTER DATA'!X312="","",'MASTER DATA'!X312)</f>
        <v>N</v>
      </c>
      <c r="Y28" s="16" t="str">
        <f>IF('MASTER DATA'!Y312="","",'MASTER DATA'!Y312)</f>
        <v>N</v>
      </c>
      <c r="Z28" s="16" t="str">
        <f>IF('MASTER DATA'!Z312="","",'MASTER DATA'!Z312)</f>
        <v>N</v>
      </c>
      <c r="AA28" s="16">
        <f>IF('MASTER DATA'!AA312="","",'MASTER DATA'!AA312)</f>
        <v>1</v>
      </c>
      <c r="AB28" s="16" t="str">
        <f>IF('MASTER DATA'!AB312="","",'MASTER DATA'!AB312)</f>
        <v>SINGLE-SIGNAL</v>
      </c>
      <c r="AC28" s="16" t="str">
        <f>IF('MASTER DATA'!AC312="","",'MASTER DATA'!AC312)</f>
        <v>Settlement Authorization</v>
      </c>
    </row>
    <row r="29" spans="1:29" x14ac:dyDescent="0.45">
      <c r="A29" t="str">
        <f>IF('MASTER DATA'!A313="","",'MASTER DATA'!A313)</f>
        <v>SYN-CLM-0312</v>
      </c>
      <c r="B29" t="str">
        <f>IF('MASTER DATA'!B313="","",'MASTER DATA'!B313)</f>
        <v>Synthetic Claimant 0312</v>
      </c>
      <c r="C29" t="str">
        <f>IF('MASTER DATA'!C313="","",'MASTER DATA'!C313)</f>
        <v>Claims Analyst G</v>
      </c>
      <c r="D29" t="str">
        <f>IF('MASTER DATA'!D313="","",'MASTER DATA'!D313)</f>
        <v>Synthetic Policyholder 161, LLC</v>
      </c>
      <c r="E29" s="15">
        <f>IF('MASTER DATA'!E313="","",'MASTER DATA'!E313)</f>
        <v>44674</v>
      </c>
      <c r="F29" s="16" t="str">
        <f>IF('MASTER DATA'!F313="","",'MASTER DATA'!F313)</f>
        <v>Y</v>
      </c>
      <c r="G29" s="17">
        <f>IF('MASTER DATA'!G313="","",'MASTER DATA'!G313)</f>
        <v>40750</v>
      </c>
      <c r="H29" s="16" t="str">
        <f>IF('MASTER DATA'!H313="","",'MASTER DATA'!H313)</f>
        <v>Synthetic Approver 01</v>
      </c>
      <c r="I29" s="15">
        <f>IF('MASTER DATA'!I313="","",'MASTER DATA'!I313)</f>
        <v>45698</v>
      </c>
      <c r="J29" s="16" t="str">
        <f>IF('MASTER DATA'!J313="","",'MASTER DATA'!J313)</f>
        <v>N</v>
      </c>
      <c r="K29" s="15" t="str">
        <f>IF('MASTER DATA'!K313="","",'MASTER DATA'!K313)</f>
        <v/>
      </c>
      <c r="L29" s="16" t="str">
        <f>IF('MASTER DATA'!L313="","",'MASTER DATA'!L313)</f>
        <v>Y</v>
      </c>
      <c r="M29" s="16" t="str">
        <f>IF('MASTER DATA'!M313="","",'MASTER DATA'!M313)</f>
        <v>N</v>
      </c>
      <c r="N29" s="15" t="str">
        <f>IF('MASTER DATA'!N313="","",'MASTER DATA'!N313)</f>
        <v/>
      </c>
      <c r="O29" s="16" t="str">
        <f>IF('MASTER DATA'!O313="","",'MASTER DATA'!O313)</f>
        <v/>
      </c>
      <c r="P29" s="16" t="str">
        <f>IF('MASTER DATA'!P313="","",'MASTER DATA'!P313)</f>
        <v>N</v>
      </c>
      <c r="Q29" s="16" t="str">
        <f>IF('MASTER DATA'!Q313="","",'MASTER DATA'!Q313)</f>
        <v/>
      </c>
      <c r="R29" s="16" t="str">
        <f>IF('MASTER DATA'!R313="","",'MASTER DATA'!R313)</f>
        <v/>
      </c>
      <c r="S29" s="16" t="str">
        <f>IF('MASTER DATA'!S313="","",'MASTER DATA'!S313)</f>
        <v>N</v>
      </c>
      <c r="T29" s="15" t="str">
        <f>IF('MASTER DATA'!T313="","",'MASTER DATA'!T313)</f>
        <v/>
      </c>
      <c r="U29" s="16" t="str">
        <f>IF('MASTER DATA'!U313="","",'MASTER DATA'!U313)</f>
        <v>N</v>
      </c>
      <c r="V29" s="16" t="str">
        <f>IF('MASTER DATA'!V313="","",'MASTER DATA'!V313)</f>
        <v>N</v>
      </c>
      <c r="W29" s="16" t="str">
        <f>IF('MASTER DATA'!W313="","",'MASTER DATA'!W313)</f>
        <v>N</v>
      </c>
      <c r="X29" s="16" t="str">
        <f>IF('MASTER DATA'!X313="","",'MASTER DATA'!X313)</f>
        <v>N</v>
      </c>
      <c r="Y29" s="16" t="str">
        <f>IF('MASTER DATA'!Y313="","",'MASTER DATA'!Y313)</f>
        <v>N</v>
      </c>
      <c r="Z29" s="16" t="str">
        <f>IF('MASTER DATA'!Z313="","",'MASTER DATA'!Z313)</f>
        <v>N</v>
      </c>
      <c r="AA29" s="16">
        <f>IF('MASTER DATA'!AA313="","",'MASTER DATA'!AA313)</f>
        <v>1</v>
      </c>
      <c r="AB29" s="16" t="str">
        <f>IF('MASTER DATA'!AB313="","",'MASTER DATA'!AB313)</f>
        <v>SINGLE-SIGNAL</v>
      </c>
      <c r="AC29" s="16" t="str">
        <f>IF('MASTER DATA'!AC313="","",'MASTER DATA'!AC313)</f>
        <v>Settlement Authorization</v>
      </c>
    </row>
    <row r="30" spans="1:29" x14ac:dyDescent="0.45">
      <c r="A30" t="str">
        <f>IF('MASTER DATA'!A314="","",'MASTER DATA'!A314)</f>
        <v>SYN-CLM-0313</v>
      </c>
      <c r="B30" t="str">
        <f>IF('MASTER DATA'!B314="","",'MASTER DATA'!B314)</f>
        <v>Synthetic Claimant 0313</v>
      </c>
      <c r="C30" t="str">
        <f>IF('MASTER DATA'!C314="","",'MASTER DATA'!C314)</f>
        <v>Claims Analyst G</v>
      </c>
      <c r="D30" t="str">
        <f>IF('MASTER DATA'!D314="","",'MASTER DATA'!D314)</f>
        <v>Synthetic Policyholder 176, LLC</v>
      </c>
      <c r="E30" s="15">
        <f>IF('MASTER DATA'!E314="","",'MASTER DATA'!E314)</f>
        <v>43496</v>
      </c>
      <c r="F30" s="16" t="str">
        <f>IF('MASTER DATA'!F314="","",'MASTER DATA'!F314)</f>
        <v>Y</v>
      </c>
      <c r="G30" s="17">
        <f>IF('MASTER DATA'!G314="","",'MASTER DATA'!G314)</f>
        <v>3750</v>
      </c>
      <c r="H30" s="16" t="str">
        <f>IF('MASTER DATA'!H314="","",'MASTER DATA'!H314)</f>
        <v>Synthetic Approver 02</v>
      </c>
      <c r="I30" s="15">
        <f>IF('MASTER DATA'!I314="","",'MASTER DATA'!I314)</f>
        <v>43881</v>
      </c>
      <c r="J30" s="16" t="str">
        <f>IF('MASTER DATA'!J314="","",'MASTER DATA'!J314)</f>
        <v>N</v>
      </c>
      <c r="K30" s="15" t="str">
        <f>IF('MASTER DATA'!K314="","",'MASTER DATA'!K314)</f>
        <v/>
      </c>
      <c r="L30" s="16" t="str">
        <f>IF('MASTER DATA'!L314="","",'MASTER DATA'!L314)</f>
        <v>N</v>
      </c>
      <c r="M30" s="16" t="str">
        <f>IF('MASTER DATA'!M314="","",'MASTER DATA'!M314)</f>
        <v>N</v>
      </c>
      <c r="N30" s="15" t="str">
        <f>IF('MASTER DATA'!N314="","",'MASTER DATA'!N314)</f>
        <v/>
      </c>
      <c r="O30" s="16" t="str">
        <f>IF('MASTER DATA'!O314="","",'MASTER DATA'!O314)</f>
        <v/>
      </c>
      <c r="P30" s="16" t="str">
        <f>IF('MASTER DATA'!P314="","",'MASTER DATA'!P314)</f>
        <v>N</v>
      </c>
      <c r="Q30" s="16" t="str">
        <f>IF('MASTER DATA'!Q314="","",'MASTER DATA'!Q314)</f>
        <v/>
      </c>
      <c r="R30" s="16" t="str">
        <f>IF('MASTER DATA'!R314="","",'MASTER DATA'!R314)</f>
        <v/>
      </c>
      <c r="S30" s="16" t="str">
        <f>IF('MASTER DATA'!S314="","",'MASTER DATA'!S314)</f>
        <v>N</v>
      </c>
      <c r="T30" s="15" t="str">
        <f>IF('MASTER DATA'!T314="","",'MASTER DATA'!T314)</f>
        <v/>
      </c>
      <c r="U30" s="16" t="str">
        <f>IF('MASTER DATA'!U314="","",'MASTER DATA'!U314)</f>
        <v>N</v>
      </c>
      <c r="V30" s="16" t="str">
        <f>IF('MASTER DATA'!V314="","",'MASTER DATA'!V314)</f>
        <v>N</v>
      </c>
      <c r="W30" s="16" t="str">
        <f>IF('MASTER DATA'!W314="","",'MASTER DATA'!W314)</f>
        <v>N</v>
      </c>
      <c r="X30" s="16" t="str">
        <f>IF('MASTER DATA'!X314="","",'MASTER DATA'!X314)</f>
        <v>N</v>
      </c>
      <c r="Y30" s="16" t="str">
        <f>IF('MASTER DATA'!Y314="","",'MASTER DATA'!Y314)</f>
        <v>N</v>
      </c>
      <c r="Z30" s="16" t="str">
        <f>IF('MASTER DATA'!Z314="","",'MASTER DATA'!Z314)</f>
        <v>N</v>
      </c>
      <c r="AA30" s="16">
        <f>IF('MASTER DATA'!AA314="","",'MASTER DATA'!AA314)</f>
        <v>1</v>
      </c>
      <c r="AB30" s="16" t="str">
        <f>IF('MASTER DATA'!AB314="","",'MASTER DATA'!AB314)</f>
        <v>SINGLE-SIGNAL</v>
      </c>
      <c r="AC30" s="16" t="str">
        <f>IF('MASTER DATA'!AC314="","",'MASTER DATA'!AC314)</f>
        <v>Settlement Authorization</v>
      </c>
    </row>
    <row r="31" spans="1:29" x14ac:dyDescent="0.45">
      <c r="A31" t="str">
        <f>IF('MASTER DATA'!A315="","",'MASTER DATA'!A315)</f>
        <v>SYN-CLM-0314</v>
      </c>
      <c r="B31" t="str">
        <f>IF('MASTER DATA'!B315="","",'MASTER DATA'!B315)</f>
        <v>Synthetic Claimant 0314</v>
      </c>
      <c r="C31" t="str">
        <f>IF('MASTER DATA'!C315="","",'MASTER DATA'!C315)</f>
        <v>Claims Analyst G</v>
      </c>
      <c r="D31" t="str">
        <f>IF('MASTER DATA'!D315="","",'MASTER DATA'!D315)</f>
        <v>Synthetic Policyholder 136, LLC</v>
      </c>
      <c r="E31" s="15">
        <f>IF('MASTER DATA'!E315="","",'MASTER DATA'!E315)</f>
        <v>44902</v>
      </c>
      <c r="F31" s="16" t="str">
        <f>IF('MASTER DATA'!F315="","",'MASTER DATA'!F315)</f>
        <v>N</v>
      </c>
      <c r="G31" s="17" t="str">
        <f>IF('MASTER DATA'!G315="","",'MASTER DATA'!G315)</f>
        <v/>
      </c>
      <c r="H31" s="16" t="str">
        <f>IF('MASTER DATA'!H315="","",'MASTER DATA'!H315)</f>
        <v/>
      </c>
      <c r="I31" s="15" t="str">
        <f>IF('MASTER DATA'!I315="","",'MASTER DATA'!I315)</f>
        <v/>
      </c>
      <c r="J31" s="16" t="str">
        <f>IF('MASTER DATA'!J315="","",'MASTER DATA'!J315)</f>
        <v>Y</v>
      </c>
      <c r="K31" s="15">
        <f>IF('MASTER DATA'!K315="","",'MASTER DATA'!K315)</f>
        <v>44983</v>
      </c>
      <c r="L31" s="16" t="str">
        <f>IF('MASTER DATA'!L315="","",'MASTER DATA'!L315)</f>
        <v>Y</v>
      </c>
      <c r="M31" s="16" t="str">
        <f>IF('MASTER DATA'!M315="","",'MASTER DATA'!M315)</f>
        <v>N</v>
      </c>
      <c r="N31" s="15" t="str">
        <f>IF('MASTER DATA'!N315="","",'MASTER DATA'!N315)</f>
        <v/>
      </c>
      <c r="O31" s="16" t="str">
        <f>IF('MASTER DATA'!O315="","",'MASTER DATA'!O315)</f>
        <v/>
      </c>
      <c r="P31" s="16" t="str">
        <f>IF('MASTER DATA'!P315="","",'MASTER DATA'!P315)</f>
        <v>N</v>
      </c>
      <c r="Q31" s="16" t="str">
        <f>IF('MASTER DATA'!Q315="","",'MASTER DATA'!Q315)</f>
        <v/>
      </c>
      <c r="R31" s="16" t="str">
        <f>IF('MASTER DATA'!R315="","",'MASTER DATA'!R315)</f>
        <v/>
      </c>
      <c r="S31" s="16" t="str">
        <f>IF('MASTER DATA'!S315="","",'MASTER DATA'!S315)</f>
        <v>Y</v>
      </c>
      <c r="T31" s="15">
        <f>IF('MASTER DATA'!T315="","",'MASTER DATA'!T315)</f>
        <v>46188</v>
      </c>
      <c r="U31" s="16" t="str">
        <f>IF('MASTER DATA'!U315="","",'MASTER DATA'!U315)</f>
        <v>N</v>
      </c>
      <c r="V31" s="16" t="str">
        <f>IF('MASTER DATA'!V315="","",'MASTER DATA'!V315)</f>
        <v>N</v>
      </c>
      <c r="W31" s="16" t="str">
        <f>IF('MASTER DATA'!W315="","",'MASTER DATA'!W315)</f>
        <v>N</v>
      </c>
      <c r="X31" s="16" t="str">
        <f>IF('MASTER DATA'!X315="","",'MASTER DATA'!X315)</f>
        <v>N</v>
      </c>
      <c r="Y31" s="16" t="str">
        <f>IF('MASTER DATA'!Y315="","",'MASTER DATA'!Y315)</f>
        <v>N</v>
      </c>
      <c r="Z31" s="16" t="str">
        <f>IF('MASTER DATA'!Z315="","",'MASTER DATA'!Z315)</f>
        <v>N</v>
      </c>
      <c r="AA31" s="16">
        <f>IF('MASTER DATA'!AA315="","",'MASTER DATA'!AA315)</f>
        <v>2</v>
      </c>
      <c r="AB31" s="16" t="str">
        <f>IF('MASTER DATA'!AB315="","",'MASTER DATA'!AB315)</f>
        <v>MULTI-SIGNAL</v>
      </c>
      <c r="AC31" s="16" t="str">
        <f>IF('MASTER DATA'!AC315="","",'MASTER DATA'!AC315)</f>
        <v>Open Stipulation | Inactive Customer</v>
      </c>
    </row>
    <row r="32" spans="1:29" x14ac:dyDescent="0.45">
      <c r="A32" t="str">
        <f>IF('MASTER DATA'!A316="","",'MASTER DATA'!A316)</f>
        <v>SYN-CLM-0315</v>
      </c>
      <c r="B32" t="str">
        <f>IF('MASTER DATA'!B316="","",'MASTER DATA'!B316)</f>
        <v>Synthetic Claimant 0315</v>
      </c>
      <c r="C32" t="str">
        <f>IF('MASTER DATA'!C316="","",'MASTER DATA'!C316)</f>
        <v>Claims Analyst G</v>
      </c>
      <c r="D32" t="str">
        <f>IF('MASTER DATA'!D316="","",'MASTER DATA'!D316)</f>
        <v>Synthetic Policyholder 048, LLC</v>
      </c>
      <c r="E32" s="15">
        <f>IF('MASTER DATA'!E316="","",'MASTER DATA'!E316)</f>
        <v>43255</v>
      </c>
      <c r="F32" s="16" t="str">
        <f>IF('MASTER DATA'!F316="","",'MASTER DATA'!F316)</f>
        <v>N</v>
      </c>
      <c r="G32" s="17" t="str">
        <f>IF('MASTER DATA'!G316="","",'MASTER DATA'!G316)</f>
        <v/>
      </c>
      <c r="H32" s="16" t="str">
        <f>IF('MASTER DATA'!H316="","",'MASTER DATA'!H316)</f>
        <v/>
      </c>
      <c r="I32" s="15" t="str">
        <f>IF('MASTER DATA'!I316="","",'MASTER DATA'!I316)</f>
        <v/>
      </c>
      <c r="J32" s="16" t="str">
        <f>IF('MASTER DATA'!J316="","",'MASTER DATA'!J316)</f>
        <v>N</v>
      </c>
      <c r="K32" s="15" t="str">
        <f>IF('MASTER DATA'!K316="","",'MASTER DATA'!K316)</f>
        <v/>
      </c>
      <c r="L32" s="16" t="str">
        <f>IF('MASTER DATA'!L316="","",'MASTER DATA'!L316)</f>
        <v/>
      </c>
      <c r="M32" s="16" t="str">
        <f>IF('MASTER DATA'!M316="","",'MASTER DATA'!M316)</f>
        <v>N</v>
      </c>
      <c r="N32" s="15" t="str">
        <f>IF('MASTER DATA'!N316="","",'MASTER DATA'!N316)</f>
        <v/>
      </c>
      <c r="O32" s="16" t="str">
        <f>IF('MASTER DATA'!O316="","",'MASTER DATA'!O316)</f>
        <v/>
      </c>
      <c r="P32" s="16" t="str">
        <f>IF('MASTER DATA'!P316="","",'MASTER DATA'!P316)</f>
        <v>N</v>
      </c>
      <c r="Q32" s="16" t="str">
        <f>IF('MASTER DATA'!Q316="","",'MASTER DATA'!Q316)</f>
        <v/>
      </c>
      <c r="R32" s="16" t="str">
        <f>IF('MASTER DATA'!R316="","",'MASTER DATA'!R316)</f>
        <v/>
      </c>
      <c r="S32" s="16" t="str">
        <f>IF('MASTER DATA'!S316="","",'MASTER DATA'!S316)</f>
        <v>Y</v>
      </c>
      <c r="T32" s="15">
        <f>IF('MASTER DATA'!T316="","",'MASTER DATA'!T316)</f>
        <v>43833</v>
      </c>
      <c r="U32" s="16" t="str">
        <f>IF('MASTER DATA'!U316="","",'MASTER DATA'!U316)</f>
        <v>N</v>
      </c>
      <c r="V32" s="16" t="str">
        <f>IF('MASTER DATA'!V316="","",'MASTER DATA'!V316)</f>
        <v>N</v>
      </c>
      <c r="W32" s="16" t="str">
        <f>IF('MASTER DATA'!W316="","",'MASTER DATA'!W316)</f>
        <v>N</v>
      </c>
      <c r="X32" s="16" t="str">
        <f>IF('MASTER DATA'!X316="","",'MASTER DATA'!X316)</f>
        <v>N</v>
      </c>
      <c r="Y32" s="16" t="str">
        <f>IF('MASTER DATA'!Y316="","",'MASTER DATA'!Y316)</f>
        <v>N</v>
      </c>
      <c r="Z32" s="16" t="str">
        <f>IF('MASTER DATA'!Z316="","",'MASTER DATA'!Z316)</f>
        <v>N</v>
      </c>
      <c r="AA32" s="16">
        <f>IF('MASTER DATA'!AA316="","",'MASTER DATA'!AA316)</f>
        <v>1</v>
      </c>
      <c r="AB32" s="16" t="str">
        <f>IF('MASTER DATA'!AB316="","",'MASTER DATA'!AB316)</f>
        <v>SINGLE-SIGNAL</v>
      </c>
      <c r="AC32" s="16" t="str">
        <f>IF('MASTER DATA'!AC316="","",'MASTER DATA'!AC316)</f>
        <v>Inactive Customer</v>
      </c>
    </row>
    <row r="33" spans="1:29" x14ac:dyDescent="0.45">
      <c r="A33" t="str">
        <f>IF('MASTER DATA'!A317="","",'MASTER DATA'!A317)</f>
        <v>SYN-CLM-0316</v>
      </c>
      <c r="B33" t="str">
        <f>IF('MASTER DATA'!B317="","",'MASTER DATA'!B317)</f>
        <v>Synthetic Claimant 0316</v>
      </c>
      <c r="C33" t="str">
        <f>IF('MASTER DATA'!C317="","",'MASTER DATA'!C317)</f>
        <v>Claims Analyst G</v>
      </c>
      <c r="D33" t="str">
        <f>IF('MASTER DATA'!D317="","",'MASTER DATA'!D317)</f>
        <v>Synthetic Policyholder 124, LLC</v>
      </c>
      <c r="E33" s="15">
        <f>IF('MASTER DATA'!E317="","",'MASTER DATA'!E317)</f>
        <v>44011</v>
      </c>
      <c r="F33" s="16" t="str">
        <f>IF('MASTER DATA'!F317="","",'MASTER DATA'!F317)</f>
        <v>Y</v>
      </c>
      <c r="G33" s="17">
        <f>IF('MASTER DATA'!G317="","",'MASTER DATA'!G317)</f>
        <v>166500</v>
      </c>
      <c r="H33" s="16" t="str">
        <f>IF('MASTER DATA'!H317="","",'MASTER DATA'!H317)</f>
        <v>Synthetic Approver 05</v>
      </c>
      <c r="I33" s="15">
        <f>IF('MASTER DATA'!I317="","",'MASTER DATA'!I317)</f>
        <v>45316</v>
      </c>
      <c r="J33" s="16" t="str">
        <f>IF('MASTER DATA'!J317="","",'MASTER DATA'!J317)</f>
        <v>N</v>
      </c>
      <c r="K33" s="15" t="str">
        <f>IF('MASTER DATA'!K317="","",'MASTER DATA'!K317)</f>
        <v/>
      </c>
      <c r="L33" s="16" t="str">
        <f>IF('MASTER DATA'!L317="","",'MASTER DATA'!L317)</f>
        <v>N</v>
      </c>
      <c r="M33" s="16" t="str">
        <f>IF('MASTER DATA'!M317="","",'MASTER DATA'!M317)</f>
        <v>N</v>
      </c>
      <c r="N33" s="15" t="str">
        <f>IF('MASTER DATA'!N317="","",'MASTER DATA'!N317)</f>
        <v/>
      </c>
      <c r="O33" s="16" t="str">
        <f>IF('MASTER DATA'!O317="","",'MASTER DATA'!O317)</f>
        <v/>
      </c>
      <c r="P33" s="16" t="str">
        <f>IF('MASTER DATA'!P317="","",'MASTER DATA'!P317)</f>
        <v>N</v>
      </c>
      <c r="Q33" s="16" t="str">
        <f>IF('MASTER DATA'!Q317="","",'MASTER DATA'!Q317)</f>
        <v/>
      </c>
      <c r="R33" s="16" t="str">
        <f>IF('MASTER DATA'!R317="","",'MASTER DATA'!R317)</f>
        <v/>
      </c>
      <c r="S33" s="16" t="str">
        <f>IF('MASTER DATA'!S317="","",'MASTER DATA'!S317)</f>
        <v>Y</v>
      </c>
      <c r="T33" s="15">
        <f>IF('MASTER DATA'!T317="","",'MASTER DATA'!T317)</f>
        <v>45424</v>
      </c>
      <c r="U33" s="16" t="str">
        <f>IF('MASTER DATA'!U317="","",'MASTER DATA'!U317)</f>
        <v>N</v>
      </c>
      <c r="V33" s="16" t="str">
        <f>IF('MASTER DATA'!V317="","",'MASTER DATA'!V317)</f>
        <v>N</v>
      </c>
      <c r="W33" s="16" t="str">
        <f>IF('MASTER DATA'!W317="","",'MASTER DATA'!W317)</f>
        <v>N</v>
      </c>
      <c r="X33" s="16" t="str">
        <f>IF('MASTER DATA'!X317="","",'MASTER DATA'!X317)</f>
        <v>N</v>
      </c>
      <c r="Y33" s="16" t="str">
        <f>IF('MASTER DATA'!Y317="","",'MASTER DATA'!Y317)</f>
        <v>N</v>
      </c>
      <c r="Z33" s="16" t="str">
        <f>IF('MASTER DATA'!Z317="","",'MASTER DATA'!Z317)</f>
        <v>N</v>
      </c>
      <c r="AA33" s="16">
        <f>IF('MASTER DATA'!AA317="","",'MASTER DATA'!AA317)</f>
        <v>2</v>
      </c>
      <c r="AB33" s="16" t="str">
        <f>IF('MASTER DATA'!AB317="","",'MASTER DATA'!AB317)</f>
        <v>MULTI-SIGNAL</v>
      </c>
      <c r="AC33" s="16" t="str">
        <f>IF('MASTER DATA'!AC317="","",'MASTER DATA'!AC317)</f>
        <v>Settlement Authorization | Inactive Customer</v>
      </c>
    </row>
    <row r="34" spans="1:29" x14ac:dyDescent="0.45">
      <c r="A34" t="str">
        <f>IF('MASTER DATA'!A318="","",'MASTER DATA'!A318)</f>
        <v>SYN-CLM-0317</v>
      </c>
      <c r="B34" t="str">
        <f>IF('MASTER DATA'!B318="","",'MASTER DATA'!B318)</f>
        <v>Synthetic Claimant 0317</v>
      </c>
      <c r="C34" t="str">
        <f>IF('MASTER DATA'!C318="","",'MASTER DATA'!C318)</f>
        <v>Claims Analyst G</v>
      </c>
      <c r="D34" t="str">
        <f>IF('MASTER DATA'!D318="","",'MASTER DATA'!D318)</f>
        <v>Synthetic Policyholder 179, LLC</v>
      </c>
      <c r="E34" s="15">
        <f>IF('MASTER DATA'!E318="","",'MASTER DATA'!E318)</f>
        <v>44546</v>
      </c>
      <c r="F34" s="16" t="str">
        <f>IF('MASTER DATA'!F318="","",'MASTER DATA'!F318)</f>
        <v>N</v>
      </c>
      <c r="G34" s="17" t="str">
        <f>IF('MASTER DATA'!G318="","",'MASTER DATA'!G318)</f>
        <v/>
      </c>
      <c r="H34" s="16" t="str">
        <f>IF('MASTER DATA'!H318="","",'MASTER DATA'!H318)</f>
        <v/>
      </c>
      <c r="I34" s="15" t="str">
        <f>IF('MASTER DATA'!I318="","",'MASTER DATA'!I318)</f>
        <v/>
      </c>
      <c r="J34" s="16" t="str">
        <f>IF('MASTER DATA'!J318="","",'MASTER DATA'!J318)</f>
        <v>N</v>
      </c>
      <c r="K34" s="15" t="str">
        <f>IF('MASTER DATA'!K318="","",'MASTER DATA'!K318)</f>
        <v/>
      </c>
      <c r="L34" s="16" t="str">
        <f>IF('MASTER DATA'!L318="","",'MASTER DATA'!L318)</f>
        <v/>
      </c>
      <c r="M34" s="16" t="str">
        <f>IF('MASTER DATA'!M318="","",'MASTER DATA'!M318)</f>
        <v>Y</v>
      </c>
      <c r="N34" s="15">
        <f>IF('MASTER DATA'!N318="","",'MASTER DATA'!N318)</f>
        <v>45128</v>
      </c>
      <c r="O34" s="16" t="str">
        <f>IF('MASTER DATA'!O318="","",'MASTER DATA'!O318)</f>
        <v>Synthetic QME Evaluator 01</v>
      </c>
      <c r="P34" s="16" t="str">
        <f>IF('MASTER DATA'!P318="","",'MASTER DATA'!P318)</f>
        <v>N</v>
      </c>
      <c r="Q34" s="16" t="str">
        <f>IF('MASTER DATA'!Q318="","",'MASTER DATA'!Q318)</f>
        <v/>
      </c>
      <c r="R34" s="16" t="str">
        <f>IF('MASTER DATA'!R318="","",'MASTER DATA'!R318)</f>
        <v/>
      </c>
      <c r="S34" s="16" t="str">
        <f>IF('MASTER DATA'!S318="","",'MASTER DATA'!S318)</f>
        <v>N</v>
      </c>
      <c r="T34" s="15" t="str">
        <f>IF('MASTER DATA'!T318="","",'MASTER DATA'!T318)</f>
        <v/>
      </c>
      <c r="U34" s="16" t="str">
        <f>IF('MASTER DATA'!U318="","",'MASTER DATA'!U318)</f>
        <v>N</v>
      </c>
      <c r="V34" s="16" t="str">
        <f>IF('MASTER DATA'!V318="","",'MASTER DATA'!V318)</f>
        <v>N</v>
      </c>
      <c r="W34" s="16" t="str">
        <f>IF('MASTER DATA'!W318="","",'MASTER DATA'!W318)</f>
        <v>N</v>
      </c>
      <c r="X34" s="16" t="str">
        <f>IF('MASTER DATA'!X318="","",'MASTER DATA'!X318)</f>
        <v>N</v>
      </c>
      <c r="Y34" s="16" t="str">
        <f>IF('MASTER DATA'!Y318="","",'MASTER DATA'!Y318)</f>
        <v>N</v>
      </c>
      <c r="Z34" s="16" t="str">
        <f>IF('MASTER DATA'!Z318="","",'MASTER DATA'!Z318)</f>
        <v>N</v>
      </c>
      <c r="AA34" s="16">
        <f>IF('MASTER DATA'!AA318="","",'MASTER DATA'!AA318)</f>
        <v>1</v>
      </c>
      <c r="AB34" s="16" t="str">
        <f>IF('MASTER DATA'!AB318="","",'MASTER DATA'!AB318)</f>
        <v>SINGLE-SIGNAL</v>
      </c>
      <c r="AC34" s="16" t="str">
        <f>IF('MASTER DATA'!AC318="","",'MASTER DATA'!AC318)</f>
        <v>Pending QME</v>
      </c>
    </row>
    <row r="35" spans="1:29" x14ac:dyDescent="0.45">
      <c r="A35" t="str">
        <f>IF('MASTER DATA'!A319="","",'MASTER DATA'!A319)</f>
        <v>SYN-CLM-0318</v>
      </c>
      <c r="B35" t="str">
        <f>IF('MASTER DATA'!B319="","",'MASTER DATA'!B319)</f>
        <v>Synthetic Claimant 0318</v>
      </c>
      <c r="C35" t="str">
        <f>IF('MASTER DATA'!C319="","",'MASTER DATA'!C319)</f>
        <v>Claims Analyst G</v>
      </c>
      <c r="D35" t="str">
        <f>IF('MASTER DATA'!D319="","",'MASTER DATA'!D319)</f>
        <v>Synthetic Policyholder 057, LLC</v>
      </c>
      <c r="E35" s="15">
        <f>IF('MASTER DATA'!E319="","",'MASTER DATA'!E319)</f>
        <v>43539</v>
      </c>
      <c r="F35" s="16" t="str">
        <f>IF('MASTER DATA'!F319="","",'MASTER DATA'!F319)</f>
        <v>Y</v>
      </c>
      <c r="G35" s="17">
        <f>IF('MASTER DATA'!G319="","",'MASTER DATA'!G319)</f>
        <v>44500</v>
      </c>
      <c r="H35" s="16" t="str">
        <f>IF('MASTER DATA'!H319="","",'MASTER DATA'!H319)</f>
        <v>Synthetic Approver 05</v>
      </c>
      <c r="I35" s="15">
        <f>IF('MASTER DATA'!I319="","",'MASTER DATA'!I319)</f>
        <v>44608</v>
      </c>
      <c r="J35" s="16" t="str">
        <f>IF('MASTER DATA'!J319="","",'MASTER DATA'!J319)</f>
        <v>N</v>
      </c>
      <c r="K35" s="15" t="str">
        <f>IF('MASTER DATA'!K319="","",'MASTER DATA'!K319)</f>
        <v/>
      </c>
      <c r="L35" s="16" t="str">
        <f>IF('MASTER DATA'!L319="","",'MASTER DATA'!L319)</f>
        <v>N</v>
      </c>
      <c r="M35" s="16" t="str">
        <f>IF('MASTER DATA'!M319="","",'MASTER DATA'!M319)</f>
        <v>N</v>
      </c>
      <c r="N35" s="15" t="str">
        <f>IF('MASTER DATA'!N319="","",'MASTER DATA'!N319)</f>
        <v/>
      </c>
      <c r="O35" s="16" t="str">
        <f>IF('MASTER DATA'!O319="","",'MASTER DATA'!O319)</f>
        <v/>
      </c>
      <c r="P35" s="16" t="str">
        <f>IF('MASTER DATA'!P319="","",'MASTER DATA'!P319)</f>
        <v>N</v>
      </c>
      <c r="Q35" s="16" t="str">
        <f>IF('MASTER DATA'!Q319="","",'MASTER DATA'!Q319)</f>
        <v/>
      </c>
      <c r="R35" s="16" t="str">
        <f>IF('MASTER DATA'!R319="","",'MASTER DATA'!R319)</f>
        <v/>
      </c>
      <c r="S35" s="16" t="str">
        <f>IF('MASTER DATA'!S319="","",'MASTER DATA'!S319)</f>
        <v>Y</v>
      </c>
      <c r="T35" s="15">
        <f>IF('MASTER DATA'!T319="","",'MASTER DATA'!T319)</f>
        <v>44208</v>
      </c>
      <c r="U35" s="16" t="str">
        <f>IF('MASTER DATA'!U319="","",'MASTER DATA'!U319)</f>
        <v>N</v>
      </c>
      <c r="V35" s="16" t="str">
        <f>IF('MASTER DATA'!V319="","",'MASTER DATA'!V319)</f>
        <v>N</v>
      </c>
      <c r="W35" s="16" t="str">
        <f>IF('MASTER DATA'!W319="","",'MASTER DATA'!W319)</f>
        <v>N</v>
      </c>
      <c r="X35" s="16" t="str">
        <f>IF('MASTER DATA'!X319="","",'MASTER DATA'!X319)</f>
        <v>N</v>
      </c>
      <c r="Y35" s="16" t="str">
        <f>IF('MASTER DATA'!Y319="","",'MASTER DATA'!Y319)</f>
        <v>N</v>
      </c>
      <c r="Z35" s="16" t="str">
        <f>IF('MASTER DATA'!Z319="","",'MASTER DATA'!Z319)</f>
        <v>N</v>
      </c>
      <c r="AA35" s="16">
        <f>IF('MASTER DATA'!AA319="","",'MASTER DATA'!AA319)</f>
        <v>2</v>
      </c>
      <c r="AB35" s="16" t="str">
        <f>IF('MASTER DATA'!AB319="","",'MASTER DATA'!AB319)</f>
        <v>MULTI-SIGNAL</v>
      </c>
      <c r="AC35" s="16" t="str">
        <f>IF('MASTER DATA'!AC319="","",'MASTER DATA'!AC319)</f>
        <v>Settlement Authorization | Inactive Customer</v>
      </c>
    </row>
    <row r="36" spans="1:29" x14ac:dyDescent="0.45">
      <c r="A36" t="str">
        <f>IF('MASTER DATA'!A320="","",'MASTER DATA'!A320)</f>
        <v>SYN-CLM-0319</v>
      </c>
      <c r="B36" t="str">
        <f>IF('MASTER DATA'!B320="","",'MASTER DATA'!B320)</f>
        <v>Synthetic Claimant 0319</v>
      </c>
      <c r="C36" t="str">
        <f>IF('MASTER DATA'!C320="","",'MASTER DATA'!C320)</f>
        <v>Claims Analyst G</v>
      </c>
      <c r="D36" t="str">
        <f>IF('MASTER DATA'!D320="","",'MASTER DATA'!D320)</f>
        <v>Synthetic Policyholder 081, LLC</v>
      </c>
      <c r="E36" s="15">
        <f>IF('MASTER DATA'!E320="","",'MASTER DATA'!E320)</f>
        <v>43171</v>
      </c>
      <c r="F36" s="16" t="str">
        <f>IF('MASTER DATA'!F320="","",'MASTER DATA'!F320)</f>
        <v>N</v>
      </c>
      <c r="G36" s="17" t="str">
        <f>IF('MASTER DATA'!G320="","",'MASTER DATA'!G320)</f>
        <v/>
      </c>
      <c r="H36" s="16" t="str">
        <f>IF('MASTER DATA'!H320="","",'MASTER DATA'!H320)</f>
        <v/>
      </c>
      <c r="I36" s="15" t="str">
        <f>IF('MASTER DATA'!I320="","",'MASTER DATA'!I320)</f>
        <v/>
      </c>
      <c r="J36" s="16" t="str">
        <f>IF('MASTER DATA'!J320="","",'MASTER DATA'!J320)</f>
        <v>N</v>
      </c>
      <c r="K36" s="15" t="str">
        <f>IF('MASTER DATA'!K320="","",'MASTER DATA'!K320)</f>
        <v/>
      </c>
      <c r="L36" s="16" t="str">
        <f>IF('MASTER DATA'!L320="","",'MASTER DATA'!L320)</f>
        <v/>
      </c>
      <c r="M36" s="16" t="str">
        <f>IF('MASTER DATA'!M320="","",'MASTER DATA'!M320)</f>
        <v>N</v>
      </c>
      <c r="N36" s="15" t="str">
        <f>IF('MASTER DATA'!N320="","",'MASTER DATA'!N320)</f>
        <v/>
      </c>
      <c r="O36" s="16" t="str">
        <f>IF('MASTER DATA'!O320="","",'MASTER DATA'!O320)</f>
        <v/>
      </c>
      <c r="P36" s="16" t="str">
        <f>IF('MASTER DATA'!P320="","",'MASTER DATA'!P320)</f>
        <v>N</v>
      </c>
      <c r="Q36" s="16" t="str">
        <f>IF('MASTER DATA'!Q320="","",'MASTER DATA'!Q320)</f>
        <v/>
      </c>
      <c r="R36" s="16" t="str">
        <f>IF('MASTER DATA'!R320="","",'MASTER DATA'!R320)</f>
        <v/>
      </c>
      <c r="S36" s="16" t="str">
        <f>IF('MASTER DATA'!S320="","",'MASTER DATA'!S320)</f>
        <v>Y</v>
      </c>
      <c r="T36" s="15">
        <f>IF('MASTER DATA'!T320="","",'MASTER DATA'!T320)</f>
        <v>44236</v>
      </c>
      <c r="U36" s="16" t="str">
        <f>IF('MASTER DATA'!U320="","",'MASTER DATA'!U320)</f>
        <v>N</v>
      </c>
      <c r="V36" s="16" t="str">
        <f>IF('MASTER DATA'!V320="","",'MASTER DATA'!V320)</f>
        <v>N</v>
      </c>
      <c r="W36" s="16" t="str">
        <f>IF('MASTER DATA'!W320="","",'MASTER DATA'!W320)</f>
        <v>N</v>
      </c>
      <c r="X36" s="16" t="str">
        <f>IF('MASTER DATA'!X320="","",'MASTER DATA'!X320)</f>
        <v>N</v>
      </c>
      <c r="Y36" s="16" t="str">
        <f>IF('MASTER DATA'!Y320="","",'MASTER DATA'!Y320)</f>
        <v>N</v>
      </c>
      <c r="Z36" s="16" t="str">
        <f>IF('MASTER DATA'!Z320="","",'MASTER DATA'!Z320)</f>
        <v>N</v>
      </c>
      <c r="AA36" s="16">
        <f>IF('MASTER DATA'!AA320="","",'MASTER DATA'!AA320)</f>
        <v>1</v>
      </c>
      <c r="AB36" s="16" t="str">
        <f>IF('MASTER DATA'!AB320="","",'MASTER DATA'!AB320)</f>
        <v>SINGLE-SIGNAL</v>
      </c>
      <c r="AC36" s="16" t="str">
        <f>IF('MASTER DATA'!AC320="","",'MASTER DATA'!AC320)</f>
        <v>Inactive Customer</v>
      </c>
    </row>
    <row r="37" spans="1:29" x14ac:dyDescent="0.45">
      <c r="A37" t="str">
        <f>IF('MASTER DATA'!A321="","",'MASTER DATA'!A321)</f>
        <v>SYN-CLM-0320</v>
      </c>
      <c r="B37" t="str">
        <f>IF('MASTER DATA'!B321="","",'MASTER DATA'!B321)</f>
        <v>Synthetic Claimant 0320</v>
      </c>
      <c r="C37" t="str">
        <f>IF('MASTER DATA'!C321="","",'MASTER DATA'!C321)</f>
        <v>Claims Analyst G</v>
      </c>
      <c r="D37" t="str">
        <f>IF('MASTER DATA'!D321="","",'MASTER DATA'!D321)</f>
        <v>Synthetic Policyholder 065, LLC</v>
      </c>
      <c r="E37" s="15">
        <f>IF('MASTER DATA'!E321="","",'MASTER DATA'!E321)</f>
        <v>45440</v>
      </c>
      <c r="F37" s="16" t="str">
        <f>IF('MASTER DATA'!F321="","",'MASTER DATA'!F321)</f>
        <v>N</v>
      </c>
      <c r="G37" s="17" t="str">
        <f>IF('MASTER DATA'!G321="","",'MASTER DATA'!G321)</f>
        <v/>
      </c>
      <c r="H37" s="16" t="str">
        <f>IF('MASTER DATA'!H321="","",'MASTER DATA'!H321)</f>
        <v/>
      </c>
      <c r="I37" s="15" t="str">
        <f>IF('MASTER DATA'!I321="","",'MASTER DATA'!I321)</f>
        <v/>
      </c>
      <c r="J37" s="16" t="str">
        <f>IF('MASTER DATA'!J321="","",'MASTER DATA'!J321)</f>
        <v>N</v>
      </c>
      <c r="K37" s="15" t="str">
        <f>IF('MASTER DATA'!K321="","",'MASTER DATA'!K321)</f>
        <v/>
      </c>
      <c r="L37" s="16" t="str">
        <f>IF('MASTER DATA'!L321="","",'MASTER DATA'!L321)</f>
        <v/>
      </c>
      <c r="M37" s="16" t="str">
        <f>IF('MASTER DATA'!M321="","",'MASTER DATA'!M321)</f>
        <v>N</v>
      </c>
      <c r="N37" s="15" t="str">
        <f>IF('MASTER DATA'!N321="","",'MASTER DATA'!N321)</f>
        <v/>
      </c>
      <c r="O37" s="16" t="str">
        <f>IF('MASTER DATA'!O321="","",'MASTER DATA'!O321)</f>
        <v/>
      </c>
      <c r="P37" s="16" t="str">
        <f>IF('MASTER DATA'!P321="","",'MASTER DATA'!P321)</f>
        <v>Y</v>
      </c>
      <c r="Q37" s="16" t="str">
        <f>IF('MASTER DATA'!Q321="","",'MASTER DATA'!Q321)</f>
        <v>MSA Eligible in Next 3 Years</v>
      </c>
      <c r="R37" s="16" t="str">
        <f>IF('MASTER DATA'!R321="","",'MASTER DATA'!R321)</f>
        <v/>
      </c>
      <c r="S37" s="16" t="str">
        <f>IF('MASTER DATA'!S321="","",'MASTER DATA'!S321)</f>
        <v>N</v>
      </c>
      <c r="T37" s="15" t="str">
        <f>IF('MASTER DATA'!T321="","",'MASTER DATA'!T321)</f>
        <v/>
      </c>
      <c r="U37" s="16" t="str">
        <f>IF('MASTER DATA'!U321="","",'MASTER DATA'!U321)</f>
        <v>N</v>
      </c>
      <c r="V37" s="16" t="str">
        <f>IF('MASTER DATA'!V321="","",'MASTER DATA'!V321)</f>
        <v>N</v>
      </c>
      <c r="W37" s="16" t="str">
        <f>IF('MASTER DATA'!W321="","",'MASTER DATA'!W321)</f>
        <v>N</v>
      </c>
      <c r="X37" s="16" t="str">
        <f>IF('MASTER DATA'!X321="","",'MASTER DATA'!X321)</f>
        <v>N</v>
      </c>
      <c r="Y37" s="16" t="str">
        <f>IF('MASTER DATA'!Y321="","",'MASTER DATA'!Y321)</f>
        <v>N</v>
      </c>
      <c r="Z37" s="16" t="str">
        <f>IF('MASTER DATA'!Z321="","",'MASTER DATA'!Z321)</f>
        <v>Y</v>
      </c>
      <c r="AA37" s="16">
        <f>IF('MASTER DATA'!AA321="","",'MASTER DATA'!AA321)</f>
        <v>1</v>
      </c>
      <c r="AB37" s="16" t="str">
        <f>IF('MASTER DATA'!AB321="","",'MASTER DATA'!AB321)</f>
        <v>SINGLE-SIGNAL</v>
      </c>
      <c r="AC37" s="16" t="str">
        <f>IF('MASTER DATA'!AC321="","",'MASTER DATA'!AC321)</f>
        <v>Automated Claim Alert</v>
      </c>
    </row>
    <row r="38" spans="1:29" x14ac:dyDescent="0.45">
      <c r="A38" t="str">
        <f>IF('MASTER DATA'!A322="","",'MASTER DATA'!A322)</f>
        <v>SYN-CLM-0321</v>
      </c>
      <c r="B38" t="str">
        <f>IF('MASTER DATA'!B322="","",'MASTER DATA'!B322)</f>
        <v>Synthetic Claimant 0321</v>
      </c>
      <c r="C38" t="str">
        <f>IF('MASTER DATA'!C322="","",'MASTER DATA'!C322)</f>
        <v>Claims Analyst G</v>
      </c>
      <c r="D38" t="str">
        <f>IF('MASTER DATA'!D322="","",'MASTER DATA'!D322)</f>
        <v>Synthetic Policyholder 088, LLC</v>
      </c>
      <c r="E38" s="15">
        <f>IF('MASTER DATA'!E322="","",'MASTER DATA'!E322)</f>
        <v>44240</v>
      </c>
      <c r="F38" s="16" t="str">
        <f>IF('MASTER DATA'!F322="","",'MASTER DATA'!F322)</f>
        <v>N</v>
      </c>
      <c r="G38" s="17" t="str">
        <f>IF('MASTER DATA'!G322="","",'MASTER DATA'!G322)</f>
        <v/>
      </c>
      <c r="H38" s="16" t="str">
        <f>IF('MASTER DATA'!H322="","",'MASTER DATA'!H322)</f>
        <v/>
      </c>
      <c r="I38" s="15" t="str">
        <f>IF('MASTER DATA'!I322="","",'MASTER DATA'!I322)</f>
        <v/>
      </c>
      <c r="J38" s="16" t="str">
        <f>IF('MASTER DATA'!J322="","",'MASTER DATA'!J322)</f>
        <v>Y</v>
      </c>
      <c r="K38" s="15">
        <f>IF('MASTER DATA'!K322="","",'MASTER DATA'!K322)</f>
        <v>44550</v>
      </c>
      <c r="L38" s="16" t="str">
        <f>IF('MASTER DATA'!L322="","",'MASTER DATA'!L322)</f>
        <v>N</v>
      </c>
      <c r="M38" s="16" t="str">
        <f>IF('MASTER DATA'!M322="","",'MASTER DATA'!M322)</f>
        <v>N</v>
      </c>
      <c r="N38" s="15" t="str">
        <f>IF('MASTER DATA'!N322="","",'MASTER DATA'!N322)</f>
        <v/>
      </c>
      <c r="O38" s="16" t="str">
        <f>IF('MASTER DATA'!O322="","",'MASTER DATA'!O322)</f>
        <v/>
      </c>
      <c r="P38" s="16" t="str">
        <f>IF('MASTER DATA'!P322="","",'MASTER DATA'!P322)</f>
        <v>N</v>
      </c>
      <c r="Q38" s="16" t="str">
        <f>IF('MASTER DATA'!Q322="","",'MASTER DATA'!Q322)</f>
        <v/>
      </c>
      <c r="R38" s="16" t="str">
        <f>IF('MASTER DATA'!R322="","",'MASTER DATA'!R322)</f>
        <v/>
      </c>
      <c r="S38" s="16" t="str">
        <f>IF('MASTER DATA'!S322="","",'MASTER DATA'!S322)</f>
        <v>N</v>
      </c>
      <c r="T38" s="15" t="str">
        <f>IF('MASTER DATA'!T322="","",'MASTER DATA'!T322)</f>
        <v/>
      </c>
      <c r="U38" s="16" t="str">
        <f>IF('MASTER DATA'!U322="","",'MASTER DATA'!U322)</f>
        <v>N</v>
      </c>
      <c r="V38" s="16" t="str">
        <f>IF('MASTER DATA'!V322="","",'MASTER DATA'!V322)</f>
        <v>N</v>
      </c>
      <c r="W38" s="16" t="str">
        <f>IF('MASTER DATA'!W322="","",'MASTER DATA'!W322)</f>
        <v>N</v>
      </c>
      <c r="X38" s="16" t="str">
        <f>IF('MASTER DATA'!X322="","",'MASTER DATA'!X322)</f>
        <v>N</v>
      </c>
      <c r="Y38" s="16" t="str">
        <f>IF('MASTER DATA'!Y322="","",'MASTER DATA'!Y322)</f>
        <v>N</v>
      </c>
      <c r="Z38" s="16" t="str">
        <f>IF('MASTER DATA'!Z322="","",'MASTER DATA'!Z322)</f>
        <v>N</v>
      </c>
      <c r="AA38" s="16">
        <f>IF('MASTER DATA'!AA322="","",'MASTER DATA'!AA322)</f>
        <v>1</v>
      </c>
      <c r="AB38" s="16" t="str">
        <f>IF('MASTER DATA'!AB322="","",'MASTER DATA'!AB322)</f>
        <v>SINGLE-SIGNAL</v>
      </c>
      <c r="AC38" s="16" t="str">
        <f>IF('MASTER DATA'!AC322="","",'MASTER DATA'!AC322)</f>
        <v>Open Stipulation</v>
      </c>
    </row>
    <row r="39" spans="1:29" x14ac:dyDescent="0.45">
      <c r="A39" t="str">
        <f>IF('MASTER DATA'!A323="","",'MASTER DATA'!A323)</f>
        <v>SYN-CLM-0322</v>
      </c>
      <c r="B39" t="str">
        <f>IF('MASTER DATA'!B323="","",'MASTER DATA'!B323)</f>
        <v>Synthetic Claimant 0322</v>
      </c>
      <c r="C39" t="str">
        <f>IF('MASTER DATA'!C323="","",'MASTER DATA'!C323)</f>
        <v>Claims Analyst G</v>
      </c>
      <c r="D39" t="str">
        <f>IF('MASTER DATA'!D323="","",'MASTER DATA'!D323)</f>
        <v>Synthetic Policyholder 066, LLC</v>
      </c>
      <c r="E39" s="15">
        <f>IF('MASTER DATA'!E323="","",'MASTER DATA'!E323)</f>
        <v>45923</v>
      </c>
      <c r="F39" s="16" t="str">
        <f>IF('MASTER DATA'!F323="","",'MASTER DATA'!F323)</f>
        <v>Y</v>
      </c>
      <c r="G39" s="17">
        <f>IF('MASTER DATA'!G323="","",'MASTER DATA'!G323)</f>
        <v>129000</v>
      </c>
      <c r="H39" s="16" t="str">
        <f>IF('MASTER DATA'!H323="","",'MASTER DATA'!H323)</f>
        <v>Synthetic Approver 08</v>
      </c>
      <c r="I39" s="15">
        <f>IF('MASTER DATA'!I323="","",'MASTER DATA'!I323)</f>
        <v>46391</v>
      </c>
      <c r="J39" s="16" t="str">
        <f>IF('MASTER DATA'!J323="","",'MASTER DATA'!J323)</f>
        <v>N</v>
      </c>
      <c r="K39" s="15" t="str">
        <f>IF('MASTER DATA'!K323="","",'MASTER DATA'!K323)</f>
        <v/>
      </c>
      <c r="L39" s="16" t="str">
        <f>IF('MASTER DATA'!L323="","",'MASTER DATA'!L323)</f>
        <v>Y</v>
      </c>
      <c r="M39" s="16" t="str">
        <f>IF('MASTER DATA'!M323="","",'MASTER DATA'!M323)</f>
        <v>N</v>
      </c>
      <c r="N39" s="15" t="str">
        <f>IF('MASTER DATA'!N323="","",'MASTER DATA'!N323)</f>
        <v/>
      </c>
      <c r="O39" s="16" t="str">
        <f>IF('MASTER DATA'!O323="","",'MASTER DATA'!O323)</f>
        <v/>
      </c>
      <c r="P39" s="16" t="str">
        <f>IF('MASTER DATA'!P323="","",'MASTER DATA'!P323)</f>
        <v>N</v>
      </c>
      <c r="Q39" s="16" t="str">
        <f>IF('MASTER DATA'!Q323="","",'MASTER DATA'!Q323)</f>
        <v/>
      </c>
      <c r="R39" s="16" t="str">
        <f>IF('MASTER DATA'!R323="","",'MASTER DATA'!R323)</f>
        <v/>
      </c>
      <c r="S39" s="16" t="str">
        <f>IF('MASTER DATA'!S323="","",'MASTER DATA'!S323)</f>
        <v>N</v>
      </c>
      <c r="T39" s="15" t="str">
        <f>IF('MASTER DATA'!T323="","",'MASTER DATA'!T323)</f>
        <v/>
      </c>
      <c r="U39" s="16" t="str">
        <f>IF('MASTER DATA'!U323="","",'MASTER DATA'!U323)</f>
        <v>N</v>
      </c>
      <c r="V39" s="16" t="str">
        <f>IF('MASTER DATA'!V323="","",'MASTER DATA'!V323)</f>
        <v>N</v>
      </c>
      <c r="W39" s="16" t="str">
        <f>IF('MASTER DATA'!W323="","",'MASTER DATA'!W323)</f>
        <v>N</v>
      </c>
      <c r="X39" s="16" t="str">
        <f>IF('MASTER DATA'!X323="","",'MASTER DATA'!X323)</f>
        <v>N</v>
      </c>
      <c r="Y39" s="16" t="str">
        <f>IF('MASTER DATA'!Y323="","",'MASTER DATA'!Y323)</f>
        <v>N</v>
      </c>
      <c r="Z39" s="16" t="str">
        <f>IF('MASTER DATA'!Z323="","",'MASTER DATA'!Z323)</f>
        <v>N</v>
      </c>
      <c r="AA39" s="16">
        <f>IF('MASTER DATA'!AA323="","",'MASTER DATA'!AA323)</f>
        <v>1</v>
      </c>
      <c r="AB39" s="16" t="str">
        <f>IF('MASTER DATA'!AB323="","",'MASTER DATA'!AB323)</f>
        <v>SINGLE-SIGNAL</v>
      </c>
      <c r="AC39" s="16" t="str">
        <f>IF('MASTER DATA'!AC323="","",'MASTER DATA'!AC323)</f>
        <v>Settlement Authorization</v>
      </c>
    </row>
    <row r="40" spans="1:29" x14ac:dyDescent="0.45">
      <c r="A40" t="str">
        <f>IF('MASTER DATA'!A324="","",'MASTER DATA'!A324)</f>
        <v>SYN-CLM-0323</v>
      </c>
      <c r="B40" t="str">
        <f>IF('MASTER DATA'!B324="","",'MASTER DATA'!B324)</f>
        <v>Synthetic Claimant 0323</v>
      </c>
      <c r="C40" t="str">
        <f>IF('MASTER DATA'!C324="","",'MASTER DATA'!C324)</f>
        <v>Claims Analyst G</v>
      </c>
      <c r="D40" t="str">
        <f>IF('MASTER DATA'!D324="","",'MASTER DATA'!D324)</f>
        <v>Synthetic Policyholder 059, LLC</v>
      </c>
      <c r="E40" s="15">
        <f>IF('MASTER DATA'!E324="","",'MASTER DATA'!E324)</f>
        <v>45901</v>
      </c>
      <c r="F40" s="16" t="str">
        <f>IF('MASTER DATA'!F324="","",'MASTER DATA'!F324)</f>
        <v>Y</v>
      </c>
      <c r="G40" s="17">
        <f>IF('MASTER DATA'!G324="","",'MASTER DATA'!G324)</f>
        <v>71500</v>
      </c>
      <c r="H40" s="16" t="str">
        <f>IF('MASTER DATA'!H324="","",'MASTER DATA'!H324)</f>
        <v>Synthetic Approver 06</v>
      </c>
      <c r="I40" s="15">
        <f>IF('MASTER DATA'!I324="","",'MASTER DATA'!I324)</f>
        <v>47428</v>
      </c>
      <c r="J40" s="16" t="str">
        <f>IF('MASTER DATA'!J324="","",'MASTER DATA'!J324)</f>
        <v>N</v>
      </c>
      <c r="K40" s="15" t="str">
        <f>IF('MASTER DATA'!K324="","",'MASTER DATA'!K324)</f>
        <v/>
      </c>
      <c r="L40" s="16" t="str">
        <f>IF('MASTER DATA'!L324="","",'MASTER DATA'!L324)</f>
        <v>Y</v>
      </c>
      <c r="M40" s="16" t="str">
        <f>IF('MASTER DATA'!M324="","",'MASTER DATA'!M324)</f>
        <v>N</v>
      </c>
      <c r="N40" s="15" t="str">
        <f>IF('MASTER DATA'!N324="","",'MASTER DATA'!N324)</f>
        <v/>
      </c>
      <c r="O40" s="16" t="str">
        <f>IF('MASTER DATA'!O324="","",'MASTER DATA'!O324)</f>
        <v/>
      </c>
      <c r="P40" s="16" t="str">
        <f>IF('MASTER DATA'!P324="","",'MASTER DATA'!P324)</f>
        <v>Y</v>
      </c>
      <c r="Q40" s="16" t="str">
        <f>IF('MASTER DATA'!Q324="","",'MASTER DATA'!Q324)</f>
        <v>MMI Date Reported; Specialist Consultation Requested</v>
      </c>
      <c r="R40" s="16" t="str">
        <f>IF('MASTER DATA'!R324="","",'MASTER DATA'!R324)</f>
        <v>Surgery Requested</v>
      </c>
      <c r="S40" s="16" t="str">
        <f>IF('MASTER DATA'!S324="","",'MASTER DATA'!S324)</f>
        <v>N</v>
      </c>
      <c r="T40" s="15" t="str">
        <f>IF('MASTER DATA'!T324="","",'MASTER DATA'!T324)</f>
        <v/>
      </c>
      <c r="U40" s="16" t="str">
        <f>IF('MASTER DATA'!U324="","",'MASTER DATA'!U324)</f>
        <v>Y</v>
      </c>
      <c r="V40" s="16" t="str">
        <f>IF('MASTER DATA'!V324="","",'MASTER DATA'!V324)</f>
        <v>Y</v>
      </c>
      <c r="W40" s="16" t="str">
        <f>IF('MASTER DATA'!W324="","",'MASTER DATA'!W324)</f>
        <v>N</v>
      </c>
      <c r="X40" s="16" t="str">
        <f>IF('MASTER DATA'!X324="","",'MASTER DATA'!X324)</f>
        <v>Y</v>
      </c>
      <c r="Y40" s="16" t="str">
        <f>IF('MASTER DATA'!Y324="","",'MASTER DATA'!Y324)</f>
        <v>N</v>
      </c>
      <c r="Z40" s="16" t="str">
        <f>IF('MASTER DATA'!Z324="","",'MASTER DATA'!Z324)</f>
        <v>N</v>
      </c>
      <c r="AA40" s="16">
        <f>IF('MASTER DATA'!AA324="","",'MASTER DATA'!AA324)</f>
        <v>2</v>
      </c>
      <c r="AB40" s="16" t="str">
        <f>IF('MASTER DATA'!AB324="","",'MASTER DATA'!AB324)</f>
        <v>MULTI-SIGNAL</v>
      </c>
      <c r="AC40" s="16" t="str">
        <f>IF('MASTER DATA'!AC324="","",'MASTER DATA'!AC324)</f>
        <v>Settlement Authorization | Automated Claim Alert</v>
      </c>
    </row>
    <row r="41" spans="1:29" x14ac:dyDescent="0.45">
      <c r="A41" t="str">
        <f>IF('MASTER DATA'!A325="","",'MASTER DATA'!A325)</f>
        <v>SYN-CLM-0324</v>
      </c>
      <c r="B41" t="str">
        <f>IF('MASTER DATA'!B325="","",'MASTER DATA'!B325)</f>
        <v>Synthetic Claimant 0324</v>
      </c>
      <c r="C41" t="str">
        <f>IF('MASTER DATA'!C325="","",'MASTER DATA'!C325)</f>
        <v>Claims Analyst G</v>
      </c>
      <c r="D41" t="str">
        <f>IF('MASTER DATA'!D325="","",'MASTER DATA'!D325)</f>
        <v>Synthetic Policyholder 054, LLC</v>
      </c>
      <c r="E41" s="15">
        <f>IF('MASTER DATA'!E325="","",'MASTER DATA'!E325)</f>
        <v>43445</v>
      </c>
      <c r="F41" s="16" t="str">
        <f>IF('MASTER DATA'!F325="","",'MASTER DATA'!F325)</f>
        <v>Y</v>
      </c>
      <c r="G41" s="17">
        <f>IF('MASTER DATA'!G325="","",'MASTER DATA'!G325)</f>
        <v>170750</v>
      </c>
      <c r="H41" s="16" t="str">
        <f>IF('MASTER DATA'!H325="","",'MASTER DATA'!H325)</f>
        <v>Synthetic Approver 03</v>
      </c>
      <c r="I41" s="15">
        <f>IF('MASTER DATA'!I325="","",'MASTER DATA'!I325)</f>
        <v>44793</v>
      </c>
      <c r="J41" s="16" t="str">
        <f>IF('MASTER DATA'!J325="","",'MASTER DATA'!J325)</f>
        <v>N</v>
      </c>
      <c r="K41" s="15" t="str">
        <f>IF('MASTER DATA'!K325="","",'MASTER DATA'!K325)</f>
        <v/>
      </c>
      <c r="L41" s="16" t="str">
        <f>IF('MASTER DATA'!L325="","",'MASTER DATA'!L325)</f>
        <v>N</v>
      </c>
      <c r="M41" s="16" t="str">
        <f>IF('MASTER DATA'!M325="","",'MASTER DATA'!M325)</f>
        <v>N</v>
      </c>
      <c r="N41" s="15" t="str">
        <f>IF('MASTER DATA'!N325="","",'MASTER DATA'!N325)</f>
        <v/>
      </c>
      <c r="O41" s="16" t="str">
        <f>IF('MASTER DATA'!O325="","",'MASTER DATA'!O325)</f>
        <v/>
      </c>
      <c r="P41" s="16" t="str">
        <f>IF('MASTER DATA'!P325="","",'MASTER DATA'!P325)</f>
        <v>N</v>
      </c>
      <c r="Q41" s="16" t="str">
        <f>IF('MASTER DATA'!Q325="","",'MASTER DATA'!Q325)</f>
        <v/>
      </c>
      <c r="R41" s="16" t="str">
        <f>IF('MASTER DATA'!R325="","",'MASTER DATA'!R325)</f>
        <v/>
      </c>
      <c r="S41" s="16" t="str">
        <f>IF('MASTER DATA'!S325="","",'MASTER DATA'!S325)</f>
        <v>Y</v>
      </c>
      <c r="T41" s="15">
        <f>IF('MASTER DATA'!T325="","",'MASTER DATA'!T325)</f>
        <v>43984</v>
      </c>
      <c r="U41" s="16" t="str">
        <f>IF('MASTER DATA'!U325="","",'MASTER DATA'!U325)</f>
        <v>N</v>
      </c>
      <c r="V41" s="16" t="str">
        <f>IF('MASTER DATA'!V325="","",'MASTER DATA'!V325)</f>
        <v>N</v>
      </c>
      <c r="W41" s="16" t="str">
        <f>IF('MASTER DATA'!W325="","",'MASTER DATA'!W325)</f>
        <v>N</v>
      </c>
      <c r="X41" s="16" t="str">
        <f>IF('MASTER DATA'!X325="","",'MASTER DATA'!X325)</f>
        <v>N</v>
      </c>
      <c r="Y41" s="16" t="str">
        <f>IF('MASTER DATA'!Y325="","",'MASTER DATA'!Y325)</f>
        <v>N</v>
      </c>
      <c r="Z41" s="16" t="str">
        <f>IF('MASTER DATA'!Z325="","",'MASTER DATA'!Z325)</f>
        <v>N</v>
      </c>
      <c r="AA41" s="16">
        <f>IF('MASTER DATA'!AA325="","",'MASTER DATA'!AA325)</f>
        <v>2</v>
      </c>
      <c r="AB41" s="16" t="str">
        <f>IF('MASTER DATA'!AB325="","",'MASTER DATA'!AB325)</f>
        <v>MULTI-SIGNAL</v>
      </c>
      <c r="AC41" s="16" t="str">
        <f>IF('MASTER DATA'!AC325="","",'MASTER DATA'!AC325)</f>
        <v>Settlement Authorization | Inactive Customer</v>
      </c>
    </row>
    <row r="42" spans="1:29" x14ac:dyDescent="0.45">
      <c r="A42" t="str">
        <f>IF('MASTER DATA'!A326="","",'MASTER DATA'!A326)</f>
        <v>SYN-CLM-0325</v>
      </c>
      <c r="B42" t="str">
        <f>IF('MASTER DATA'!B326="","",'MASTER DATA'!B326)</f>
        <v>Synthetic Claimant 0325</v>
      </c>
      <c r="C42" t="str">
        <f>IF('MASTER DATA'!C326="","",'MASTER DATA'!C326)</f>
        <v>Claims Analyst G</v>
      </c>
      <c r="D42" t="str">
        <f>IF('MASTER DATA'!D326="","",'MASTER DATA'!D326)</f>
        <v>Synthetic Policyholder 088, LLC</v>
      </c>
      <c r="E42" s="15">
        <f>IF('MASTER DATA'!E326="","",'MASTER DATA'!E326)</f>
        <v>45244</v>
      </c>
      <c r="F42" s="16" t="str">
        <f>IF('MASTER DATA'!F326="","",'MASTER DATA'!F326)</f>
        <v>Y</v>
      </c>
      <c r="G42" s="17">
        <f>IF('MASTER DATA'!G326="","",'MASTER DATA'!G326)</f>
        <v>87000</v>
      </c>
      <c r="H42" s="16" t="str">
        <f>IF('MASTER DATA'!H326="","",'MASTER DATA'!H326)</f>
        <v>Synthetic Approver 09</v>
      </c>
      <c r="I42" s="15">
        <f>IF('MASTER DATA'!I326="","",'MASTER DATA'!I326)</f>
        <v>46205</v>
      </c>
      <c r="J42" s="16" t="str">
        <f>IF('MASTER DATA'!J326="","",'MASTER DATA'!J326)</f>
        <v>N</v>
      </c>
      <c r="K42" s="15" t="str">
        <f>IF('MASTER DATA'!K326="","",'MASTER DATA'!K326)</f>
        <v/>
      </c>
      <c r="L42" s="16" t="str">
        <f>IF('MASTER DATA'!L326="","",'MASTER DATA'!L326)</f>
        <v>Y</v>
      </c>
      <c r="M42" s="16" t="str">
        <f>IF('MASTER DATA'!M326="","",'MASTER DATA'!M326)</f>
        <v>N</v>
      </c>
      <c r="N42" s="15" t="str">
        <f>IF('MASTER DATA'!N326="","",'MASTER DATA'!N326)</f>
        <v/>
      </c>
      <c r="O42" s="16" t="str">
        <f>IF('MASTER DATA'!O326="","",'MASTER DATA'!O326)</f>
        <v/>
      </c>
      <c r="P42" s="16" t="str">
        <f>IF('MASTER DATA'!P326="","",'MASTER DATA'!P326)</f>
        <v>N</v>
      </c>
      <c r="Q42" s="16" t="str">
        <f>IF('MASTER DATA'!Q326="","",'MASTER DATA'!Q326)</f>
        <v/>
      </c>
      <c r="R42" s="16" t="str">
        <f>IF('MASTER DATA'!R326="","",'MASTER DATA'!R326)</f>
        <v/>
      </c>
      <c r="S42" s="16" t="str">
        <f>IF('MASTER DATA'!S326="","",'MASTER DATA'!S326)</f>
        <v>N</v>
      </c>
      <c r="T42" s="15" t="str">
        <f>IF('MASTER DATA'!T326="","",'MASTER DATA'!T326)</f>
        <v/>
      </c>
      <c r="U42" s="16" t="str">
        <f>IF('MASTER DATA'!U326="","",'MASTER DATA'!U326)</f>
        <v>N</v>
      </c>
      <c r="V42" s="16" t="str">
        <f>IF('MASTER DATA'!V326="","",'MASTER DATA'!V326)</f>
        <v>N</v>
      </c>
      <c r="W42" s="16" t="str">
        <f>IF('MASTER DATA'!W326="","",'MASTER DATA'!W326)</f>
        <v>N</v>
      </c>
      <c r="X42" s="16" t="str">
        <f>IF('MASTER DATA'!X326="","",'MASTER DATA'!X326)</f>
        <v>N</v>
      </c>
      <c r="Y42" s="16" t="str">
        <f>IF('MASTER DATA'!Y326="","",'MASTER DATA'!Y326)</f>
        <v>N</v>
      </c>
      <c r="Z42" s="16" t="str">
        <f>IF('MASTER DATA'!Z326="","",'MASTER DATA'!Z326)</f>
        <v>N</v>
      </c>
      <c r="AA42" s="16">
        <f>IF('MASTER DATA'!AA326="","",'MASTER DATA'!AA326)</f>
        <v>1</v>
      </c>
      <c r="AB42" s="16" t="str">
        <f>IF('MASTER DATA'!AB326="","",'MASTER DATA'!AB326)</f>
        <v>SINGLE-SIGNAL</v>
      </c>
      <c r="AC42" s="16" t="str">
        <f>IF('MASTER DATA'!AC326="","",'MASTER DATA'!AC326)</f>
        <v>Settlement Authorization</v>
      </c>
    </row>
    <row r="43" spans="1:29" x14ac:dyDescent="0.45">
      <c r="A43" t="str">
        <f>IF('MASTER DATA'!A327="","",'MASTER DATA'!A327)</f>
        <v>SYN-CLM-0326</v>
      </c>
      <c r="B43" t="str">
        <f>IF('MASTER DATA'!B327="","",'MASTER DATA'!B327)</f>
        <v>Synthetic Claimant 0326</v>
      </c>
      <c r="C43" t="str">
        <f>IF('MASTER DATA'!C327="","",'MASTER DATA'!C327)</f>
        <v>Claims Analyst G</v>
      </c>
      <c r="D43" t="str">
        <f>IF('MASTER DATA'!D327="","",'MASTER DATA'!D327)</f>
        <v>Synthetic Policyholder 022, LLC</v>
      </c>
      <c r="E43" s="15">
        <f>IF('MASTER DATA'!E327="","",'MASTER DATA'!E327)</f>
        <v>44929</v>
      </c>
      <c r="F43" s="16" t="str">
        <f>IF('MASTER DATA'!F327="","",'MASTER DATA'!F327)</f>
        <v>Y</v>
      </c>
      <c r="G43" s="17">
        <f>IF('MASTER DATA'!G327="","",'MASTER DATA'!G327)</f>
        <v>153250</v>
      </c>
      <c r="H43" s="16" t="str">
        <f>IF('MASTER DATA'!H327="","",'MASTER DATA'!H327)</f>
        <v>Synthetic Approver 04</v>
      </c>
      <c r="I43" s="15">
        <f>IF('MASTER DATA'!I327="","",'MASTER DATA'!I327)</f>
        <v>46403</v>
      </c>
      <c r="J43" s="16" t="str">
        <f>IF('MASTER DATA'!J327="","",'MASTER DATA'!J327)</f>
        <v>N</v>
      </c>
      <c r="K43" s="15" t="str">
        <f>IF('MASTER DATA'!K327="","",'MASTER DATA'!K327)</f>
        <v/>
      </c>
      <c r="L43" s="16" t="str">
        <f>IF('MASTER DATA'!L327="","",'MASTER DATA'!L327)</f>
        <v>Y</v>
      </c>
      <c r="M43" s="16" t="str">
        <f>IF('MASTER DATA'!M327="","",'MASTER DATA'!M327)</f>
        <v>N</v>
      </c>
      <c r="N43" s="15" t="str">
        <f>IF('MASTER DATA'!N327="","",'MASTER DATA'!N327)</f>
        <v/>
      </c>
      <c r="O43" s="16" t="str">
        <f>IF('MASTER DATA'!O327="","",'MASTER DATA'!O327)</f>
        <v/>
      </c>
      <c r="P43" s="16" t="str">
        <f>IF('MASTER DATA'!P327="","",'MASTER DATA'!P327)</f>
        <v>N</v>
      </c>
      <c r="Q43" s="16" t="str">
        <f>IF('MASTER DATA'!Q327="","",'MASTER DATA'!Q327)</f>
        <v/>
      </c>
      <c r="R43" s="16" t="str">
        <f>IF('MASTER DATA'!R327="","",'MASTER DATA'!R327)</f>
        <v/>
      </c>
      <c r="S43" s="16" t="str">
        <f>IF('MASTER DATA'!S327="","",'MASTER DATA'!S327)</f>
        <v>N</v>
      </c>
      <c r="T43" s="15" t="str">
        <f>IF('MASTER DATA'!T327="","",'MASTER DATA'!T327)</f>
        <v/>
      </c>
      <c r="U43" s="16" t="str">
        <f>IF('MASTER DATA'!U327="","",'MASTER DATA'!U327)</f>
        <v>N</v>
      </c>
      <c r="V43" s="16" t="str">
        <f>IF('MASTER DATA'!V327="","",'MASTER DATA'!V327)</f>
        <v>N</v>
      </c>
      <c r="W43" s="16" t="str">
        <f>IF('MASTER DATA'!W327="","",'MASTER DATA'!W327)</f>
        <v>N</v>
      </c>
      <c r="X43" s="16" t="str">
        <f>IF('MASTER DATA'!X327="","",'MASTER DATA'!X327)</f>
        <v>N</v>
      </c>
      <c r="Y43" s="16" t="str">
        <f>IF('MASTER DATA'!Y327="","",'MASTER DATA'!Y327)</f>
        <v>N</v>
      </c>
      <c r="Z43" s="16" t="str">
        <f>IF('MASTER DATA'!Z327="","",'MASTER DATA'!Z327)</f>
        <v>N</v>
      </c>
      <c r="AA43" s="16">
        <f>IF('MASTER DATA'!AA327="","",'MASTER DATA'!AA327)</f>
        <v>1</v>
      </c>
      <c r="AB43" s="16" t="str">
        <f>IF('MASTER DATA'!AB327="","",'MASTER DATA'!AB327)</f>
        <v>SINGLE-SIGNAL</v>
      </c>
      <c r="AC43" s="16" t="str">
        <f>IF('MASTER DATA'!AC327="","",'MASTER DATA'!AC327)</f>
        <v>Settlement Authorization</v>
      </c>
    </row>
    <row r="44" spans="1:29" x14ac:dyDescent="0.45">
      <c r="A44" t="str">
        <f>IF('MASTER DATA'!A328="","",'MASTER DATA'!A328)</f>
        <v>SYN-CLM-0327</v>
      </c>
      <c r="B44" t="str">
        <f>IF('MASTER DATA'!B328="","",'MASTER DATA'!B328)</f>
        <v>Synthetic Claimant 0327</v>
      </c>
      <c r="C44" t="str">
        <f>IF('MASTER DATA'!C328="","",'MASTER DATA'!C328)</f>
        <v>Claims Analyst G</v>
      </c>
      <c r="D44" t="str">
        <f>IF('MASTER DATA'!D328="","",'MASTER DATA'!D328)</f>
        <v>Synthetic Policyholder 084, LLC</v>
      </c>
      <c r="E44" s="15">
        <f>IF('MASTER DATA'!E328="","",'MASTER DATA'!E328)</f>
        <v>45801</v>
      </c>
      <c r="F44" s="16" t="str">
        <f>IF('MASTER DATA'!F328="","",'MASTER DATA'!F328)</f>
        <v>N</v>
      </c>
      <c r="G44" s="17" t="str">
        <f>IF('MASTER DATA'!G328="","",'MASTER DATA'!G328)</f>
        <v/>
      </c>
      <c r="H44" s="16" t="str">
        <f>IF('MASTER DATA'!H328="","",'MASTER DATA'!H328)</f>
        <v/>
      </c>
      <c r="I44" s="15" t="str">
        <f>IF('MASTER DATA'!I328="","",'MASTER DATA'!I328)</f>
        <v/>
      </c>
      <c r="J44" s="16" t="str">
        <f>IF('MASTER DATA'!J328="","",'MASTER DATA'!J328)</f>
        <v>Y</v>
      </c>
      <c r="K44" s="15">
        <f>IF('MASTER DATA'!K328="","",'MASTER DATA'!K328)</f>
        <v>47100</v>
      </c>
      <c r="L44" s="16" t="str">
        <f>IF('MASTER DATA'!L328="","",'MASTER DATA'!L328)</f>
        <v>Y</v>
      </c>
      <c r="M44" s="16" t="str">
        <f>IF('MASTER DATA'!M328="","",'MASTER DATA'!M328)</f>
        <v>N</v>
      </c>
      <c r="N44" s="15" t="str">
        <f>IF('MASTER DATA'!N328="","",'MASTER DATA'!N328)</f>
        <v/>
      </c>
      <c r="O44" s="16" t="str">
        <f>IF('MASTER DATA'!O328="","",'MASTER DATA'!O328)</f>
        <v/>
      </c>
      <c r="P44" s="16" t="str">
        <f>IF('MASTER DATA'!P328="","",'MASTER DATA'!P328)</f>
        <v>N</v>
      </c>
      <c r="Q44" s="16" t="str">
        <f>IF('MASTER DATA'!Q328="","",'MASTER DATA'!Q328)</f>
        <v/>
      </c>
      <c r="R44" s="16" t="str">
        <f>IF('MASTER DATA'!R328="","",'MASTER DATA'!R328)</f>
        <v/>
      </c>
      <c r="S44" s="16" t="str">
        <f>IF('MASTER DATA'!S328="","",'MASTER DATA'!S328)</f>
        <v>Y</v>
      </c>
      <c r="T44" s="15">
        <f>IF('MASTER DATA'!T328="","",'MASTER DATA'!T328)</f>
        <v>47329</v>
      </c>
      <c r="U44" s="16" t="str">
        <f>IF('MASTER DATA'!U328="","",'MASTER DATA'!U328)</f>
        <v>N</v>
      </c>
      <c r="V44" s="16" t="str">
        <f>IF('MASTER DATA'!V328="","",'MASTER DATA'!V328)</f>
        <v>N</v>
      </c>
      <c r="W44" s="16" t="str">
        <f>IF('MASTER DATA'!W328="","",'MASTER DATA'!W328)</f>
        <v>N</v>
      </c>
      <c r="X44" s="16" t="str">
        <f>IF('MASTER DATA'!X328="","",'MASTER DATA'!X328)</f>
        <v>N</v>
      </c>
      <c r="Y44" s="16" t="str">
        <f>IF('MASTER DATA'!Y328="","",'MASTER DATA'!Y328)</f>
        <v>N</v>
      </c>
      <c r="Z44" s="16" t="str">
        <f>IF('MASTER DATA'!Z328="","",'MASTER DATA'!Z328)</f>
        <v>N</v>
      </c>
      <c r="AA44" s="16">
        <f>IF('MASTER DATA'!AA328="","",'MASTER DATA'!AA328)</f>
        <v>2</v>
      </c>
      <c r="AB44" s="16" t="str">
        <f>IF('MASTER DATA'!AB328="","",'MASTER DATA'!AB328)</f>
        <v>MULTI-SIGNAL</v>
      </c>
      <c r="AC44" s="16" t="str">
        <f>IF('MASTER DATA'!AC328="","",'MASTER DATA'!AC328)</f>
        <v>Open Stipulation | Inactive Customer</v>
      </c>
    </row>
    <row r="45" spans="1:29" x14ac:dyDescent="0.45">
      <c r="A45" t="str">
        <f>IF('MASTER DATA'!A329="","",'MASTER DATA'!A329)</f>
        <v>SYN-CLM-0328</v>
      </c>
      <c r="B45" t="str">
        <f>IF('MASTER DATA'!B329="","",'MASTER DATA'!B329)</f>
        <v>Synthetic Claimant 0328</v>
      </c>
      <c r="C45" t="str">
        <f>IF('MASTER DATA'!C329="","",'MASTER DATA'!C329)</f>
        <v>Claims Analyst G</v>
      </c>
      <c r="D45" t="str">
        <f>IF('MASTER DATA'!D329="","",'MASTER DATA'!D329)</f>
        <v>Synthetic Policyholder 090, LLC</v>
      </c>
      <c r="E45" s="15">
        <f>IF('MASTER DATA'!E329="","",'MASTER DATA'!E329)</f>
        <v>43243</v>
      </c>
      <c r="F45" s="16" t="str">
        <f>IF('MASTER DATA'!F329="","",'MASTER DATA'!F329)</f>
        <v>Y</v>
      </c>
      <c r="G45" s="17">
        <f>IF('MASTER DATA'!G329="","",'MASTER DATA'!G329)</f>
        <v>37500</v>
      </c>
      <c r="H45" s="16" t="str">
        <f>IF('MASTER DATA'!H329="","",'MASTER DATA'!H329)</f>
        <v>Synthetic Approver 02</v>
      </c>
      <c r="I45" s="15">
        <f>IF('MASTER DATA'!I329="","",'MASTER DATA'!I329)</f>
        <v>43765</v>
      </c>
      <c r="J45" s="16" t="str">
        <f>IF('MASTER DATA'!J329="","",'MASTER DATA'!J329)</f>
        <v>N</v>
      </c>
      <c r="K45" s="15" t="str">
        <f>IF('MASTER DATA'!K329="","",'MASTER DATA'!K329)</f>
        <v/>
      </c>
      <c r="L45" s="16" t="str">
        <f>IF('MASTER DATA'!L329="","",'MASTER DATA'!L329)</f>
        <v>N</v>
      </c>
      <c r="M45" s="16" t="str">
        <f>IF('MASTER DATA'!M329="","",'MASTER DATA'!M329)</f>
        <v>N</v>
      </c>
      <c r="N45" s="15" t="str">
        <f>IF('MASTER DATA'!N329="","",'MASTER DATA'!N329)</f>
        <v/>
      </c>
      <c r="O45" s="16" t="str">
        <f>IF('MASTER DATA'!O329="","",'MASTER DATA'!O329)</f>
        <v/>
      </c>
      <c r="P45" s="16" t="str">
        <f>IF('MASTER DATA'!P329="","",'MASTER DATA'!P329)</f>
        <v>Y</v>
      </c>
      <c r="Q45" s="16" t="str">
        <f>IF('MASTER DATA'!Q329="","",'MASTER DATA'!Q329)</f>
        <v>Specialist Consultation Requested</v>
      </c>
      <c r="R45" s="16" t="str">
        <f>IF('MASTER DATA'!R329="","",'MASTER DATA'!R329)</f>
        <v/>
      </c>
      <c r="S45" s="16" t="str">
        <f>IF('MASTER DATA'!S329="","",'MASTER DATA'!S329)</f>
        <v>N</v>
      </c>
      <c r="T45" s="15" t="str">
        <f>IF('MASTER DATA'!T329="","",'MASTER DATA'!T329)</f>
        <v/>
      </c>
      <c r="U45" s="16" t="str">
        <f>IF('MASTER DATA'!U329="","",'MASTER DATA'!U329)</f>
        <v>N</v>
      </c>
      <c r="V45" s="16" t="str">
        <f>IF('MASTER DATA'!V329="","",'MASTER DATA'!V329)</f>
        <v>N</v>
      </c>
      <c r="W45" s="16" t="str">
        <f>IF('MASTER DATA'!W329="","",'MASTER DATA'!W329)</f>
        <v>N</v>
      </c>
      <c r="X45" s="16" t="str">
        <f>IF('MASTER DATA'!X329="","",'MASTER DATA'!X329)</f>
        <v>Y</v>
      </c>
      <c r="Y45" s="16" t="str">
        <f>IF('MASTER DATA'!Y329="","",'MASTER DATA'!Y329)</f>
        <v>N</v>
      </c>
      <c r="Z45" s="16" t="str">
        <f>IF('MASTER DATA'!Z329="","",'MASTER DATA'!Z329)</f>
        <v>N</v>
      </c>
      <c r="AA45" s="16">
        <f>IF('MASTER DATA'!AA329="","",'MASTER DATA'!AA329)</f>
        <v>2</v>
      </c>
      <c r="AB45" s="16" t="str">
        <f>IF('MASTER DATA'!AB329="","",'MASTER DATA'!AB329)</f>
        <v>MULTI-SIGNAL</v>
      </c>
      <c r="AC45" s="16" t="str">
        <f>IF('MASTER DATA'!AC329="","",'MASTER DATA'!AC329)</f>
        <v>Settlement Authorization | Automated Claim Alert</v>
      </c>
    </row>
    <row r="46" spans="1:29" x14ac:dyDescent="0.45">
      <c r="A46" t="str">
        <f>IF('MASTER DATA'!A330="","",'MASTER DATA'!A330)</f>
        <v>SYN-CLM-0329</v>
      </c>
      <c r="B46" t="str">
        <f>IF('MASTER DATA'!B330="","",'MASTER DATA'!B330)</f>
        <v>Synthetic Claimant 0329</v>
      </c>
      <c r="C46" t="str">
        <f>IF('MASTER DATA'!C330="","",'MASTER DATA'!C330)</f>
        <v>Claims Analyst G</v>
      </c>
      <c r="D46" t="str">
        <f>IF('MASTER DATA'!D330="","",'MASTER DATA'!D330)</f>
        <v>Synthetic Policyholder 044, LLC</v>
      </c>
      <c r="E46" s="15">
        <f>IF('MASTER DATA'!E330="","",'MASTER DATA'!E330)</f>
        <v>43236</v>
      </c>
      <c r="F46" s="16" t="str">
        <f>IF('MASTER DATA'!F330="","",'MASTER DATA'!F330)</f>
        <v>N</v>
      </c>
      <c r="G46" s="17" t="str">
        <f>IF('MASTER DATA'!G330="","",'MASTER DATA'!G330)</f>
        <v/>
      </c>
      <c r="H46" s="16" t="str">
        <f>IF('MASTER DATA'!H330="","",'MASTER DATA'!H330)</f>
        <v/>
      </c>
      <c r="I46" s="15" t="str">
        <f>IF('MASTER DATA'!I330="","",'MASTER DATA'!I330)</f>
        <v/>
      </c>
      <c r="J46" s="16" t="str">
        <f>IF('MASTER DATA'!J330="","",'MASTER DATA'!J330)</f>
        <v>N</v>
      </c>
      <c r="K46" s="15" t="str">
        <f>IF('MASTER DATA'!K330="","",'MASTER DATA'!K330)</f>
        <v/>
      </c>
      <c r="L46" s="16" t="str">
        <f>IF('MASTER DATA'!L330="","",'MASTER DATA'!L330)</f>
        <v/>
      </c>
      <c r="M46" s="16" t="str">
        <f>IF('MASTER DATA'!M330="","",'MASTER DATA'!M330)</f>
        <v>N</v>
      </c>
      <c r="N46" s="15" t="str">
        <f>IF('MASTER DATA'!N330="","",'MASTER DATA'!N330)</f>
        <v/>
      </c>
      <c r="O46" s="16" t="str">
        <f>IF('MASTER DATA'!O330="","",'MASTER DATA'!O330)</f>
        <v/>
      </c>
      <c r="P46" s="16" t="str">
        <f>IF('MASTER DATA'!P330="","",'MASTER DATA'!P330)</f>
        <v>N</v>
      </c>
      <c r="Q46" s="16" t="str">
        <f>IF('MASTER DATA'!Q330="","",'MASTER DATA'!Q330)</f>
        <v/>
      </c>
      <c r="R46" s="16" t="str">
        <f>IF('MASTER DATA'!R330="","",'MASTER DATA'!R330)</f>
        <v/>
      </c>
      <c r="S46" s="16" t="str">
        <f>IF('MASTER DATA'!S330="","",'MASTER DATA'!S330)</f>
        <v>Y</v>
      </c>
      <c r="T46" s="15">
        <f>IF('MASTER DATA'!T330="","",'MASTER DATA'!T330)</f>
        <v>44063</v>
      </c>
      <c r="U46" s="16" t="str">
        <f>IF('MASTER DATA'!U330="","",'MASTER DATA'!U330)</f>
        <v>N</v>
      </c>
      <c r="V46" s="16" t="str">
        <f>IF('MASTER DATA'!V330="","",'MASTER DATA'!V330)</f>
        <v>N</v>
      </c>
      <c r="W46" s="16" t="str">
        <f>IF('MASTER DATA'!W330="","",'MASTER DATA'!W330)</f>
        <v>N</v>
      </c>
      <c r="X46" s="16" t="str">
        <f>IF('MASTER DATA'!X330="","",'MASTER DATA'!X330)</f>
        <v>N</v>
      </c>
      <c r="Y46" s="16" t="str">
        <f>IF('MASTER DATA'!Y330="","",'MASTER DATA'!Y330)</f>
        <v>N</v>
      </c>
      <c r="Z46" s="16" t="str">
        <f>IF('MASTER DATA'!Z330="","",'MASTER DATA'!Z330)</f>
        <v>N</v>
      </c>
      <c r="AA46" s="16">
        <f>IF('MASTER DATA'!AA330="","",'MASTER DATA'!AA330)</f>
        <v>1</v>
      </c>
      <c r="AB46" s="16" t="str">
        <f>IF('MASTER DATA'!AB330="","",'MASTER DATA'!AB330)</f>
        <v>SINGLE-SIGNAL</v>
      </c>
      <c r="AC46" s="16" t="str">
        <f>IF('MASTER DATA'!AC330="","",'MASTER DATA'!AC330)</f>
        <v>Inactive Customer</v>
      </c>
    </row>
    <row r="47" spans="1:29" x14ac:dyDescent="0.45">
      <c r="A47" t="str">
        <f>IF('MASTER DATA'!A331="","",'MASTER DATA'!A331)</f>
        <v>SYN-CLM-0330</v>
      </c>
      <c r="B47" t="str">
        <f>IF('MASTER DATA'!B331="","",'MASTER DATA'!B331)</f>
        <v>Synthetic Claimant 0330</v>
      </c>
      <c r="C47" t="str">
        <f>IF('MASTER DATA'!C331="","",'MASTER DATA'!C331)</f>
        <v>Claims Analyst G</v>
      </c>
      <c r="D47" t="str">
        <f>IF('MASTER DATA'!D331="","",'MASTER DATA'!D331)</f>
        <v>Synthetic Policyholder 102, LLC</v>
      </c>
      <c r="E47" s="15">
        <f>IF('MASTER DATA'!E331="","",'MASTER DATA'!E331)</f>
        <v>44796</v>
      </c>
      <c r="F47" s="16" t="str">
        <f>IF('MASTER DATA'!F331="","",'MASTER DATA'!F331)</f>
        <v>Y</v>
      </c>
      <c r="G47" s="17">
        <f>IF('MASTER DATA'!G331="","",'MASTER DATA'!G331)</f>
        <v>88250</v>
      </c>
      <c r="H47" s="16" t="str">
        <f>IF('MASTER DATA'!H331="","",'MASTER DATA'!H331)</f>
        <v>Synthetic Approver 11</v>
      </c>
      <c r="I47" s="15">
        <f>IF('MASTER DATA'!I331="","",'MASTER DATA'!I331)</f>
        <v>45433</v>
      </c>
      <c r="J47" s="16" t="str">
        <f>IF('MASTER DATA'!J331="","",'MASTER DATA'!J331)</f>
        <v>N</v>
      </c>
      <c r="K47" s="15" t="str">
        <f>IF('MASTER DATA'!K331="","",'MASTER DATA'!K331)</f>
        <v/>
      </c>
      <c r="L47" s="16" t="str">
        <f>IF('MASTER DATA'!L331="","",'MASTER DATA'!L331)</f>
        <v>N</v>
      </c>
      <c r="M47" s="16" t="str">
        <f>IF('MASTER DATA'!M331="","",'MASTER DATA'!M331)</f>
        <v>N</v>
      </c>
      <c r="N47" s="15" t="str">
        <f>IF('MASTER DATA'!N331="","",'MASTER DATA'!N331)</f>
        <v/>
      </c>
      <c r="O47" s="16" t="str">
        <f>IF('MASTER DATA'!O331="","",'MASTER DATA'!O331)</f>
        <v/>
      </c>
      <c r="P47" s="16" t="str">
        <f>IF('MASTER DATA'!P331="","",'MASTER DATA'!P331)</f>
        <v>N</v>
      </c>
      <c r="Q47" s="16" t="str">
        <f>IF('MASTER DATA'!Q331="","",'MASTER DATA'!Q331)</f>
        <v/>
      </c>
      <c r="R47" s="16" t="str">
        <f>IF('MASTER DATA'!R331="","",'MASTER DATA'!R331)</f>
        <v/>
      </c>
      <c r="S47" s="16" t="str">
        <f>IF('MASTER DATA'!S331="","",'MASTER DATA'!S331)</f>
        <v>N</v>
      </c>
      <c r="T47" s="15" t="str">
        <f>IF('MASTER DATA'!T331="","",'MASTER DATA'!T331)</f>
        <v/>
      </c>
      <c r="U47" s="16" t="str">
        <f>IF('MASTER DATA'!U331="","",'MASTER DATA'!U331)</f>
        <v>N</v>
      </c>
      <c r="V47" s="16" t="str">
        <f>IF('MASTER DATA'!V331="","",'MASTER DATA'!V331)</f>
        <v>N</v>
      </c>
      <c r="W47" s="16" t="str">
        <f>IF('MASTER DATA'!W331="","",'MASTER DATA'!W331)</f>
        <v>N</v>
      </c>
      <c r="X47" s="16" t="str">
        <f>IF('MASTER DATA'!X331="","",'MASTER DATA'!X331)</f>
        <v>N</v>
      </c>
      <c r="Y47" s="16" t="str">
        <f>IF('MASTER DATA'!Y331="","",'MASTER DATA'!Y331)</f>
        <v>N</v>
      </c>
      <c r="Z47" s="16" t="str">
        <f>IF('MASTER DATA'!Z331="","",'MASTER DATA'!Z331)</f>
        <v>N</v>
      </c>
      <c r="AA47" s="16">
        <f>IF('MASTER DATA'!AA331="","",'MASTER DATA'!AA331)</f>
        <v>1</v>
      </c>
      <c r="AB47" s="16" t="str">
        <f>IF('MASTER DATA'!AB331="","",'MASTER DATA'!AB331)</f>
        <v>SINGLE-SIGNAL</v>
      </c>
      <c r="AC47" s="16" t="str">
        <f>IF('MASTER DATA'!AC331="","",'MASTER DATA'!AC331)</f>
        <v>Settlement Authorization</v>
      </c>
    </row>
    <row r="48" spans="1:29" x14ac:dyDescent="0.45">
      <c r="A48" t="str">
        <f>IF('MASTER DATA'!A332="","",'MASTER DATA'!A332)</f>
        <v>SYN-CLM-0331</v>
      </c>
      <c r="B48" t="str">
        <f>IF('MASTER DATA'!B332="","",'MASTER DATA'!B332)</f>
        <v>Synthetic Claimant 0331</v>
      </c>
      <c r="C48" t="str">
        <f>IF('MASTER DATA'!C332="","",'MASTER DATA'!C332)</f>
        <v>Claims Analyst G</v>
      </c>
      <c r="D48" t="str">
        <f>IF('MASTER DATA'!D332="","",'MASTER DATA'!D332)</f>
        <v>Synthetic Policyholder 113, LLC</v>
      </c>
      <c r="E48" s="15">
        <f>IF('MASTER DATA'!E332="","",'MASTER DATA'!E332)</f>
        <v>44601</v>
      </c>
      <c r="F48" s="16" t="str">
        <f>IF('MASTER DATA'!F332="","",'MASTER DATA'!F332)</f>
        <v>Y</v>
      </c>
      <c r="G48" s="17">
        <f>IF('MASTER DATA'!G332="","",'MASTER DATA'!G332)</f>
        <v>74250</v>
      </c>
      <c r="H48" s="16" t="str">
        <f>IF('MASTER DATA'!H332="","",'MASTER DATA'!H332)</f>
        <v>Synthetic Approver 09</v>
      </c>
      <c r="I48" s="15">
        <f>IF('MASTER DATA'!I332="","",'MASTER DATA'!I332)</f>
        <v>46338</v>
      </c>
      <c r="J48" s="16" t="str">
        <f>IF('MASTER DATA'!J332="","",'MASTER DATA'!J332)</f>
        <v>N</v>
      </c>
      <c r="K48" s="15" t="str">
        <f>IF('MASTER DATA'!K332="","",'MASTER DATA'!K332)</f>
        <v/>
      </c>
      <c r="L48" s="16" t="str">
        <f>IF('MASTER DATA'!L332="","",'MASTER DATA'!L332)</f>
        <v>N</v>
      </c>
      <c r="M48" s="16" t="str">
        <f>IF('MASTER DATA'!M332="","",'MASTER DATA'!M332)</f>
        <v>N</v>
      </c>
      <c r="N48" s="15" t="str">
        <f>IF('MASTER DATA'!N332="","",'MASTER DATA'!N332)</f>
        <v/>
      </c>
      <c r="O48" s="16" t="str">
        <f>IF('MASTER DATA'!O332="","",'MASTER DATA'!O332)</f>
        <v/>
      </c>
      <c r="P48" s="16" t="str">
        <f>IF('MASTER DATA'!P332="","",'MASTER DATA'!P332)</f>
        <v>N</v>
      </c>
      <c r="Q48" s="16" t="str">
        <f>IF('MASTER DATA'!Q332="","",'MASTER DATA'!Q332)</f>
        <v/>
      </c>
      <c r="R48" s="16" t="str">
        <f>IF('MASTER DATA'!R332="","",'MASTER DATA'!R332)</f>
        <v/>
      </c>
      <c r="S48" s="16" t="str">
        <f>IF('MASTER DATA'!S332="","",'MASTER DATA'!S332)</f>
        <v>N</v>
      </c>
      <c r="T48" s="15" t="str">
        <f>IF('MASTER DATA'!T332="","",'MASTER DATA'!T332)</f>
        <v/>
      </c>
      <c r="U48" s="16" t="str">
        <f>IF('MASTER DATA'!U332="","",'MASTER DATA'!U332)</f>
        <v>N</v>
      </c>
      <c r="V48" s="16" t="str">
        <f>IF('MASTER DATA'!V332="","",'MASTER DATA'!V332)</f>
        <v>N</v>
      </c>
      <c r="W48" s="16" t="str">
        <f>IF('MASTER DATA'!W332="","",'MASTER DATA'!W332)</f>
        <v>N</v>
      </c>
      <c r="X48" s="16" t="str">
        <f>IF('MASTER DATA'!X332="","",'MASTER DATA'!X332)</f>
        <v>N</v>
      </c>
      <c r="Y48" s="16" t="str">
        <f>IF('MASTER DATA'!Y332="","",'MASTER DATA'!Y332)</f>
        <v>N</v>
      </c>
      <c r="Z48" s="16" t="str">
        <f>IF('MASTER DATA'!Z332="","",'MASTER DATA'!Z332)</f>
        <v>N</v>
      </c>
      <c r="AA48" s="16">
        <f>IF('MASTER DATA'!AA332="","",'MASTER DATA'!AA332)</f>
        <v>1</v>
      </c>
      <c r="AB48" s="16" t="str">
        <f>IF('MASTER DATA'!AB332="","",'MASTER DATA'!AB332)</f>
        <v>SINGLE-SIGNAL</v>
      </c>
      <c r="AC48" s="16" t="str">
        <f>IF('MASTER DATA'!AC332="","",'MASTER DATA'!AC332)</f>
        <v>Settlement Authorization</v>
      </c>
    </row>
    <row r="49" spans="1:29" x14ac:dyDescent="0.45">
      <c r="A49" t="str">
        <f>IF('MASTER DATA'!A333="","",'MASTER DATA'!A333)</f>
        <v>SYN-CLM-0332</v>
      </c>
      <c r="B49" t="str">
        <f>IF('MASTER DATA'!B333="","",'MASTER DATA'!B333)</f>
        <v>Synthetic Claimant 0332</v>
      </c>
      <c r="C49" t="str">
        <f>IF('MASTER DATA'!C333="","",'MASTER DATA'!C333)</f>
        <v>Claims Analyst G</v>
      </c>
      <c r="D49" t="str">
        <f>IF('MASTER DATA'!D333="","",'MASTER DATA'!D333)</f>
        <v>Synthetic Policyholder 041, LLC</v>
      </c>
      <c r="E49" s="15">
        <f>IF('MASTER DATA'!E333="","",'MASTER DATA'!E333)</f>
        <v>43466</v>
      </c>
      <c r="F49" s="16" t="str">
        <f>IF('MASTER DATA'!F333="","",'MASTER DATA'!F333)</f>
        <v>N</v>
      </c>
      <c r="G49" s="17" t="str">
        <f>IF('MASTER DATA'!G333="","",'MASTER DATA'!G333)</f>
        <v/>
      </c>
      <c r="H49" s="16" t="str">
        <f>IF('MASTER DATA'!H333="","",'MASTER DATA'!H333)</f>
        <v/>
      </c>
      <c r="I49" s="15" t="str">
        <f>IF('MASTER DATA'!I333="","",'MASTER DATA'!I333)</f>
        <v/>
      </c>
      <c r="J49" s="16" t="str">
        <f>IF('MASTER DATA'!J333="","",'MASTER DATA'!J333)</f>
        <v>N</v>
      </c>
      <c r="K49" s="15" t="str">
        <f>IF('MASTER DATA'!K333="","",'MASTER DATA'!K333)</f>
        <v/>
      </c>
      <c r="L49" s="16" t="str">
        <f>IF('MASTER DATA'!L333="","",'MASTER DATA'!L333)</f>
        <v/>
      </c>
      <c r="M49" s="16" t="str">
        <f>IF('MASTER DATA'!M333="","",'MASTER DATA'!M333)</f>
        <v>Y</v>
      </c>
      <c r="N49" s="15">
        <f>IF('MASTER DATA'!N333="","",'MASTER DATA'!N333)</f>
        <v>45285</v>
      </c>
      <c r="O49" s="16" t="str">
        <f>IF('MASTER DATA'!O333="","",'MASTER DATA'!O333)</f>
        <v>Synthetic QME Evaluator 06</v>
      </c>
      <c r="P49" s="16" t="str">
        <f>IF('MASTER DATA'!P333="","",'MASTER DATA'!P333)</f>
        <v>N</v>
      </c>
      <c r="Q49" s="16" t="str">
        <f>IF('MASTER DATA'!Q333="","",'MASTER DATA'!Q333)</f>
        <v/>
      </c>
      <c r="R49" s="16" t="str">
        <f>IF('MASTER DATA'!R333="","",'MASTER DATA'!R333)</f>
        <v/>
      </c>
      <c r="S49" s="16" t="str">
        <f>IF('MASTER DATA'!S333="","",'MASTER DATA'!S333)</f>
        <v>N</v>
      </c>
      <c r="T49" s="15" t="str">
        <f>IF('MASTER DATA'!T333="","",'MASTER DATA'!T333)</f>
        <v/>
      </c>
      <c r="U49" s="16" t="str">
        <f>IF('MASTER DATA'!U333="","",'MASTER DATA'!U333)</f>
        <v>N</v>
      </c>
      <c r="V49" s="16" t="str">
        <f>IF('MASTER DATA'!V333="","",'MASTER DATA'!V333)</f>
        <v>N</v>
      </c>
      <c r="W49" s="16" t="str">
        <f>IF('MASTER DATA'!W333="","",'MASTER DATA'!W333)</f>
        <v>N</v>
      </c>
      <c r="X49" s="16" t="str">
        <f>IF('MASTER DATA'!X333="","",'MASTER DATA'!X333)</f>
        <v>N</v>
      </c>
      <c r="Y49" s="16" t="str">
        <f>IF('MASTER DATA'!Y333="","",'MASTER DATA'!Y333)</f>
        <v>N</v>
      </c>
      <c r="Z49" s="16" t="str">
        <f>IF('MASTER DATA'!Z333="","",'MASTER DATA'!Z333)</f>
        <v>N</v>
      </c>
      <c r="AA49" s="16">
        <f>IF('MASTER DATA'!AA333="","",'MASTER DATA'!AA333)</f>
        <v>1</v>
      </c>
      <c r="AB49" s="16" t="str">
        <f>IF('MASTER DATA'!AB333="","",'MASTER DATA'!AB333)</f>
        <v>SINGLE-SIGNAL</v>
      </c>
      <c r="AC49" s="16" t="str">
        <f>IF('MASTER DATA'!AC333="","",'MASTER DATA'!AC333)</f>
        <v>Pending QME</v>
      </c>
    </row>
    <row r="50" spans="1:29" x14ac:dyDescent="0.45">
      <c r="A50" t="str">
        <f>IF('MASTER DATA'!A334="","",'MASTER DATA'!A334)</f>
        <v>SYN-CLM-0333</v>
      </c>
      <c r="B50" t="str">
        <f>IF('MASTER DATA'!B334="","",'MASTER DATA'!B334)</f>
        <v>Synthetic Claimant 0333</v>
      </c>
      <c r="C50" t="str">
        <f>IF('MASTER DATA'!C334="","",'MASTER DATA'!C334)</f>
        <v>Claims Analyst G</v>
      </c>
      <c r="D50" t="str">
        <f>IF('MASTER DATA'!D334="","",'MASTER DATA'!D334)</f>
        <v>Synthetic Policyholder 089, LLC</v>
      </c>
      <c r="E50" s="15">
        <f>IF('MASTER DATA'!E334="","",'MASTER DATA'!E334)</f>
        <v>43978</v>
      </c>
      <c r="F50" s="16" t="str">
        <f>IF('MASTER DATA'!F334="","",'MASTER DATA'!F334)</f>
        <v>Y</v>
      </c>
      <c r="G50" s="17">
        <f>IF('MASTER DATA'!G334="","",'MASTER DATA'!G334)</f>
        <v>57000</v>
      </c>
      <c r="H50" s="16" t="str">
        <f>IF('MASTER DATA'!H334="","",'MASTER DATA'!H334)</f>
        <v>Synthetic Approver 06</v>
      </c>
      <c r="I50" s="15">
        <f>IF('MASTER DATA'!I334="","",'MASTER DATA'!I334)</f>
        <v>44654</v>
      </c>
      <c r="J50" s="16" t="str">
        <f>IF('MASTER DATA'!J334="","",'MASTER DATA'!J334)</f>
        <v>N</v>
      </c>
      <c r="K50" s="15" t="str">
        <f>IF('MASTER DATA'!K334="","",'MASTER DATA'!K334)</f>
        <v/>
      </c>
      <c r="L50" s="16" t="str">
        <f>IF('MASTER DATA'!L334="","",'MASTER DATA'!L334)</f>
        <v>Y</v>
      </c>
      <c r="M50" s="16" t="str">
        <f>IF('MASTER DATA'!M334="","",'MASTER DATA'!M334)</f>
        <v>N</v>
      </c>
      <c r="N50" s="15" t="str">
        <f>IF('MASTER DATA'!N334="","",'MASTER DATA'!N334)</f>
        <v/>
      </c>
      <c r="O50" s="16" t="str">
        <f>IF('MASTER DATA'!O334="","",'MASTER DATA'!O334)</f>
        <v/>
      </c>
      <c r="P50" s="16" t="str">
        <f>IF('MASTER DATA'!P334="","",'MASTER DATA'!P334)</f>
        <v>N</v>
      </c>
      <c r="Q50" s="16" t="str">
        <f>IF('MASTER DATA'!Q334="","",'MASTER DATA'!Q334)</f>
        <v/>
      </c>
      <c r="R50" s="16" t="str">
        <f>IF('MASTER DATA'!R334="","",'MASTER DATA'!R334)</f>
        <v/>
      </c>
      <c r="S50" s="16" t="str">
        <f>IF('MASTER DATA'!S334="","",'MASTER DATA'!S334)</f>
        <v>Y</v>
      </c>
      <c r="T50" s="15">
        <f>IF('MASTER DATA'!T334="","",'MASTER DATA'!T334)</f>
        <v>45341</v>
      </c>
      <c r="U50" s="16" t="str">
        <f>IF('MASTER DATA'!U334="","",'MASTER DATA'!U334)</f>
        <v>N</v>
      </c>
      <c r="V50" s="16" t="str">
        <f>IF('MASTER DATA'!V334="","",'MASTER DATA'!V334)</f>
        <v>N</v>
      </c>
      <c r="W50" s="16" t="str">
        <f>IF('MASTER DATA'!W334="","",'MASTER DATA'!W334)</f>
        <v>N</v>
      </c>
      <c r="X50" s="16" t="str">
        <f>IF('MASTER DATA'!X334="","",'MASTER DATA'!X334)</f>
        <v>N</v>
      </c>
      <c r="Y50" s="16" t="str">
        <f>IF('MASTER DATA'!Y334="","",'MASTER DATA'!Y334)</f>
        <v>N</v>
      </c>
      <c r="Z50" s="16" t="str">
        <f>IF('MASTER DATA'!Z334="","",'MASTER DATA'!Z334)</f>
        <v>N</v>
      </c>
      <c r="AA50" s="16">
        <f>IF('MASTER DATA'!AA334="","",'MASTER DATA'!AA334)</f>
        <v>2</v>
      </c>
      <c r="AB50" s="16" t="str">
        <f>IF('MASTER DATA'!AB334="","",'MASTER DATA'!AB334)</f>
        <v>MULTI-SIGNAL</v>
      </c>
      <c r="AC50" s="16" t="str">
        <f>IF('MASTER DATA'!AC334="","",'MASTER DATA'!AC334)</f>
        <v>Settlement Authorization | Inactive Customer</v>
      </c>
    </row>
    <row r="51" spans="1:29" x14ac:dyDescent="0.45">
      <c r="A51" t="str">
        <f>IF('MASTER DATA'!A335="","",'MASTER DATA'!A335)</f>
        <v>SYN-CLM-0334</v>
      </c>
      <c r="B51" t="str">
        <f>IF('MASTER DATA'!B335="","",'MASTER DATA'!B335)</f>
        <v>Synthetic Claimant 0334</v>
      </c>
      <c r="C51" t="str">
        <f>IF('MASTER DATA'!C335="","",'MASTER DATA'!C335)</f>
        <v>Claims Analyst G</v>
      </c>
      <c r="D51" t="str">
        <f>IF('MASTER DATA'!D335="","",'MASTER DATA'!D335)</f>
        <v>Synthetic Policyholder 137, LLC</v>
      </c>
      <c r="E51" s="15">
        <f>IF('MASTER DATA'!E335="","",'MASTER DATA'!E335)</f>
        <v>44572</v>
      </c>
      <c r="F51" s="16" t="str">
        <f>IF('MASTER DATA'!F335="","",'MASTER DATA'!F335)</f>
        <v>N</v>
      </c>
      <c r="G51" s="17" t="str">
        <f>IF('MASTER DATA'!G335="","",'MASTER DATA'!G335)</f>
        <v/>
      </c>
      <c r="H51" s="16" t="str">
        <f>IF('MASTER DATA'!H335="","",'MASTER DATA'!H335)</f>
        <v/>
      </c>
      <c r="I51" s="15" t="str">
        <f>IF('MASTER DATA'!I335="","",'MASTER DATA'!I335)</f>
        <v/>
      </c>
      <c r="J51" s="16" t="str">
        <f>IF('MASTER DATA'!J335="","",'MASTER DATA'!J335)</f>
        <v>Y</v>
      </c>
      <c r="K51" s="15">
        <f>IF('MASTER DATA'!K335="","",'MASTER DATA'!K335)</f>
        <v>44869</v>
      </c>
      <c r="L51" s="16" t="str">
        <f>IF('MASTER DATA'!L335="","",'MASTER DATA'!L335)</f>
        <v>N</v>
      </c>
      <c r="M51" s="16" t="str">
        <f>IF('MASTER DATA'!M335="","",'MASTER DATA'!M335)</f>
        <v>N</v>
      </c>
      <c r="N51" s="15" t="str">
        <f>IF('MASTER DATA'!N335="","",'MASTER DATA'!N335)</f>
        <v/>
      </c>
      <c r="O51" s="16" t="str">
        <f>IF('MASTER DATA'!O335="","",'MASTER DATA'!O335)</f>
        <v/>
      </c>
      <c r="P51" s="16" t="str">
        <f>IF('MASTER DATA'!P335="","",'MASTER DATA'!P335)</f>
        <v>N</v>
      </c>
      <c r="Q51" s="16" t="str">
        <f>IF('MASTER DATA'!Q335="","",'MASTER DATA'!Q335)</f>
        <v/>
      </c>
      <c r="R51" s="16" t="str">
        <f>IF('MASTER DATA'!R335="","",'MASTER DATA'!R335)</f>
        <v/>
      </c>
      <c r="S51" s="16" t="str">
        <f>IF('MASTER DATA'!S335="","",'MASTER DATA'!S335)</f>
        <v>N</v>
      </c>
      <c r="T51" s="15" t="str">
        <f>IF('MASTER DATA'!T335="","",'MASTER DATA'!T335)</f>
        <v/>
      </c>
      <c r="U51" s="16" t="str">
        <f>IF('MASTER DATA'!U335="","",'MASTER DATA'!U335)</f>
        <v>N</v>
      </c>
      <c r="V51" s="16" t="str">
        <f>IF('MASTER DATA'!V335="","",'MASTER DATA'!V335)</f>
        <v>N</v>
      </c>
      <c r="W51" s="16" t="str">
        <f>IF('MASTER DATA'!W335="","",'MASTER DATA'!W335)</f>
        <v>N</v>
      </c>
      <c r="X51" s="16" t="str">
        <f>IF('MASTER DATA'!X335="","",'MASTER DATA'!X335)</f>
        <v>N</v>
      </c>
      <c r="Y51" s="16" t="str">
        <f>IF('MASTER DATA'!Y335="","",'MASTER DATA'!Y335)</f>
        <v>N</v>
      </c>
      <c r="Z51" s="16" t="str">
        <f>IF('MASTER DATA'!Z335="","",'MASTER DATA'!Z335)</f>
        <v>N</v>
      </c>
      <c r="AA51" s="16">
        <f>IF('MASTER DATA'!AA335="","",'MASTER DATA'!AA335)</f>
        <v>1</v>
      </c>
      <c r="AB51" s="16" t="str">
        <f>IF('MASTER DATA'!AB335="","",'MASTER DATA'!AB335)</f>
        <v>SINGLE-SIGNAL</v>
      </c>
      <c r="AC51" s="16" t="str">
        <f>IF('MASTER DATA'!AC335="","",'MASTER DATA'!AC335)</f>
        <v>Open Stipulation</v>
      </c>
    </row>
    <row r="52" spans="1:29" x14ac:dyDescent="0.45">
      <c r="A52" t="str">
        <f>IF('MASTER DATA'!A336="","",'MASTER DATA'!A336)</f>
        <v>SYN-CLM-0335</v>
      </c>
      <c r="B52" t="str">
        <f>IF('MASTER DATA'!B336="","",'MASTER DATA'!B336)</f>
        <v>Synthetic Claimant 0335</v>
      </c>
      <c r="C52" t="str">
        <f>IF('MASTER DATA'!C336="","",'MASTER DATA'!C336)</f>
        <v>Claims Analyst G</v>
      </c>
      <c r="D52" t="str">
        <f>IF('MASTER DATA'!D336="","",'MASTER DATA'!D336)</f>
        <v>Synthetic Policyholder 153, LLC</v>
      </c>
      <c r="E52" s="15">
        <f>IF('MASTER DATA'!E336="","",'MASTER DATA'!E336)</f>
        <v>44611</v>
      </c>
      <c r="F52" s="16" t="str">
        <f>IF('MASTER DATA'!F336="","",'MASTER DATA'!F336)</f>
        <v>N</v>
      </c>
      <c r="G52" s="17" t="str">
        <f>IF('MASTER DATA'!G336="","",'MASTER DATA'!G336)</f>
        <v/>
      </c>
      <c r="H52" s="16" t="str">
        <f>IF('MASTER DATA'!H336="","",'MASTER DATA'!H336)</f>
        <v/>
      </c>
      <c r="I52" s="15" t="str">
        <f>IF('MASTER DATA'!I336="","",'MASTER DATA'!I336)</f>
        <v/>
      </c>
      <c r="J52" s="16" t="str">
        <f>IF('MASTER DATA'!J336="","",'MASTER DATA'!J336)</f>
        <v>N</v>
      </c>
      <c r="K52" s="15" t="str">
        <f>IF('MASTER DATA'!K336="","",'MASTER DATA'!K336)</f>
        <v/>
      </c>
      <c r="L52" s="16" t="str">
        <f>IF('MASTER DATA'!L336="","",'MASTER DATA'!L336)</f>
        <v/>
      </c>
      <c r="M52" s="16" t="str">
        <f>IF('MASTER DATA'!M336="","",'MASTER DATA'!M336)</f>
        <v>N</v>
      </c>
      <c r="N52" s="15" t="str">
        <f>IF('MASTER DATA'!N336="","",'MASTER DATA'!N336)</f>
        <v/>
      </c>
      <c r="O52" s="16" t="str">
        <f>IF('MASTER DATA'!O336="","",'MASTER DATA'!O336)</f>
        <v/>
      </c>
      <c r="P52" s="16" t="str">
        <f>IF('MASTER DATA'!P336="","",'MASTER DATA'!P336)</f>
        <v>N</v>
      </c>
      <c r="Q52" s="16" t="str">
        <f>IF('MASTER DATA'!Q336="","",'MASTER DATA'!Q336)</f>
        <v/>
      </c>
      <c r="R52" s="16" t="str">
        <f>IF('MASTER DATA'!R336="","",'MASTER DATA'!R336)</f>
        <v/>
      </c>
      <c r="S52" s="16" t="str">
        <f>IF('MASTER DATA'!S336="","",'MASTER DATA'!S336)</f>
        <v>Y</v>
      </c>
      <c r="T52" s="15">
        <f>IF('MASTER DATA'!T336="","",'MASTER DATA'!T336)</f>
        <v>45951</v>
      </c>
      <c r="U52" s="16" t="str">
        <f>IF('MASTER DATA'!U336="","",'MASTER DATA'!U336)</f>
        <v>N</v>
      </c>
      <c r="V52" s="16" t="str">
        <f>IF('MASTER DATA'!V336="","",'MASTER DATA'!V336)</f>
        <v>N</v>
      </c>
      <c r="W52" s="16" t="str">
        <f>IF('MASTER DATA'!W336="","",'MASTER DATA'!W336)</f>
        <v>N</v>
      </c>
      <c r="X52" s="16" t="str">
        <f>IF('MASTER DATA'!X336="","",'MASTER DATA'!X336)</f>
        <v>N</v>
      </c>
      <c r="Y52" s="16" t="str">
        <f>IF('MASTER DATA'!Y336="","",'MASTER DATA'!Y336)</f>
        <v>N</v>
      </c>
      <c r="Z52" s="16" t="str">
        <f>IF('MASTER DATA'!Z336="","",'MASTER DATA'!Z336)</f>
        <v>N</v>
      </c>
      <c r="AA52" s="16">
        <f>IF('MASTER DATA'!AA336="","",'MASTER DATA'!AA336)</f>
        <v>1</v>
      </c>
      <c r="AB52" s="16" t="str">
        <f>IF('MASTER DATA'!AB336="","",'MASTER DATA'!AB336)</f>
        <v>SINGLE-SIGNAL</v>
      </c>
      <c r="AC52" s="16" t="str">
        <f>IF('MASTER DATA'!AC336="","",'MASTER DATA'!AC336)</f>
        <v>Inactive Customer</v>
      </c>
    </row>
    <row r="53" spans="1:29" x14ac:dyDescent="0.45">
      <c r="A53" t="str">
        <f>IF('MASTER DATA'!A337="","",'MASTER DATA'!A337)</f>
        <v>SYN-CLM-0336</v>
      </c>
      <c r="B53" t="str">
        <f>IF('MASTER DATA'!B337="","",'MASTER DATA'!B337)</f>
        <v>Synthetic Claimant 0336</v>
      </c>
      <c r="C53" t="str">
        <f>IF('MASTER DATA'!C337="","",'MASTER DATA'!C337)</f>
        <v>Claims Analyst G</v>
      </c>
      <c r="D53" t="str">
        <f>IF('MASTER DATA'!D337="","",'MASTER DATA'!D337)</f>
        <v>Synthetic Policyholder 073, LLC</v>
      </c>
      <c r="E53" s="15">
        <f>IF('MASTER DATA'!E337="","",'MASTER DATA'!E337)</f>
        <v>43711</v>
      </c>
      <c r="F53" s="16" t="str">
        <f>IF('MASTER DATA'!F337="","",'MASTER DATA'!F337)</f>
        <v>Y</v>
      </c>
      <c r="G53" s="17">
        <f>IF('MASTER DATA'!G337="","",'MASTER DATA'!G337)</f>
        <v>98250</v>
      </c>
      <c r="H53" s="16" t="str">
        <f>IF('MASTER DATA'!H337="","",'MASTER DATA'!H337)</f>
        <v>Synthetic Approver 07</v>
      </c>
      <c r="I53" s="15">
        <f>IF('MASTER DATA'!I337="","",'MASTER DATA'!I337)</f>
        <v>44332</v>
      </c>
      <c r="J53" s="16" t="str">
        <f>IF('MASTER DATA'!J337="","",'MASTER DATA'!J337)</f>
        <v>Y</v>
      </c>
      <c r="K53" s="15">
        <f>IF('MASTER DATA'!K337="","",'MASTER DATA'!K337)</f>
        <v>43937</v>
      </c>
      <c r="L53" s="16" t="str">
        <f>IF('MASTER DATA'!L337="","",'MASTER DATA'!L337)</f>
        <v>Y</v>
      </c>
      <c r="M53" s="16" t="str">
        <f>IF('MASTER DATA'!M337="","",'MASTER DATA'!M337)</f>
        <v>N</v>
      </c>
      <c r="N53" s="15" t="str">
        <f>IF('MASTER DATA'!N337="","",'MASTER DATA'!N337)</f>
        <v/>
      </c>
      <c r="O53" s="16" t="str">
        <f>IF('MASTER DATA'!O337="","",'MASTER DATA'!O337)</f>
        <v/>
      </c>
      <c r="P53" s="16" t="str">
        <f>IF('MASTER DATA'!P337="","",'MASTER DATA'!P337)</f>
        <v>N</v>
      </c>
      <c r="Q53" s="16" t="str">
        <f>IF('MASTER DATA'!Q337="","",'MASTER DATA'!Q337)</f>
        <v/>
      </c>
      <c r="R53" s="16" t="str">
        <f>IF('MASTER DATA'!R337="","",'MASTER DATA'!R337)</f>
        <v/>
      </c>
      <c r="S53" s="16" t="str">
        <f>IF('MASTER DATA'!S337="","",'MASTER DATA'!S337)</f>
        <v>N</v>
      </c>
      <c r="T53" s="15" t="str">
        <f>IF('MASTER DATA'!T337="","",'MASTER DATA'!T337)</f>
        <v/>
      </c>
      <c r="U53" s="16" t="str">
        <f>IF('MASTER DATA'!U337="","",'MASTER DATA'!U337)</f>
        <v>N</v>
      </c>
      <c r="V53" s="16" t="str">
        <f>IF('MASTER DATA'!V337="","",'MASTER DATA'!V337)</f>
        <v>N</v>
      </c>
      <c r="W53" s="16" t="str">
        <f>IF('MASTER DATA'!W337="","",'MASTER DATA'!W337)</f>
        <v>N</v>
      </c>
      <c r="X53" s="16" t="str">
        <f>IF('MASTER DATA'!X337="","",'MASTER DATA'!X337)</f>
        <v>N</v>
      </c>
      <c r="Y53" s="16" t="str">
        <f>IF('MASTER DATA'!Y337="","",'MASTER DATA'!Y337)</f>
        <v>N</v>
      </c>
      <c r="Z53" s="16" t="str">
        <f>IF('MASTER DATA'!Z337="","",'MASTER DATA'!Z337)</f>
        <v>N</v>
      </c>
      <c r="AA53" s="16">
        <f>IF('MASTER DATA'!AA337="","",'MASTER DATA'!AA337)</f>
        <v>2</v>
      </c>
      <c r="AB53" s="16" t="str">
        <f>IF('MASTER DATA'!AB337="","",'MASTER DATA'!AB337)</f>
        <v>MULTI-SIGNAL</v>
      </c>
      <c r="AC53" s="16" t="str">
        <f>IF('MASTER DATA'!AC337="","",'MASTER DATA'!AC337)</f>
        <v>Settlement Authorization | Open Stipulation</v>
      </c>
    </row>
    <row r="54" spans="1:29" x14ac:dyDescent="0.45">
      <c r="A54" t="str">
        <f>IF('MASTER DATA'!A338="","",'MASTER DATA'!A338)</f>
        <v>SYN-CLM-0337</v>
      </c>
      <c r="B54" t="str">
        <f>IF('MASTER DATA'!B338="","",'MASTER DATA'!B338)</f>
        <v>Synthetic Claimant 0337</v>
      </c>
      <c r="C54" t="str">
        <f>IF('MASTER DATA'!C338="","",'MASTER DATA'!C338)</f>
        <v>Claims Analyst G</v>
      </c>
      <c r="D54" t="str">
        <f>IF('MASTER DATA'!D338="","",'MASTER DATA'!D338)</f>
        <v>Synthetic Policyholder 047, LLC</v>
      </c>
      <c r="E54" s="15">
        <f>IF('MASTER DATA'!E338="","",'MASTER DATA'!E338)</f>
        <v>43485</v>
      </c>
      <c r="F54" s="16" t="str">
        <f>IF('MASTER DATA'!F338="","",'MASTER DATA'!F338)</f>
        <v>Y</v>
      </c>
      <c r="G54" s="17">
        <f>IF('MASTER DATA'!G338="","",'MASTER DATA'!G338)</f>
        <v>61000</v>
      </c>
      <c r="H54" s="16" t="str">
        <f>IF('MASTER DATA'!H338="","",'MASTER DATA'!H338)</f>
        <v>Synthetic Approver 09</v>
      </c>
      <c r="I54" s="15">
        <f>IF('MASTER DATA'!I338="","",'MASTER DATA'!I338)</f>
        <v>43615</v>
      </c>
      <c r="J54" s="16" t="str">
        <f>IF('MASTER DATA'!J338="","",'MASTER DATA'!J338)</f>
        <v>N</v>
      </c>
      <c r="K54" s="15" t="str">
        <f>IF('MASTER DATA'!K338="","",'MASTER DATA'!K338)</f>
        <v/>
      </c>
      <c r="L54" s="16" t="str">
        <f>IF('MASTER DATA'!L338="","",'MASTER DATA'!L338)</f>
        <v>Y</v>
      </c>
      <c r="M54" s="16" t="str">
        <f>IF('MASTER DATA'!M338="","",'MASTER DATA'!M338)</f>
        <v>N</v>
      </c>
      <c r="N54" s="15" t="str">
        <f>IF('MASTER DATA'!N338="","",'MASTER DATA'!N338)</f>
        <v/>
      </c>
      <c r="O54" s="16" t="str">
        <f>IF('MASTER DATA'!O338="","",'MASTER DATA'!O338)</f>
        <v/>
      </c>
      <c r="P54" s="16" t="str">
        <f>IF('MASTER DATA'!P338="","",'MASTER DATA'!P338)</f>
        <v>N</v>
      </c>
      <c r="Q54" s="16" t="str">
        <f>IF('MASTER DATA'!Q338="","",'MASTER DATA'!Q338)</f>
        <v/>
      </c>
      <c r="R54" s="16" t="str">
        <f>IF('MASTER DATA'!R338="","",'MASTER DATA'!R338)</f>
        <v/>
      </c>
      <c r="S54" s="16" t="str">
        <f>IF('MASTER DATA'!S338="","",'MASTER DATA'!S338)</f>
        <v>N</v>
      </c>
      <c r="T54" s="15" t="str">
        <f>IF('MASTER DATA'!T338="","",'MASTER DATA'!T338)</f>
        <v/>
      </c>
      <c r="U54" s="16" t="str">
        <f>IF('MASTER DATA'!U338="","",'MASTER DATA'!U338)</f>
        <v>N</v>
      </c>
      <c r="V54" s="16" t="str">
        <f>IF('MASTER DATA'!V338="","",'MASTER DATA'!V338)</f>
        <v>N</v>
      </c>
      <c r="W54" s="16" t="str">
        <f>IF('MASTER DATA'!W338="","",'MASTER DATA'!W338)</f>
        <v>N</v>
      </c>
      <c r="X54" s="16" t="str">
        <f>IF('MASTER DATA'!X338="","",'MASTER DATA'!X338)</f>
        <v>N</v>
      </c>
      <c r="Y54" s="16" t="str">
        <f>IF('MASTER DATA'!Y338="","",'MASTER DATA'!Y338)</f>
        <v>N</v>
      </c>
      <c r="Z54" s="16" t="str">
        <f>IF('MASTER DATA'!Z338="","",'MASTER DATA'!Z338)</f>
        <v>N</v>
      </c>
      <c r="AA54" s="16">
        <f>IF('MASTER DATA'!AA338="","",'MASTER DATA'!AA338)</f>
        <v>1</v>
      </c>
      <c r="AB54" s="16" t="str">
        <f>IF('MASTER DATA'!AB338="","",'MASTER DATA'!AB338)</f>
        <v>SINGLE-SIGNAL</v>
      </c>
      <c r="AC54" s="16" t="str">
        <f>IF('MASTER DATA'!AC338="","",'MASTER DATA'!AC338)</f>
        <v>Settlement Authorization</v>
      </c>
    </row>
    <row r="55" spans="1:29" x14ac:dyDescent="0.45">
      <c r="A55" t="str">
        <f>IF('MASTER DATA'!A339="","",'MASTER DATA'!A339)</f>
        <v>SYN-CLM-0338</v>
      </c>
      <c r="B55" t="str">
        <f>IF('MASTER DATA'!B339="","",'MASTER DATA'!B339)</f>
        <v>Synthetic Claimant 0338</v>
      </c>
      <c r="C55" t="str">
        <f>IF('MASTER DATA'!C339="","",'MASTER DATA'!C339)</f>
        <v>Claims Analyst G</v>
      </c>
      <c r="D55" t="str">
        <f>IF('MASTER DATA'!D339="","",'MASTER DATA'!D339)</f>
        <v>Synthetic Policyholder 033, LLC</v>
      </c>
      <c r="E55" s="15">
        <f>IF('MASTER DATA'!E339="","",'MASTER DATA'!E339)</f>
        <v>44906</v>
      </c>
      <c r="F55" s="16" t="str">
        <f>IF('MASTER DATA'!F339="","",'MASTER DATA'!F339)</f>
        <v>Y</v>
      </c>
      <c r="G55" s="17">
        <f>IF('MASTER DATA'!G339="","",'MASTER DATA'!G339)</f>
        <v>25750</v>
      </c>
      <c r="H55" s="16" t="str">
        <f>IF('MASTER DATA'!H339="","",'MASTER DATA'!H339)</f>
        <v>Synthetic Approver 10</v>
      </c>
      <c r="I55" s="15">
        <f>IF('MASTER DATA'!I339="","",'MASTER DATA'!I339)</f>
        <v>45313</v>
      </c>
      <c r="J55" s="16" t="str">
        <f>IF('MASTER DATA'!J339="","",'MASTER DATA'!J339)</f>
        <v>N</v>
      </c>
      <c r="K55" s="15" t="str">
        <f>IF('MASTER DATA'!K339="","",'MASTER DATA'!K339)</f>
        <v/>
      </c>
      <c r="L55" s="16" t="str">
        <f>IF('MASTER DATA'!L339="","",'MASTER DATA'!L339)</f>
        <v>Y</v>
      </c>
      <c r="M55" s="16" t="str">
        <f>IF('MASTER DATA'!M339="","",'MASTER DATA'!M339)</f>
        <v>N</v>
      </c>
      <c r="N55" s="15" t="str">
        <f>IF('MASTER DATA'!N339="","",'MASTER DATA'!N339)</f>
        <v/>
      </c>
      <c r="O55" s="16" t="str">
        <f>IF('MASTER DATA'!O339="","",'MASTER DATA'!O339)</f>
        <v/>
      </c>
      <c r="P55" s="16" t="str">
        <f>IF('MASTER DATA'!P339="","",'MASTER DATA'!P339)</f>
        <v>N</v>
      </c>
      <c r="Q55" s="16" t="str">
        <f>IF('MASTER DATA'!Q339="","",'MASTER DATA'!Q339)</f>
        <v/>
      </c>
      <c r="R55" s="16" t="str">
        <f>IF('MASTER DATA'!R339="","",'MASTER DATA'!R339)</f>
        <v/>
      </c>
      <c r="S55" s="16" t="str">
        <f>IF('MASTER DATA'!S339="","",'MASTER DATA'!S339)</f>
        <v>Y</v>
      </c>
      <c r="T55" s="15">
        <f>IF('MASTER DATA'!T339="","",'MASTER DATA'!T339)</f>
        <v>46269</v>
      </c>
      <c r="U55" s="16" t="str">
        <f>IF('MASTER DATA'!U339="","",'MASTER DATA'!U339)</f>
        <v>N</v>
      </c>
      <c r="V55" s="16" t="str">
        <f>IF('MASTER DATA'!V339="","",'MASTER DATA'!V339)</f>
        <v>N</v>
      </c>
      <c r="W55" s="16" t="str">
        <f>IF('MASTER DATA'!W339="","",'MASTER DATA'!W339)</f>
        <v>N</v>
      </c>
      <c r="X55" s="16" t="str">
        <f>IF('MASTER DATA'!X339="","",'MASTER DATA'!X339)</f>
        <v>N</v>
      </c>
      <c r="Y55" s="16" t="str">
        <f>IF('MASTER DATA'!Y339="","",'MASTER DATA'!Y339)</f>
        <v>N</v>
      </c>
      <c r="Z55" s="16" t="str">
        <f>IF('MASTER DATA'!Z339="","",'MASTER DATA'!Z339)</f>
        <v>N</v>
      </c>
      <c r="AA55" s="16">
        <f>IF('MASTER DATA'!AA339="","",'MASTER DATA'!AA339)</f>
        <v>2</v>
      </c>
      <c r="AB55" s="16" t="str">
        <f>IF('MASTER DATA'!AB339="","",'MASTER DATA'!AB339)</f>
        <v>MULTI-SIGNAL</v>
      </c>
      <c r="AC55" s="16" t="str">
        <f>IF('MASTER DATA'!AC339="","",'MASTER DATA'!AC339)</f>
        <v>Settlement Authorization | Inactive Customer</v>
      </c>
    </row>
    <row r="56" spans="1:29" x14ac:dyDescent="0.45">
      <c r="A56" t="str">
        <f>IF('MASTER DATA'!A340="","",'MASTER DATA'!A340)</f>
        <v>SYN-CLM-0339</v>
      </c>
      <c r="B56" t="str">
        <f>IF('MASTER DATA'!B340="","",'MASTER DATA'!B340)</f>
        <v>Synthetic Claimant 0339</v>
      </c>
      <c r="C56" t="str">
        <f>IF('MASTER DATA'!C340="","",'MASTER DATA'!C340)</f>
        <v>Claims Analyst G</v>
      </c>
      <c r="D56" t="str">
        <f>IF('MASTER DATA'!D340="","",'MASTER DATA'!D340)</f>
        <v>Synthetic Policyholder 009, LLC</v>
      </c>
      <c r="E56" s="15">
        <f>IF('MASTER DATA'!E340="","",'MASTER DATA'!E340)</f>
        <v>44073</v>
      </c>
      <c r="F56" s="16" t="str">
        <f>IF('MASTER DATA'!F340="","",'MASTER DATA'!F340)</f>
        <v>Y</v>
      </c>
      <c r="G56" s="17">
        <f>IF('MASTER DATA'!G340="","",'MASTER DATA'!G340)</f>
        <v>78250</v>
      </c>
      <c r="H56" s="16" t="str">
        <f>IF('MASTER DATA'!H340="","",'MASTER DATA'!H340)</f>
        <v>Synthetic Approver 06</v>
      </c>
      <c r="I56" s="15">
        <f>IF('MASTER DATA'!I340="","",'MASTER DATA'!I340)</f>
        <v>44851</v>
      </c>
      <c r="J56" s="16" t="str">
        <f>IF('MASTER DATA'!J340="","",'MASTER DATA'!J340)</f>
        <v>N</v>
      </c>
      <c r="K56" s="15" t="str">
        <f>IF('MASTER DATA'!K340="","",'MASTER DATA'!K340)</f>
        <v/>
      </c>
      <c r="L56" s="16" t="str">
        <f>IF('MASTER DATA'!L340="","",'MASTER DATA'!L340)</f>
        <v>N</v>
      </c>
      <c r="M56" s="16" t="str">
        <f>IF('MASTER DATA'!M340="","",'MASTER DATA'!M340)</f>
        <v>N</v>
      </c>
      <c r="N56" s="15" t="str">
        <f>IF('MASTER DATA'!N340="","",'MASTER DATA'!N340)</f>
        <v/>
      </c>
      <c r="O56" s="16" t="str">
        <f>IF('MASTER DATA'!O340="","",'MASTER DATA'!O340)</f>
        <v/>
      </c>
      <c r="P56" s="16" t="str">
        <f>IF('MASTER DATA'!P340="","",'MASTER DATA'!P340)</f>
        <v>Y</v>
      </c>
      <c r="Q56" s="16" t="str">
        <f>IF('MASTER DATA'!Q340="","",'MASTER DATA'!Q340)</f>
        <v>Non-Renewed Account; Surgery Requested</v>
      </c>
      <c r="R56" s="16" t="str">
        <f>IF('MASTER DATA'!R340="","",'MASTER DATA'!R340)</f>
        <v>Specialist Consultation Requested; Denied Treatment Requests</v>
      </c>
      <c r="S56" s="16" t="str">
        <f>IF('MASTER DATA'!S340="","",'MASTER DATA'!S340)</f>
        <v>N</v>
      </c>
      <c r="T56" s="15" t="str">
        <f>IF('MASTER DATA'!T340="","",'MASTER DATA'!T340)</f>
        <v/>
      </c>
      <c r="U56" s="16" t="str">
        <f>IF('MASTER DATA'!U340="","",'MASTER DATA'!U340)</f>
        <v>Y</v>
      </c>
      <c r="V56" s="16" t="str">
        <f>IF('MASTER DATA'!V340="","",'MASTER DATA'!V340)</f>
        <v>N</v>
      </c>
      <c r="W56" s="16" t="str">
        <f>IF('MASTER DATA'!W340="","",'MASTER DATA'!W340)</f>
        <v>Y</v>
      </c>
      <c r="X56" s="16" t="str">
        <f>IF('MASTER DATA'!X340="","",'MASTER DATA'!X340)</f>
        <v>Y</v>
      </c>
      <c r="Y56" s="16" t="str">
        <f>IF('MASTER DATA'!Y340="","",'MASTER DATA'!Y340)</f>
        <v>Y</v>
      </c>
      <c r="Z56" s="16" t="str">
        <f>IF('MASTER DATA'!Z340="","",'MASTER DATA'!Z340)</f>
        <v>N</v>
      </c>
      <c r="AA56" s="16">
        <f>IF('MASTER DATA'!AA340="","",'MASTER DATA'!AA340)</f>
        <v>2</v>
      </c>
      <c r="AB56" s="16" t="str">
        <f>IF('MASTER DATA'!AB340="","",'MASTER DATA'!AB340)</f>
        <v>MULTI-SIGNAL</v>
      </c>
      <c r="AC56" s="16" t="str">
        <f>IF('MASTER DATA'!AC340="","",'MASTER DATA'!AC340)</f>
        <v>Settlement Authorization | Automated Claim Alert</v>
      </c>
    </row>
  </sheetData>
  <conditionalFormatting sqref="A2:AC56">
    <cfRule type="expression" dxfId="5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2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46.796875" bestFit="1" customWidth="1"/>
    <col min="18" max="18" width="38.9296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49.730468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DATA'!A341="","",'MASTER DATA'!A341)</f>
        <v>SYN-CLM-0340</v>
      </c>
      <c r="B2" t="str">
        <f>IF('MASTER DATA'!B341="","",'MASTER DATA'!B341)</f>
        <v>Synthetic Claimant 0340</v>
      </c>
      <c r="C2" t="str">
        <f>IF('MASTER DATA'!C341="","",'MASTER DATA'!C341)</f>
        <v>Claims Analyst H</v>
      </c>
      <c r="D2" t="str">
        <f>IF('MASTER DATA'!D341="","",'MASTER DATA'!D341)</f>
        <v>Synthetic Policyholder 118, LLC</v>
      </c>
      <c r="E2" s="15">
        <f>IF('MASTER DATA'!E341="","",'MASTER DATA'!E341)</f>
        <v>44711</v>
      </c>
      <c r="F2" s="16" t="str">
        <f>IF('MASTER DATA'!F341="","",'MASTER DATA'!F341)</f>
        <v>N</v>
      </c>
      <c r="G2" s="17" t="str">
        <f>IF('MASTER DATA'!G341="","",'MASTER DATA'!G341)</f>
        <v/>
      </c>
      <c r="H2" s="16" t="str">
        <f>IF('MASTER DATA'!H341="","",'MASTER DATA'!H341)</f>
        <v/>
      </c>
      <c r="I2" s="15" t="str">
        <f>IF('MASTER DATA'!I341="","",'MASTER DATA'!I341)</f>
        <v/>
      </c>
      <c r="J2" s="16" t="str">
        <f>IF('MASTER DATA'!J341="","",'MASTER DATA'!J341)</f>
        <v>N</v>
      </c>
      <c r="K2" s="15" t="str">
        <f>IF('MASTER DATA'!K341="","",'MASTER DATA'!K341)</f>
        <v/>
      </c>
      <c r="L2" s="16" t="str">
        <f>IF('MASTER DATA'!L341="","",'MASTER DATA'!L341)</f>
        <v/>
      </c>
      <c r="M2" s="16" t="str">
        <f>IF('MASTER DATA'!M341="","",'MASTER DATA'!M341)</f>
        <v>Y</v>
      </c>
      <c r="N2" s="15">
        <f>IF('MASTER DATA'!N341="","",'MASTER DATA'!N341)</f>
        <v>46150</v>
      </c>
      <c r="O2" s="16" t="str">
        <f>IF('MASTER DATA'!O341="","",'MASTER DATA'!O341)</f>
        <v>Synthetic QME Evaluator 15</v>
      </c>
      <c r="P2" s="16" t="str">
        <f>IF('MASTER DATA'!P341="","",'MASTER DATA'!P341)</f>
        <v>Y</v>
      </c>
      <c r="Q2" s="16" t="str">
        <f>IF('MASTER DATA'!Q341="","",'MASTER DATA'!Q341)</f>
        <v>Non-Renewed Account; Specialist Consultation Requested</v>
      </c>
      <c r="R2" s="16" t="str">
        <f>IF('MASTER DATA'!R341="","",'MASTER DATA'!R341)</f>
        <v>Denied Treatment Requests</v>
      </c>
      <c r="S2" s="16" t="str">
        <f>IF('MASTER DATA'!S341="","",'MASTER DATA'!S341)</f>
        <v>N</v>
      </c>
      <c r="T2" s="15" t="str">
        <f>IF('MASTER DATA'!T341="","",'MASTER DATA'!T341)</f>
        <v/>
      </c>
      <c r="U2" s="16" t="str">
        <f>IF('MASTER DATA'!U341="","",'MASTER DATA'!U341)</f>
        <v>N</v>
      </c>
      <c r="V2" s="16" t="str">
        <f>IF('MASTER DATA'!V341="","",'MASTER DATA'!V341)</f>
        <v>N</v>
      </c>
      <c r="W2" s="16" t="str">
        <f>IF('MASTER DATA'!W341="","",'MASTER DATA'!W341)</f>
        <v>Y</v>
      </c>
      <c r="X2" s="16" t="str">
        <f>IF('MASTER DATA'!X341="","",'MASTER DATA'!X341)</f>
        <v>Y</v>
      </c>
      <c r="Y2" s="16" t="str">
        <f>IF('MASTER DATA'!Y341="","",'MASTER DATA'!Y341)</f>
        <v>Y</v>
      </c>
      <c r="Z2" s="16" t="str">
        <f>IF('MASTER DATA'!Z341="","",'MASTER DATA'!Z341)</f>
        <v>N</v>
      </c>
      <c r="AA2" s="16">
        <f>IF('MASTER DATA'!AA341="","",'MASTER DATA'!AA341)</f>
        <v>2</v>
      </c>
      <c r="AB2" s="16" t="str">
        <f>IF('MASTER DATA'!AB341="","",'MASTER DATA'!AB341)</f>
        <v>MULTI-SIGNAL</v>
      </c>
      <c r="AC2" s="16" t="str">
        <f>IF('MASTER DATA'!AC341="","",'MASTER DATA'!AC341)</f>
        <v>Pending QME | Automated Claim Alert</v>
      </c>
    </row>
    <row r="3" spans="1:29" x14ac:dyDescent="0.45">
      <c r="A3" t="str">
        <f>IF('MASTER DATA'!A342="","",'MASTER DATA'!A342)</f>
        <v>SYN-CLM-0341</v>
      </c>
      <c r="B3" t="str">
        <f>IF('MASTER DATA'!B342="","",'MASTER DATA'!B342)</f>
        <v>Synthetic Claimant 0341</v>
      </c>
      <c r="C3" t="str">
        <f>IF('MASTER DATA'!C342="","",'MASTER DATA'!C342)</f>
        <v>Claims Analyst H</v>
      </c>
      <c r="D3" t="str">
        <f>IF('MASTER DATA'!D342="","",'MASTER DATA'!D342)</f>
        <v>Synthetic Policyholder 019, LLC</v>
      </c>
      <c r="E3" s="15">
        <f>IF('MASTER DATA'!E342="","",'MASTER DATA'!E342)</f>
        <v>44280</v>
      </c>
      <c r="F3" s="16" t="str">
        <f>IF('MASTER DATA'!F342="","",'MASTER DATA'!F342)</f>
        <v>N</v>
      </c>
      <c r="G3" s="17" t="str">
        <f>IF('MASTER DATA'!G342="","",'MASTER DATA'!G342)</f>
        <v/>
      </c>
      <c r="H3" s="16" t="str">
        <f>IF('MASTER DATA'!H342="","",'MASTER DATA'!H342)</f>
        <v/>
      </c>
      <c r="I3" s="15" t="str">
        <f>IF('MASTER DATA'!I342="","",'MASTER DATA'!I342)</f>
        <v/>
      </c>
      <c r="J3" s="16" t="str">
        <f>IF('MASTER DATA'!J342="","",'MASTER DATA'!J342)</f>
        <v>N</v>
      </c>
      <c r="K3" s="15" t="str">
        <f>IF('MASTER DATA'!K342="","",'MASTER DATA'!K342)</f>
        <v/>
      </c>
      <c r="L3" s="16" t="str">
        <f>IF('MASTER DATA'!L342="","",'MASTER DATA'!L342)</f>
        <v/>
      </c>
      <c r="M3" s="16" t="str">
        <f>IF('MASTER DATA'!M342="","",'MASTER DATA'!M342)</f>
        <v>Y</v>
      </c>
      <c r="N3" s="15">
        <f>IF('MASTER DATA'!N342="","",'MASTER DATA'!N342)</f>
        <v>44646</v>
      </c>
      <c r="O3" s="16" t="str">
        <f>IF('MASTER DATA'!O342="","",'MASTER DATA'!O342)</f>
        <v>Synthetic QME Evaluator 04</v>
      </c>
      <c r="P3" s="16" t="str">
        <f>IF('MASTER DATA'!P342="","",'MASTER DATA'!P342)</f>
        <v>N</v>
      </c>
      <c r="Q3" s="16" t="str">
        <f>IF('MASTER DATA'!Q342="","",'MASTER DATA'!Q342)</f>
        <v/>
      </c>
      <c r="R3" s="16" t="str">
        <f>IF('MASTER DATA'!R342="","",'MASTER DATA'!R342)</f>
        <v/>
      </c>
      <c r="S3" s="16" t="str">
        <f>IF('MASTER DATA'!S342="","",'MASTER DATA'!S342)</f>
        <v>N</v>
      </c>
      <c r="T3" s="15" t="str">
        <f>IF('MASTER DATA'!T342="","",'MASTER DATA'!T342)</f>
        <v/>
      </c>
      <c r="U3" s="16" t="str">
        <f>IF('MASTER DATA'!U342="","",'MASTER DATA'!U342)</f>
        <v>N</v>
      </c>
      <c r="V3" s="16" t="str">
        <f>IF('MASTER DATA'!V342="","",'MASTER DATA'!V342)</f>
        <v>N</v>
      </c>
      <c r="W3" s="16" t="str">
        <f>IF('MASTER DATA'!W342="","",'MASTER DATA'!W342)</f>
        <v>N</v>
      </c>
      <c r="X3" s="16" t="str">
        <f>IF('MASTER DATA'!X342="","",'MASTER DATA'!X342)</f>
        <v>N</v>
      </c>
      <c r="Y3" s="16" t="str">
        <f>IF('MASTER DATA'!Y342="","",'MASTER DATA'!Y342)</f>
        <v>N</v>
      </c>
      <c r="Z3" s="16" t="str">
        <f>IF('MASTER DATA'!Z342="","",'MASTER DATA'!Z342)</f>
        <v>N</v>
      </c>
      <c r="AA3" s="16">
        <f>IF('MASTER DATA'!AA342="","",'MASTER DATA'!AA342)</f>
        <v>1</v>
      </c>
      <c r="AB3" s="16" t="str">
        <f>IF('MASTER DATA'!AB342="","",'MASTER DATA'!AB342)</f>
        <v>SINGLE-SIGNAL</v>
      </c>
      <c r="AC3" s="16" t="str">
        <f>IF('MASTER DATA'!AC342="","",'MASTER DATA'!AC342)</f>
        <v>Pending QME</v>
      </c>
    </row>
    <row r="4" spans="1:29" x14ac:dyDescent="0.45">
      <c r="A4" t="str">
        <f>IF('MASTER DATA'!A343="","",'MASTER DATA'!A343)</f>
        <v>SYN-CLM-0342</v>
      </c>
      <c r="B4" t="str">
        <f>IF('MASTER DATA'!B343="","",'MASTER DATA'!B343)</f>
        <v>Synthetic Claimant 0342</v>
      </c>
      <c r="C4" t="str">
        <f>IF('MASTER DATA'!C343="","",'MASTER DATA'!C343)</f>
        <v>Claims Analyst H</v>
      </c>
      <c r="D4" t="str">
        <f>IF('MASTER DATA'!D343="","",'MASTER DATA'!D343)</f>
        <v>Synthetic Policyholder 122, LLC</v>
      </c>
      <c r="E4" s="15">
        <f>IF('MASTER DATA'!E343="","",'MASTER DATA'!E343)</f>
        <v>43765</v>
      </c>
      <c r="F4" s="16" t="str">
        <f>IF('MASTER DATA'!F343="","",'MASTER DATA'!F343)</f>
        <v>Y</v>
      </c>
      <c r="G4" s="17">
        <f>IF('MASTER DATA'!G343="","",'MASTER DATA'!G343)</f>
        <v>150000</v>
      </c>
      <c r="H4" s="16" t="str">
        <f>IF('MASTER DATA'!H343="","",'MASTER DATA'!H343)</f>
        <v>Synthetic Approver 01</v>
      </c>
      <c r="I4" s="15">
        <f>IF('MASTER DATA'!I343="","",'MASTER DATA'!I343)</f>
        <v>43971</v>
      </c>
      <c r="J4" s="16" t="str">
        <f>IF('MASTER DATA'!J343="","",'MASTER DATA'!J343)</f>
        <v>N</v>
      </c>
      <c r="K4" s="15" t="str">
        <f>IF('MASTER DATA'!K343="","",'MASTER DATA'!K343)</f>
        <v/>
      </c>
      <c r="L4" s="16" t="str">
        <f>IF('MASTER DATA'!L343="","",'MASTER DATA'!L343)</f>
        <v>N</v>
      </c>
      <c r="M4" s="16" t="str">
        <f>IF('MASTER DATA'!M343="","",'MASTER DATA'!M343)</f>
        <v>N</v>
      </c>
      <c r="N4" s="15" t="str">
        <f>IF('MASTER DATA'!N343="","",'MASTER DATA'!N343)</f>
        <v/>
      </c>
      <c r="O4" s="16" t="str">
        <f>IF('MASTER DATA'!O343="","",'MASTER DATA'!O343)</f>
        <v/>
      </c>
      <c r="P4" s="16" t="str">
        <f>IF('MASTER DATA'!P343="","",'MASTER DATA'!P343)</f>
        <v>N</v>
      </c>
      <c r="Q4" s="16" t="str">
        <f>IF('MASTER DATA'!Q343="","",'MASTER DATA'!Q343)</f>
        <v/>
      </c>
      <c r="R4" s="16" t="str">
        <f>IF('MASTER DATA'!R343="","",'MASTER DATA'!R343)</f>
        <v/>
      </c>
      <c r="S4" s="16" t="str">
        <f>IF('MASTER DATA'!S343="","",'MASTER DATA'!S343)</f>
        <v>N</v>
      </c>
      <c r="T4" s="15" t="str">
        <f>IF('MASTER DATA'!T343="","",'MASTER DATA'!T343)</f>
        <v/>
      </c>
      <c r="U4" s="16" t="str">
        <f>IF('MASTER DATA'!U343="","",'MASTER DATA'!U343)</f>
        <v>N</v>
      </c>
      <c r="V4" s="16" t="str">
        <f>IF('MASTER DATA'!V343="","",'MASTER DATA'!V343)</f>
        <v>N</v>
      </c>
      <c r="W4" s="16" t="str">
        <f>IF('MASTER DATA'!W343="","",'MASTER DATA'!W343)</f>
        <v>N</v>
      </c>
      <c r="X4" s="16" t="str">
        <f>IF('MASTER DATA'!X343="","",'MASTER DATA'!X343)</f>
        <v>N</v>
      </c>
      <c r="Y4" s="16" t="str">
        <f>IF('MASTER DATA'!Y343="","",'MASTER DATA'!Y343)</f>
        <v>N</v>
      </c>
      <c r="Z4" s="16" t="str">
        <f>IF('MASTER DATA'!Z343="","",'MASTER DATA'!Z343)</f>
        <v>N</v>
      </c>
      <c r="AA4" s="16">
        <f>IF('MASTER DATA'!AA343="","",'MASTER DATA'!AA343)</f>
        <v>1</v>
      </c>
      <c r="AB4" s="16" t="str">
        <f>IF('MASTER DATA'!AB343="","",'MASTER DATA'!AB343)</f>
        <v>SINGLE-SIGNAL</v>
      </c>
      <c r="AC4" s="16" t="str">
        <f>IF('MASTER DATA'!AC343="","",'MASTER DATA'!AC343)</f>
        <v>Settlement Authorization</v>
      </c>
    </row>
    <row r="5" spans="1:29" x14ac:dyDescent="0.45">
      <c r="A5" t="str">
        <f>IF('MASTER DATA'!A344="","",'MASTER DATA'!A344)</f>
        <v>SYN-CLM-0343</v>
      </c>
      <c r="B5" t="str">
        <f>IF('MASTER DATA'!B344="","",'MASTER DATA'!B344)</f>
        <v>Synthetic Claimant 0343</v>
      </c>
      <c r="C5" t="str">
        <f>IF('MASTER DATA'!C344="","",'MASTER DATA'!C344)</f>
        <v>Claims Analyst H</v>
      </c>
      <c r="D5" t="str">
        <f>IF('MASTER DATA'!D344="","",'MASTER DATA'!D344)</f>
        <v>Synthetic Policyholder 163, LLC</v>
      </c>
      <c r="E5" s="15">
        <f>IF('MASTER DATA'!E344="","",'MASTER DATA'!E344)</f>
        <v>44760</v>
      </c>
      <c r="F5" s="16" t="str">
        <f>IF('MASTER DATA'!F344="","",'MASTER DATA'!F344)</f>
        <v>N</v>
      </c>
      <c r="G5" s="17" t="str">
        <f>IF('MASTER DATA'!G344="","",'MASTER DATA'!G344)</f>
        <v/>
      </c>
      <c r="H5" s="16" t="str">
        <f>IF('MASTER DATA'!H344="","",'MASTER DATA'!H344)</f>
        <v/>
      </c>
      <c r="I5" s="15" t="str">
        <f>IF('MASTER DATA'!I344="","",'MASTER DATA'!I344)</f>
        <v/>
      </c>
      <c r="J5" s="16" t="str">
        <f>IF('MASTER DATA'!J344="","",'MASTER DATA'!J344)</f>
        <v>Y</v>
      </c>
      <c r="K5" s="15">
        <f>IF('MASTER DATA'!K344="","",'MASTER DATA'!K344)</f>
        <v>45719</v>
      </c>
      <c r="L5" s="16" t="str">
        <f>IF('MASTER DATA'!L344="","",'MASTER DATA'!L344)</f>
        <v>N</v>
      </c>
      <c r="M5" s="16" t="str">
        <f>IF('MASTER DATA'!M344="","",'MASTER DATA'!M344)</f>
        <v>N</v>
      </c>
      <c r="N5" s="15" t="str">
        <f>IF('MASTER DATA'!N344="","",'MASTER DATA'!N344)</f>
        <v/>
      </c>
      <c r="O5" s="16" t="str">
        <f>IF('MASTER DATA'!O344="","",'MASTER DATA'!O344)</f>
        <v/>
      </c>
      <c r="P5" s="16" t="str">
        <f>IF('MASTER DATA'!P344="","",'MASTER DATA'!P344)</f>
        <v>N</v>
      </c>
      <c r="Q5" s="16" t="str">
        <f>IF('MASTER DATA'!Q344="","",'MASTER DATA'!Q344)</f>
        <v/>
      </c>
      <c r="R5" s="16" t="str">
        <f>IF('MASTER DATA'!R344="","",'MASTER DATA'!R344)</f>
        <v/>
      </c>
      <c r="S5" s="16" t="str">
        <f>IF('MASTER DATA'!S344="","",'MASTER DATA'!S344)</f>
        <v>Y</v>
      </c>
      <c r="T5" s="15">
        <f>IF('MASTER DATA'!T344="","",'MASTER DATA'!T344)</f>
        <v>45472</v>
      </c>
      <c r="U5" s="16" t="str">
        <f>IF('MASTER DATA'!U344="","",'MASTER DATA'!U344)</f>
        <v>N</v>
      </c>
      <c r="V5" s="16" t="str">
        <f>IF('MASTER DATA'!V344="","",'MASTER DATA'!V344)</f>
        <v>N</v>
      </c>
      <c r="W5" s="16" t="str">
        <f>IF('MASTER DATA'!W344="","",'MASTER DATA'!W344)</f>
        <v>N</v>
      </c>
      <c r="X5" s="16" t="str">
        <f>IF('MASTER DATA'!X344="","",'MASTER DATA'!X344)</f>
        <v>N</v>
      </c>
      <c r="Y5" s="16" t="str">
        <f>IF('MASTER DATA'!Y344="","",'MASTER DATA'!Y344)</f>
        <v>N</v>
      </c>
      <c r="Z5" s="16" t="str">
        <f>IF('MASTER DATA'!Z344="","",'MASTER DATA'!Z344)</f>
        <v>N</v>
      </c>
      <c r="AA5" s="16">
        <f>IF('MASTER DATA'!AA344="","",'MASTER DATA'!AA344)</f>
        <v>2</v>
      </c>
      <c r="AB5" s="16" t="str">
        <f>IF('MASTER DATA'!AB344="","",'MASTER DATA'!AB344)</f>
        <v>MULTI-SIGNAL</v>
      </c>
      <c r="AC5" s="16" t="str">
        <f>IF('MASTER DATA'!AC344="","",'MASTER DATA'!AC344)</f>
        <v>Open Stipulation | Inactive Customer</v>
      </c>
    </row>
    <row r="6" spans="1:29" x14ac:dyDescent="0.45">
      <c r="A6" t="str">
        <f>IF('MASTER DATA'!A345="","",'MASTER DATA'!A345)</f>
        <v>SYN-CLM-0344</v>
      </c>
      <c r="B6" t="str">
        <f>IF('MASTER DATA'!B345="","",'MASTER DATA'!B345)</f>
        <v>Synthetic Claimant 0344</v>
      </c>
      <c r="C6" t="str">
        <f>IF('MASTER DATA'!C345="","",'MASTER DATA'!C345)</f>
        <v>Claims Analyst H</v>
      </c>
      <c r="D6" t="str">
        <f>IF('MASTER DATA'!D345="","",'MASTER DATA'!D345)</f>
        <v>Synthetic Policyholder 067, LLC</v>
      </c>
      <c r="E6" s="15">
        <f>IF('MASTER DATA'!E345="","",'MASTER DATA'!E345)</f>
        <v>44092</v>
      </c>
      <c r="F6" s="16" t="str">
        <f>IF('MASTER DATA'!F345="","",'MASTER DATA'!F345)</f>
        <v>Y</v>
      </c>
      <c r="G6" s="17">
        <f>IF('MASTER DATA'!G345="","",'MASTER DATA'!G345)</f>
        <v>133500</v>
      </c>
      <c r="H6" s="16" t="str">
        <f>IF('MASTER DATA'!H345="","",'MASTER DATA'!H345)</f>
        <v>Synthetic Approver 09</v>
      </c>
      <c r="I6" s="15">
        <f>IF('MASTER DATA'!I345="","",'MASTER DATA'!I345)</f>
        <v>45402</v>
      </c>
      <c r="J6" s="16" t="str">
        <f>IF('MASTER DATA'!J345="","",'MASTER DATA'!J345)</f>
        <v>N</v>
      </c>
      <c r="K6" s="15" t="str">
        <f>IF('MASTER DATA'!K345="","",'MASTER DATA'!K345)</f>
        <v/>
      </c>
      <c r="L6" s="16" t="str">
        <f>IF('MASTER DATA'!L345="","",'MASTER DATA'!L345)</f>
        <v>Y</v>
      </c>
      <c r="M6" s="16" t="str">
        <f>IF('MASTER DATA'!M345="","",'MASTER DATA'!M345)</f>
        <v>N</v>
      </c>
      <c r="N6" s="15" t="str">
        <f>IF('MASTER DATA'!N345="","",'MASTER DATA'!N345)</f>
        <v/>
      </c>
      <c r="O6" s="16" t="str">
        <f>IF('MASTER DATA'!O345="","",'MASTER DATA'!O345)</f>
        <v/>
      </c>
      <c r="P6" s="16" t="str">
        <f>IF('MASTER DATA'!P345="","",'MASTER DATA'!P345)</f>
        <v>Y</v>
      </c>
      <c r="Q6" s="16" t="str">
        <f>IF('MASTER DATA'!Q345="","",'MASTER DATA'!Q345)</f>
        <v>Surgery Requested</v>
      </c>
      <c r="R6" s="16" t="str">
        <f>IF('MASTER DATA'!R345="","",'MASTER DATA'!R345)</f>
        <v>Specialist Consultation Requested</v>
      </c>
      <c r="S6" s="16" t="str">
        <f>IF('MASTER DATA'!S345="","",'MASTER DATA'!S345)</f>
        <v>N</v>
      </c>
      <c r="T6" s="15" t="str">
        <f>IF('MASTER DATA'!T345="","",'MASTER DATA'!T345)</f>
        <v/>
      </c>
      <c r="U6" s="16" t="str">
        <f>IF('MASTER DATA'!U345="","",'MASTER DATA'!U345)</f>
        <v>Y</v>
      </c>
      <c r="V6" s="16" t="str">
        <f>IF('MASTER DATA'!V345="","",'MASTER DATA'!V345)</f>
        <v>N</v>
      </c>
      <c r="W6" s="16" t="str">
        <f>IF('MASTER DATA'!W345="","",'MASTER DATA'!W345)</f>
        <v>N</v>
      </c>
      <c r="X6" s="16" t="str">
        <f>IF('MASTER DATA'!X345="","",'MASTER DATA'!X345)</f>
        <v>Y</v>
      </c>
      <c r="Y6" s="16" t="str">
        <f>IF('MASTER DATA'!Y345="","",'MASTER DATA'!Y345)</f>
        <v>N</v>
      </c>
      <c r="Z6" s="16" t="str">
        <f>IF('MASTER DATA'!Z345="","",'MASTER DATA'!Z345)</f>
        <v>N</v>
      </c>
      <c r="AA6" s="16">
        <f>IF('MASTER DATA'!AA345="","",'MASTER DATA'!AA345)</f>
        <v>2</v>
      </c>
      <c r="AB6" s="16" t="str">
        <f>IF('MASTER DATA'!AB345="","",'MASTER DATA'!AB345)</f>
        <v>MULTI-SIGNAL</v>
      </c>
      <c r="AC6" s="16" t="str">
        <f>IF('MASTER DATA'!AC345="","",'MASTER DATA'!AC345)</f>
        <v>Settlement Authorization | Automated Claim Alert</v>
      </c>
    </row>
    <row r="7" spans="1:29" x14ac:dyDescent="0.45">
      <c r="A7" t="str">
        <f>IF('MASTER DATA'!A346="","",'MASTER DATA'!A346)</f>
        <v>SYN-CLM-0345</v>
      </c>
      <c r="B7" t="str">
        <f>IF('MASTER DATA'!B346="","",'MASTER DATA'!B346)</f>
        <v>Synthetic Claimant 0345</v>
      </c>
      <c r="C7" t="str">
        <f>IF('MASTER DATA'!C346="","",'MASTER DATA'!C346)</f>
        <v>Claims Analyst H</v>
      </c>
      <c r="D7" t="str">
        <f>IF('MASTER DATA'!D346="","",'MASTER DATA'!D346)</f>
        <v>Synthetic Policyholder 130, LLC</v>
      </c>
      <c r="E7" s="15">
        <f>IF('MASTER DATA'!E346="","",'MASTER DATA'!E346)</f>
        <v>43650</v>
      </c>
      <c r="F7" s="16" t="str">
        <f>IF('MASTER DATA'!F346="","",'MASTER DATA'!F346)</f>
        <v>Y</v>
      </c>
      <c r="G7" s="17">
        <f>IF('MASTER DATA'!G346="","",'MASTER DATA'!G346)</f>
        <v>45500</v>
      </c>
      <c r="H7" s="16" t="str">
        <f>IF('MASTER DATA'!H346="","",'MASTER DATA'!H346)</f>
        <v>Synthetic Approver 06</v>
      </c>
      <c r="I7" s="15">
        <f>IF('MASTER DATA'!I346="","",'MASTER DATA'!I346)</f>
        <v>44653</v>
      </c>
      <c r="J7" s="16" t="str">
        <f>IF('MASTER DATA'!J346="","",'MASTER DATA'!J346)</f>
        <v>N</v>
      </c>
      <c r="K7" s="15" t="str">
        <f>IF('MASTER DATA'!K346="","",'MASTER DATA'!K346)</f>
        <v/>
      </c>
      <c r="L7" s="16" t="str">
        <f>IF('MASTER DATA'!L346="","",'MASTER DATA'!L346)</f>
        <v>N</v>
      </c>
      <c r="M7" s="16" t="str">
        <f>IF('MASTER DATA'!M346="","",'MASTER DATA'!M346)</f>
        <v>N</v>
      </c>
      <c r="N7" s="15" t="str">
        <f>IF('MASTER DATA'!N346="","",'MASTER DATA'!N346)</f>
        <v/>
      </c>
      <c r="O7" s="16" t="str">
        <f>IF('MASTER DATA'!O346="","",'MASTER DATA'!O346)</f>
        <v/>
      </c>
      <c r="P7" s="16" t="str">
        <f>IF('MASTER DATA'!P346="","",'MASTER DATA'!P346)</f>
        <v>N</v>
      </c>
      <c r="Q7" s="16" t="str">
        <f>IF('MASTER DATA'!Q346="","",'MASTER DATA'!Q346)</f>
        <v/>
      </c>
      <c r="R7" s="16" t="str">
        <f>IF('MASTER DATA'!R346="","",'MASTER DATA'!R346)</f>
        <v/>
      </c>
      <c r="S7" s="16" t="str">
        <f>IF('MASTER DATA'!S346="","",'MASTER DATA'!S346)</f>
        <v>Y</v>
      </c>
      <c r="T7" s="15">
        <f>IF('MASTER DATA'!T346="","",'MASTER DATA'!T346)</f>
        <v>45833</v>
      </c>
      <c r="U7" s="16" t="str">
        <f>IF('MASTER DATA'!U346="","",'MASTER DATA'!U346)</f>
        <v>N</v>
      </c>
      <c r="V7" s="16" t="str">
        <f>IF('MASTER DATA'!V346="","",'MASTER DATA'!V346)</f>
        <v>N</v>
      </c>
      <c r="W7" s="16" t="str">
        <f>IF('MASTER DATA'!W346="","",'MASTER DATA'!W346)</f>
        <v>N</v>
      </c>
      <c r="X7" s="16" t="str">
        <f>IF('MASTER DATA'!X346="","",'MASTER DATA'!X346)</f>
        <v>N</v>
      </c>
      <c r="Y7" s="16" t="str">
        <f>IF('MASTER DATA'!Y346="","",'MASTER DATA'!Y346)</f>
        <v>N</v>
      </c>
      <c r="Z7" s="16" t="str">
        <f>IF('MASTER DATA'!Z346="","",'MASTER DATA'!Z346)</f>
        <v>N</v>
      </c>
      <c r="AA7" s="16">
        <f>IF('MASTER DATA'!AA346="","",'MASTER DATA'!AA346)</f>
        <v>2</v>
      </c>
      <c r="AB7" s="16" t="str">
        <f>IF('MASTER DATA'!AB346="","",'MASTER DATA'!AB346)</f>
        <v>MULTI-SIGNAL</v>
      </c>
      <c r="AC7" s="16" t="str">
        <f>IF('MASTER DATA'!AC346="","",'MASTER DATA'!AC346)</f>
        <v>Settlement Authorization | Inactive Customer</v>
      </c>
    </row>
    <row r="8" spans="1:29" x14ac:dyDescent="0.45">
      <c r="A8" t="str">
        <f>IF('MASTER DATA'!A347="","",'MASTER DATA'!A347)</f>
        <v>SYN-CLM-0346</v>
      </c>
      <c r="B8" t="str">
        <f>IF('MASTER DATA'!B347="","",'MASTER DATA'!B347)</f>
        <v>Synthetic Claimant 0346</v>
      </c>
      <c r="C8" t="str">
        <f>IF('MASTER DATA'!C347="","",'MASTER DATA'!C347)</f>
        <v>Claims Analyst H</v>
      </c>
      <c r="D8" t="str">
        <f>IF('MASTER DATA'!D347="","",'MASTER DATA'!D347)</f>
        <v>Synthetic Policyholder 013, LLC</v>
      </c>
      <c r="E8" s="15">
        <f>IF('MASTER DATA'!E347="","",'MASTER DATA'!E347)</f>
        <v>45390</v>
      </c>
      <c r="F8" s="16" t="str">
        <f>IF('MASTER DATA'!F347="","",'MASTER DATA'!F347)</f>
        <v>Y</v>
      </c>
      <c r="G8" s="17">
        <f>IF('MASTER DATA'!G347="","",'MASTER DATA'!G347)</f>
        <v>86000</v>
      </c>
      <c r="H8" s="16" t="str">
        <f>IF('MASTER DATA'!H347="","",'MASTER DATA'!H347)</f>
        <v>Synthetic Approver 10</v>
      </c>
      <c r="I8" s="15">
        <f>IF('MASTER DATA'!I347="","",'MASTER DATA'!I347)</f>
        <v>46340</v>
      </c>
      <c r="J8" s="16" t="str">
        <f>IF('MASTER DATA'!J347="","",'MASTER DATA'!J347)</f>
        <v>Y</v>
      </c>
      <c r="K8" s="15">
        <f>IF('MASTER DATA'!K347="","",'MASTER DATA'!K347)</f>
        <v>46777</v>
      </c>
      <c r="L8" s="16" t="str">
        <f>IF('MASTER DATA'!L347="","",'MASTER DATA'!L347)</f>
        <v>Y</v>
      </c>
      <c r="M8" s="16" t="str">
        <f>IF('MASTER DATA'!M347="","",'MASTER DATA'!M347)</f>
        <v>N</v>
      </c>
      <c r="N8" s="15" t="str">
        <f>IF('MASTER DATA'!N347="","",'MASTER DATA'!N347)</f>
        <v/>
      </c>
      <c r="O8" s="16" t="str">
        <f>IF('MASTER DATA'!O347="","",'MASTER DATA'!O347)</f>
        <v/>
      </c>
      <c r="P8" s="16" t="str">
        <f>IF('MASTER DATA'!P347="","",'MASTER DATA'!P347)</f>
        <v>N</v>
      </c>
      <c r="Q8" s="16" t="str">
        <f>IF('MASTER DATA'!Q347="","",'MASTER DATA'!Q347)</f>
        <v/>
      </c>
      <c r="R8" s="16" t="str">
        <f>IF('MASTER DATA'!R347="","",'MASTER DATA'!R347)</f>
        <v/>
      </c>
      <c r="S8" s="16" t="str">
        <f>IF('MASTER DATA'!S347="","",'MASTER DATA'!S347)</f>
        <v>N</v>
      </c>
      <c r="T8" s="15" t="str">
        <f>IF('MASTER DATA'!T347="","",'MASTER DATA'!T347)</f>
        <v/>
      </c>
      <c r="U8" s="16" t="str">
        <f>IF('MASTER DATA'!U347="","",'MASTER DATA'!U347)</f>
        <v>N</v>
      </c>
      <c r="V8" s="16" t="str">
        <f>IF('MASTER DATA'!V347="","",'MASTER DATA'!V347)</f>
        <v>N</v>
      </c>
      <c r="W8" s="16" t="str">
        <f>IF('MASTER DATA'!W347="","",'MASTER DATA'!W347)</f>
        <v>N</v>
      </c>
      <c r="X8" s="16" t="str">
        <f>IF('MASTER DATA'!X347="","",'MASTER DATA'!X347)</f>
        <v>N</v>
      </c>
      <c r="Y8" s="16" t="str">
        <f>IF('MASTER DATA'!Y347="","",'MASTER DATA'!Y347)</f>
        <v>N</v>
      </c>
      <c r="Z8" s="16" t="str">
        <f>IF('MASTER DATA'!Z347="","",'MASTER DATA'!Z347)</f>
        <v>N</v>
      </c>
      <c r="AA8" s="16">
        <f>IF('MASTER DATA'!AA347="","",'MASTER DATA'!AA347)</f>
        <v>2</v>
      </c>
      <c r="AB8" s="16" t="str">
        <f>IF('MASTER DATA'!AB347="","",'MASTER DATA'!AB347)</f>
        <v>MULTI-SIGNAL</v>
      </c>
      <c r="AC8" s="16" t="str">
        <f>IF('MASTER DATA'!AC347="","",'MASTER DATA'!AC347)</f>
        <v>Settlement Authorization | Open Stipulation</v>
      </c>
    </row>
    <row r="9" spans="1:29" x14ac:dyDescent="0.45">
      <c r="A9" t="str">
        <f>IF('MASTER DATA'!A348="","",'MASTER DATA'!A348)</f>
        <v>SYN-CLM-0347</v>
      </c>
      <c r="B9" t="str">
        <f>IF('MASTER DATA'!B348="","",'MASTER DATA'!B348)</f>
        <v>Synthetic Claimant 0347</v>
      </c>
      <c r="C9" t="str">
        <f>IF('MASTER DATA'!C348="","",'MASTER DATA'!C348)</f>
        <v>Claims Analyst H</v>
      </c>
      <c r="D9" t="str">
        <f>IF('MASTER DATA'!D348="","",'MASTER DATA'!D348)</f>
        <v>Synthetic Policyholder 163, LLC</v>
      </c>
      <c r="E9" s="15">
        <f>IF('MASTER DATA'!E348="","",'MASTER DATA'!E348)</f>
        <v>45930</v>
      </c>
      <c r="F9" s="16" t="str">
        <f>IF('MASTER DATA'!F348="","",'MASTER DATA'!F348)</f>
        <v>Y</v>
      </c>
      <c r="G9" s="17">
        <f>IF('MASTER DATA'!G348="","",'MASTER DATA'!G348)</f>
        <v>145750</v>
      </c>
      <c r="H9" s="16" t="str">
        <f>IF('MASTER DATA'!H348="","",'MASTER DATA'!H348)</f>
        <v>Synthetic Approver 01</v>
      </c>
      <c r="I9" s="15">
        <f>IF('MASTER DATA'!I348="","",'MASTER DATA'!I348)</f>
        <v>46378</v>
      </c>
      <c r="J9" s="16" t="str">
        <f>IF('MASTER DATA'!J348="","",'MASTER DATA'!J348)</f>
        <v>N</v>
      </c>
      <c r="K9" s="15" t="str">
        <f>IF('MASTER DATA'!K348="","",'MASTER DATA'!K348)</f>
        <v/>
      </c>
      <c r="L9" s="16" t="str">
        <f>IF('MASTER DATA'!L348="","",'MASTER DATA'!L348)</f>
        <v>N</v>
      </c>
      <c r="M9" s="16" t="str">
        <f>IF('MASTER DATA'!M348="","",'MASTER DATA'!M348)</f>
        <v>N</v>
      </c>
      <c r="N9" s="15" t="str">
        <f>IF('MASTER DATA'!N348="","",'MASTER DATA'!N348)</f>
        <v/>
      </c>
      <c r="O9" s="16" t="str">
        <f>IF('MASTER DATA'!O348="","",'MASTER DATA'!O348)</f>
        <v/>
      </c>
      <c r="P9" s="16" t="str">
        <f>IF('MASTER DATA'!P348="","",'MASTER DATA'!P348)</f>
        <v>N</v>
      </c>
      <c r="Q9" s="16" t="str">
        <f>IF('MASTER DATA'!Q348="","",'MASTER DATA'!Q348)</f>
        <v/>
      </c>
      <c r="R9" s="16" t="str">
        <f>IF('MASTER DATA'!R348="","",'MASTER DATA'!R348)</f>
        <v/>
      </c>
      <c r="S9" s="16" t="str">
        <f>IF('MASTER DATA'!S348="","",'MASTER DATA'!S348)</f>
        <v>Y</v>
      </c>
      <c r="T9" s="15">
        <f>IF('MASTER DATA'!T348="","",'MASTER DATA'!T348)</f>
        <v>46713</v>
      </c>
      <c r="U9" s="16" t="str">
        <f>IF('MASTER DATA'!U348="","",'MASTER DATA'!U348)</f>
        <v>N</v>
      </c>
      <c r="V9" s="16" t="str">
        <f>IF('MASTER DATA'!V348="","",'MASTER DATA'!V348)</f>
        <v>N</v>
      </c>
      <c r="W9" s="16" t="str">
        <f>IF('MASTER DATA'!W348="","",'MASTER DATA'!W348)</f>
        <v>N</v>
      </c>
      <c r="X9" s="16" t="str">
        <f>IF('MASTER DATA'!X348="","",'MASTER DATA'!X348)</f>
        <v>N</v>
      </c>
      <c r="Y9" s="16" t="str">
        <f>IF('MASTER DATA'!Y348="","",'MASTER DATA'!Y348)</f>
        <v>N</v>
      </c>
      <c r="Z9" s="16" t="str">
        <f>IF('MASTER DATA'!Z348="","",'MASTER DATA'!Z348)</f>
        <v>N</v>
      </c>
      <c r="AA9" s="16">
        <f>IF('MASTER DATA'!AA348="","",'MASTER DATA'!AA348)</f>
        <v>2</v>
      </c>
      <c r="AB9" s="16" t="str">
        <f>IF('MASTER DATA'!AB348="","",'MASTER DATA'!AB348)</f>
        <v>MULTI-SIGNAL</v>
      </c>
      <c r="AC9" s="16" t="str">
        <f>IF('MASTER DATA'!AC348="","",'MASTER DATA'!AC348)</f>
        <v>Settlement Authorization | Inactive Customer</v>
      </c>
    </row>
    <row r="10" spans="1:29" x14ac:dyDescent="0.45">
      <c r="A10" t="str">
        <f>IF('MASTER DATA'!A349="","",'MASTER DATA'!A349)</f>
        <v>SYN-CLM-0348</v>
      </c>
      <c r="B10" t="str">
        <f>IF('MASTER DATA'!B349="","",'MASTER DATA'!B349)</f>
        <v>Synthetic Claimant 0348</v>
      </c>
      <c r="C10" t="str">
        <f>IF('MASTER DATA'!C349="","",'MASTER DATA'!C349)</f>
        <v>Claims Analyst H</v>
      </c>
      <c r="D10" t="str">
        <f>IF('MASTER DATA'!D349="","",'MASTER DATA'!D349)</f>
        <v>Synthetic Policyholder 174, LLC</v>
      </c>
      <c r="E10" s="15">
        <f>IF('MASTER DATA'!E349="","",'MASTER DATA'!E349)</f>
        <v>45890</v>
      </c>
      <c r="F10" s="16" t="str">
        <f>IF('MASTER DATA'!F349="","",'MASTER DATA'!F349)</f>
        <v>Y</v>
      </c>
      <c r="G10" s="17">
        <f>IF('MASTER DATA'!G349="","",'MASTER DATA'!G349)</f>
        <v>88500</v>
      </c>
      <c r="H10" s="16" t="str">
        <f>IF('MASTER DATA'!H349="","",'MASTER DATA'!H349)</f>
        <v>Synthetic Approver 01</v>
      </c>
      <c r="I10" s="15">
        <f>IF('MASTER DATA'!I349="","",'MASTER DATA'!I349)</f>
        <v>46346</v>
      </c>
      <c r="J10" s="16" t="str">
        <f>IF('MASTER DATA'!J349="","",'MASTER DATA'!J349)</f>
        <v>N</v>
      </c>
      <c r="K10" s="15" t="str">
        <f>IF('MASTER DATA'!K349="","",'MASTER DATA'!K349)</f>
        <v/>
      </c>
      <c r="L10" s="16" t="str">
        <f>IF('MASTER DATA'!L349="","",'MASTER DATA'!L349)</f>
        <v>N</v>
      </c>
      <c r="M10" s="16" t="str">
        <f>IF('MASTER DATA'!M349="","",'MASTER DATA'!M349)</f>
        <v>N</v>
      </c>
      <c r="N10" s="15" t="str">
        <f>IF('MASTER DATA'!N349="","",'MASTER DATA'!N349)</f>
        <v/>
      </c>
      <c r="O10" s="16" t="str">
        <f>IF('MASTER DATA'!O349="","",'MASTER DATA'!O349)</f>
        <v/>
      </c>
      <c r="P10" s="16" t="str">
        <f>IF('MASTER DATA'!P349="","",'MASTER DATA'!P349)</f>
        <v>N</v>
      </c>
      <c r="Q10" s="16" t="str">
        <f>IF('MASTER DATA'!Q349="","",'MASTER DATA'!Q349)</f>
        <v/>
      </c>
      <c r="R10" s="16" t="str">
        <f>IF('MASTER DATA'!R349="","",'MASTER DATA'!R349)</f>
        <v/>
      </c>
      <c r="S10" s="16" t="str">
        <f>IF('MASTER DATA'!S349="","",'MASTER DATA'!S349)</f>
        <v>N</v>
      </c>
      <c r="T10" s="15" t="str">
        <f>IF('MASTER DATA'!T349="","",'MASTER DATA'!T349)</f>
        <v/>
      </c>
      <c r="U10" s="16" t="str">
        <f>IF('MASTER DATA'!U349="","",'MASTER DATA'!U349)</f>
        <v>N</v>
      </c>
      <c r="V10" s="16" t="str">
        <f>IF('MASTER DATA'!V349="","",'MASTER DATA'!V349)</f>
        <v>N</v>
      </c>
      <c r="W10" s="16" t="str">
        <f>IF('MASTER DATA'!W349="","",'MASTER DATA'!W349)</f>
        <v>N</v>
      </c>
      <c r="X10" s="16" t="str">
        <f>IF('MASTER DATA'!X349="","",'MASTER DATA'!X349)</f>
        <v>N</v>
      </c>
      <c r="Y10" s="16" t="str">
        <f>IF('MASTER DATA'!Y349="","",'MASTER DATA'!Y349)</f>
        <v>N</v>
      </c>
      <c r="Z10" s="16" t="str">
        <f>IF('MASTER DATA'!Z349="","",'MASTER DATA'!Z349)</f>
        <v>N</v>
      </c>
      <c r="AA10" s="16">
        <f>IF('MASTER DATA'!AA349="","",'MASTER DATA'!AA349)</f>
        <v>1</v>
      </c>
      <c r="AB10" s="16" t="str">
        <f>IF('MASTER DATA'!AB349="","",'MASTER DATA'!AB349)</f>
        <v>SINGLE-SIGNAL</v>
      </c>
      <c r="AC10" s="16" t="str">
        <f>IF('MASTER DATA'!AC349="","",'MASTER DATA'!AC349)</f>
        <v>Settlement Authorization</v>
      </c>
    </row>
    <row r="11" spans="1:29" x14ac:dyDescent="0.45">
      <c r="A11" t="str">
        <f>IF('MASTER DATA'!A350="","",'MASTER DATA'!A350)</f>
        <v>SYN-CLM-0349</v>
      </c>
      <c r="B11" t="str">
        <f>IF('MASTER DATA'!B350="","",'MASTER DATA'!B350)</f>
        <v>Synthetic Claimant 0349</v>
      </c>
      <c r="C11" t="str">
        <f>IF('MASTER DATA'!C350="","",'MASTER DATA'!C350)</f>
        <v>Claims Analyst H</v>
      </c>
      <c r="D11" t="str">
        <f>IF('MASTER DATA'!D350="","",'MASTER DATA'!D350)</f>
        <v>Synthetic Policyholder 075, LLC</v>
      </c>
      <c r="E11" s="15">
        <f>IF('MASTER DATA'!E350="","",'MASTER DATA'!E350)</f>
        <v>45739</v>
      </c>
      <c r="F11" s="16" t="str">
        <f>IF('MASTER DATA'!F350="","",'MASTER DATA'!F350)</f>
        <v>Y</v>
      </c>
      <c r="G11" s="17">
        <f>IF('MASTER DATA'!G350="","",'MASTER DATA'!G350)</f>
        <v>35500</v>
      </c>
      <c r="H11" s="16" t="str">
        <f>IF('MASTER DATA'!H350="","",'MASTER DATA'!H350)</f>
        <v>Synthetic Approver 03</v>
      </c>
      <c r="I11" s="15">
        <f>IF('MASTER DATA'!I350="","",'MASTER DATA'!I350)</f>
        <v>46367</v>
      </c>
      <c r="J11" s="16" t="str">
        <f>IF('MASTER DATA'!J350="","",'MASTER DATA'!J350)</f>
        <v>Y</v>
      </c>
      <c r="K11" s="15">
        <f>IF('MASTER DATA'!K350="","",'MASTER DATA'!K350)</f>
        <v>46135</v>
      </c>
      <c r="L11" s="16" t="str">
        <f>IF('MASTER DATA'!L350="","",'MASTER DATA'!L350)</f>
        <v>N</v>
      </c>
      <c r="M11" s="16" t="str">
        <f>IF('MASTER DATA'!M350="","",'MASTER DATA'!M350)</f>
        <v>N</v>
      </c>
      <c r="N11" s="15" t="str">
        <f>IF('MASTER DATA'!N350="","",'MASTER DATA'!N350)</f>
        <v/>
      </c>
      <c r="O11" s="16" t="str">
        <f>IF('MASTER DATA'!O350="","",'MASTER DATA'!O350)</f>
        <v/>
      </c>
      <c r="P11" s="16" t="str">
        <f>IF('MASTER DATA'!P350="","",'MASTER DATA'!P350)</f>
        <v>N</v>
      </c>
      <c r="Q11" s="16" t="str">
        <f>IF('MASTER DATA'!Q350="","",'MASTER DATA'!Q350)</f>
        <v/>
      </c>
      <c r="R11" s="16" t="str">
        <f>IF('MASTER DATA'!R350="","",'MASTER DATA'!R350)</f>
        <v/>
      </c>
      <c r="S11" s="16" t="str">
        <f>IF('MASTER DATA'!S350="","",'MASTER DATA'!S350)</f>
        <v>N</v>
      </c>
      <c r="T11" s="15" t="str">
        <f>IF('MASTER DATA'!T350="","",'MASTER DATA'!T350)</f>
        <v/>
      </c>
      <c r="U11" s="16" t="str">
        <f>IF('MASTER DATA'!U350="","",'MASTER DATA'!U350)</f>
        <v>N</v>
      </c>
      <c r="V11" s="16" t="str">
        <f>IF('MASTER DATA'!V350="","",'MASTER DATA'!V350)</f>
        <v>N</v>
      </c>
      <c r="W11" s="16" t="str">
        <f>IF('MASTER DATA'!W350="","",'MASTER DATA'!W350)</f>
        <v>N</v>
      </c>
      <c r="X11" s="16" t="str">
        <f>IF('MASTER DATA'!X350="","",'MASTER DATA'!X350)</f>
        <v>N</v>
      </c>
      <c r="Y11" s="16" t="str">
        <f>IF('MASTER DATA'!Y350="","",'MASTER DATA'!Y350)</f>
        <v>N</v>
      </c>
      <c r="Z11" s="16" t="str">
        <f>IF('MASTER DATA'!Z350="","",'MASTER DATA'!Z350)</f>
        <v>N</v>
      </c>
      <c r="AA11" s="16">
        <f>IF('MASTER DATA'!AA350="","",'MASTER DATA'!AA350)</f>
        <v>2</v>
      </c>
      <c r="AB11" s="16" t="str">
        <f>IF('MASTER DATA'!AB350="","",'MASTER DATA'!AB350)</f>
        <v>MULTI-SIGNAL</v>
      </c>
      <c r="AC11" s="16" t="str">
        <f>IF('MASTER DATA'!AC350="","",'MASTER DATA'!AC350)</f>
        <v>Settlement Authorization | Open Stipulation</v>
      </c>
    </row>
    <row r="12" spans="1:29" x14ac:dyDescent="0.45">
      <c r="A12" t="str">
        <f>IF('MASTER DATA'!A351="","",'MASTER DATA'!A351)</f>
        <v>SYN-CLM-0350</v>
      </c>
      <c r="B12" t="str">
        <f>IF('MASTER DATA'!B351="","",'MASTER DATA'!B351)</f>
        <v>Synthetic Claimant 0350</v>
      </c>
      <c r="C12" t="str">
        <f>IF('MASTER DATA'!C351="","",'MASTER DATA'!C351)</f>
        <v>Claims Analyst H</v>
      </c>
      <c r="D12" t="str">
        <f>IF('MASTER DATA'!D351="","",'MASTER DATA'!D351)</f>
        <v>Synthetic Policyholder 002, LLC</v>
      </c>
      <c r="E12" s="15">
        <f>IF('MASTER DATA'!E351="","",'MASTER DATA'!E351)</f>
        <v>45747</v>
      </c>
      <c r="F12" s="16" t="str">
        <f>IF('MASTER DATA'!F351="","",'MASTER DATA'!F351)</f>
        <v>N</v>
      </c>
      <c r="G12" s="17" t="str">
        <f>IF('MASTER DATA'!G351="","",'MASTER DATA'!G351)</f>
        <v/>
      </c>
      <c r="H12" s="16" t="str">
        <f>IF('MASTER DATA'!H351="","",'MASTER DATA'!H351)</f>
        <v/>
      </c>
      <c r="I12" s="15" t="str">
        <f>IF('MASTER DATA'!I351="","",'MASTER DATA'!I351)</f>
        <v/>
      </c>
      <c r="J12" s="16" t="str">
        <f>IF('MASTER DATA'!J351="","",'MASTER DATA'!J351)</f>
        <v>N</v>
      </c>
      <c r="K12" s="15" t="str">
        <f>IF('MASTER DATA'!K351="","",'MASTER DATA'!K351)</f>
        <v/>
      </c>
      <c r="L12" s="16" t="str">
        <f>IF('MASTER DATA'!L351="","",'MASTER DATA'!L351)</f>
        <v/>
      </c>
      <c r="M12" s="16" t="str">
        <f>IF('MASTER DATA'!M351="","",'MASTER DATA'!M351)</f>
        <v>Y</v>
      </c>
      <c r="N12" s="15">
        <f>IF('MASTER DATA'!N351="","",'MASTER DATA'!N351)</f>
        <v>47402</v>
      </c>
      <c r="O12" s="16" t="str">
        <f>IF('MASTER DATA'!O351="","",'MASTER DATA'!O351)</f>
        <v>Synthetic QME Evaluator 26</v>
      </c>
      <c r="P12" s="16" t="str">
        <f>IF('MASTER DATA'!P351="","",'MASTER DATA'!P351)</f>
        <v>N</v>
      </c>
      <c r="Q12" s="16" t="str">
        <f>IF('MASTER DATA'!Q351="","",'MASTER DATA'!Q351)</f>
        <v/>
      </c>
      <c r="R12" s="16" t="str">
        <f>IF('MASTER DATA'!R351="","",'MASTER DATA'!R351)</f>
        <v/>
      </c>
      <c r="S12" s="16" t="str">
        <f>IF('MASTER DATA'!S351="","",'MASTER DATA'!S351)</f>
        <v>N</v>
      </c>
      <c r="T12" s="15" t="str">
        <f>IF('MASTER DATA'!T351="","",'MASTER DATA'!T351)</f>
        <v/>
      </c>
      <c r="U12" s="16" t="str">
        <f>IF('MASTER DATA'!U351="","",'MASTER DATA'!U351)</f>
        <v>N</v>
      </c>
      <c r="V12" s="16" t="str">
        <f>IF('MASTER DATA'!V351="","",'MASTER DATA'!V351)</f>
        <v>N</v>
      </c>
      <c r="W12" s="16" t="str">
        <f>IF('MASTER DATA'!W351="","",'MASTER DATA'!W351)</f>
        <v>N</v>
      </c>
      <c r="X12" s="16" t="str">
        <f>IF('MASTER DATA'!X351="","",'MASTER DATA'!X351)</f>
        <v>N</v>
      </c>
      <c r="Y12" s="16" t="str">
        <f>IF('MASTER DATA'!Y351="","",'MASTER DATA'!Y351)</f>
        <v>N</v>
      </c>
      <c r="Z12" s="16" t="str">
        <f>IF('MASTER DATA'!Z351="","",'MASTER DATA'!Z351)</f>
        <v>N</v>
      </c>
      <c r="AA12" s="16">
        <f>IF('MASTER DATA'!AA351="","",'MASTER DATA'!AA351)</f>
        <v>1</v>
      </c>
      <c r="AB12" s="16" t="str">
        <f>IF('MASTER DATA'!AB351="","",'MASTER DATA'!AB351)</f>
        <v>SINGLE-SIGNAL</v>
      </c>
      <c r="AC12" s="16" t="str">
        <f>IF('MASTER DATA'!AC351="","",'MASTER DATA'!AC351)</f>
        <v>Pending QME</v>
      </c>
    </row>
    <row r="13" spans="1:29" x14ac:dyDescent="0.45">
      <c r="A13" t="str">
        <f>IF('MASTER DATA'!A352="","",'MASTER DATA'!A352)</f>
        <v>SYN-CLM-0351</v>
      </c>
      <c r="B13" t="str">
        <f>IF('MASTER DATA'!B352="","",'MASTER DATA'!B352)</f>
        <v>Synthetic Claimant 0351</v>
      </c>
      <c r="C13" t="str">
        <f>IF('MASTER DATA'!C352="","",'MASTER DATA'!C352)</f>
        <v>Claims Analyst H</v>
      </c>
      <c r="D13" t="str">
        <f>IF('MASTER DATA'!D352="","",'MASTER DATA'!D352)</f>
        <v>Synthetic Policyholder 056, LLC</v>
      </c>
      <c r="E13" s="15">
        <f>IF('MASTER DATA'!E352="","",'MASTER DATA'!E352)</f>
        <v>43905</v>
      </c>
      <c r="F13" s="16" t="str">
        <f>IF('MASTER DATA'!F352="","",'MASTER DATA'!F352)</f>
        <v>N</v>
      </c>
      <c r="G13" s="17" t="str">
        <f>IF('MASTER DATA'!G352="","",'MASTER DATA'!G352)</f>
        <v/>
      </c>
      <c r="H13" s="16" t="str">
        <f>IF('MASTER DATA'!H352="","",'MASTER DATA'!H352)</f>
        <v/>
      </c>
      <c r="I13" s="15" t="str">
        <f>IF('MASTER DATA'!I352="","",'MASTER DATA'!I352)</f>
        <v/>
      </c>
      <c r="J13" s="16" t="str">
        <f>IF('MASTER DATA'!J352="","",'MASTER DATA'!J352)</f>
        <v>N</v>
      </c>
      <c r="K13" s="15" t="str">
        <f>IF('MASTER DATA'!K352="","",'MASTER DATA'!K352)</f>
        <v/>
      </c>
      <c r="L13" s="16" t="str">
        <f>IF('MASTER DATA'!L352="","",'MASTER DATA'!L352)</f>
        <v/>
      </c>
      <c r="M13" s="16" t="str">
        <f>IF('MASTER DATA'!M352="","",'MASTER DATA'!M352)</f>
        <v>N</v>
      </c>
      <c r="N13" s="15" t="str">
        <f>IF('MASTER DATA'!N352="","",'MASTER DATA'!N352)</f>
        <v/>
      </c>
      <c r="O13" s="16" t="str">
        <f>IF('MASTER DATA'!O352="","",'MASTER DATA'!O352)</f>
        <v/>
      </c>
      <c r="P13" s="16" t="str">
        <f>IF('MASTER DATA'!P352="","",'MASTER DATA'!P352)</f>
        <v>Y</v>
      </c>
      <c r="Q13" s="16" t="str">
        <f>IF('MASTER DATA'!Q352="","",'MASTER DATA'!Q352)</f>
        <v>MMI Date Reported</v>
      </c>
      <c r="R13" s="16" t="str">
        <f>IF('MASTER DATA'!R352="","",'MASTER DATA'!R352)</f>
        <v>Surgery Requested</v>
      </c>
      <c r="S13" s="16" t="str">
        <f>IF('MASTER DATA'!S352="","",'MASTER DATA'!S352)</f>
        <v>N</v>
      </c>
      <c r="T13" s="15" t="str">
        <f>IF('MASTER DATA'!T352="","",'MASTER DATA'!T352)</f>
        <v/>
      </c>
      <c r="U13" s="16" t="str">
        <f>IF('MASTER DATA'!U352="","",'MASTER DATA'!U352)</f>
        <v>Y</v>
      </c>
      <c r="V13" s="16" t="str">
        <f>IF('MASTER DATA'!V352="","",'MASTER DATA'!V352)</f>
        <v>Y</v>
      </c>
      <c r="W13" s="16" t="str">
        <f>IF('MASTER DATA'!W352="","",'MASTER DATA'!W352)</f>
        <v>N</v>
      </c>
      <c r="X13" s="16" t="str">
        <f>IF('MASTER DATA'!X352="","",'MASTER DATA'!X352)</f>
        <v>N</v>
      </c>
      <c r="Y13" s="16" t="str">
        <f>IF('MASTER DATA'!Y352="","",'MASTER DATA'!Y352)</f>
        <v>N</v>
      </c>
      <c r="Z13" s="16" t="str">
        <f>IF('MASTER DATA'!Z352="","",'MASTER DATA'!Z352)</f>
        <v>N</v>
      </c>
      <c r="AA13" s="16">
        <f>IF('MASTER DATA'!AA352="","",'MASTER DATA'!AA352)</f>
        <v>1</v>
      </c>
      <c r="AB13" s="16" t="str">
        <f>IF('MASTER DATA'!AB352="","",'MASTER DATA'!AB352)</f>
        <v>SINGLE-SIGNAL</v>
      </c>
      <c r="AC13" s="16" t="str">
        <f>IF('MASTER DATA'!AC352="","",'MASTER DATA'!AC352)</f>
        <v>Automated Claim Alert</v>
      </c>
    </row>
    <row r="14" spans="1:29" x14ac:dyDescent="0.45">
      <c r="A14" t="str">
        <f>IF('MASTER DATA'!A353="","",'MASTER DATA'!A353)</f>
        <v>SYN-CLM-0352</v>
      </c>
      <c r="B14" t="str">
        <f>IF('MASTER DATA'!B353="","",'MASTER DATA'!B353)</f>
        <v>Synthetic Claimant 0352</v>
      </c>
      <c r="C14" t="str">
        <f>IF('MASTER DATA'!C353="","",'MASTER DATA'!C353)</f>
        <v>Claims Analyst H</v>
      </c>
      <c r="D14" t="str">
        <f>IF('MASTER DATA'!D353="","",'MASTER DATA'!D353)</f>
        <v>Synthetic Policyholder 175, LLC</v>
      </c>
      <c r="E14" s="15">
        <f>IF('MASTER DATA'!E353="","",'MASTER DATA'!E353)</f>
        <v>43684</v>
      </c>
      <c r="F14" s="16" t="str">
        <f>IF('MASTER DATA'!F353="","",'MASTER DATA'!F353)</f>
        <v>N</v>
      </c>
      <c r="G14" s="17" t="str">
        <f>IF('MASTER DATA'!G353="","",'MASTER DATA'!G353)</f>
        <v/>
      </c>
      <c r="H14" s="16" t="str">
        <f>IF('MASTER DATA'!H353="","",'MASTER DATA'!H353)</f>
        <v/>
      </c>
      <c r="I14" s="15" t="str">
        <f>IF('MASTER DATA'!I353="","",'MASTER DATA'!I353)</f>
        <v/>
      </c>
      <c r="J14" s="16" t="str">
        <f>IF('MASTER DATA'!J353="","",'MASTER DATA'!J353)</f>
        <v>N</v>
      </c>
      <c r="K14" s="15" t="str">
        <f>IF('MASTER DATA'!K353="","",'MASTER DATA'!K353)</f>
        <v/>
      </c>
      <c r="L14" s="16" t="str">
        <f>IF('MASTER DATA'!L353="","",'MASTER DATA'!L353)</f>
        <v/>
      </c>
      <c r="M14" s="16" t="str">
        <f>IF('MASTER DATA'!M353="","",'MASTER DATA'!M353)</f>
        <v>N</v>
      </c>
      <c r="N14" s="15" t="str">
        <f>IF('MASTER DATA'!N353="","",'MASTER DATA'!N353)</f>
        <v/>
      </c>
      <c r="O14" s="16" t="str">
        <f>IF('MASTER DATA'!O353="","",'MASTER DATA'!O353)</f>
        <v/>
      </c>
      <c r="P14" s="16" t="str">
        <f>IF('MASTER DATA'!P353="","",'MASTER DATA'!P353)</f>
        <v>N</v>
      </c>
      <c r="Q14" s="16" t="str">
        <f>IF('MASTER DATA'!Q353="","",'MASTER DATA'!Q353)</f>
        <v/>
      </c>
      <c r="R14" s="16" t="str">
        <f>IF('MASTER DATA'!R353="","",'MASTER DATA'!R353)</f>
        <v/>
      </c>
      <c r="S14" s="16" t="str">
        <f>IF('MASTER DATA'!S353="","",'MASTER DATA'!S353)</f>
        <v>Y</v>
      </c>
      <c r="T14" s="15">
        <f>IF('MASTER DATA'!T353="","",'MASTER DATA'!T353)</f>
        <v>44352</v>
      </c>
      <c r="U14" s="16" t="str">
        <f>IF('MASTER DATA'!U353="","",'MASTER DATA'!U353)</f>
        <v>N</v>
      </c>
      <c r="V14" s="16" t="str">
        <f>IF('MASTER DATA'!V353="","",'MASTER DATA'!V353)</f>
        <v>N</v>
      </c>
      <c r="W14" s="16" t="str">
        <f>IF('MASTER DATA'!W353="","",'MASTER DATA'!W353)</f>
        <v>N</v>
      </c>
      <c r="X14" s="16" t="str">
        <f>IF('MASTER DATA'!X353="","",'MASTER DATA'!X353)</f>
        <v>N</v>
      </c>
      <c r="Y14" s="16" t="str">
        <f>IF('MASTER DATA'!Y353="","",'MASTER DATA'!Y353)</f>
        <v>N</v>
      </c>
      <c r="Z14" s="16" t="str">
        <f>IF('MASTER DATA'!Z353="","",'MASTER DATA'!Z353)</f>
        <v>N</v>
      </c>
      <c r="AA14" s="16">
        <f>IF('MASTER DATA'!AA353="","",'MASTER DATA'!AA353)</f>
        <v>1</v>
      </c>
      <c r="AB14" s="16" t="str">
        <f>IF('MASTER DATA'!AB353="","",'MASTER DATA'!AB353)</f>
        <v>SINGLE-SIGNAL</v>
      </c>
      <c r="AC14" s="16" t="str">
        <f>IF('MASTER DATA'!AC353="","",'MASTER DATA'!AC353)</f>
        <v>Inactive Customer</v>
      </c>
    </row>
    <row r="15" spans="1:29" x14ac:dyDescent="0.45">
      <c r="A15" t="str">
        <f>IF('MASTER DATA'!A354="","",'MASTER DATA'!A354)</f>
        <v>SYN-CLM-0353</v>
      </c>
      <c r="B15" t="str">
        <f>IF('MASTER DATA'!B354="","",'MASTER DATA'!B354)</f>
        <v>Synthetic Claimant 0353</v>
      </c>
      <c r="C15" t="str">
        <f>IF('MASTER DATA'!C354="","",'MASTER DATA'!C354)</f>
        <v>Claims Analyst H</v>
      </c>
      <c r="D15" t="str">
        <f>IF('MASTER DATA'!D354="","",'MASTER DATA'!D354)</f>
        <v>Synthetic Policyholder 152, LLC</v>
      </c>
      <c r="E15" s="15">
        <f>IF('MASTER DATA'!E354="","",'MASTER DATA'!E354)</f>
        <v>45150</v>
      </c>
      <c r="F15" s="16" t="str">
        <f>IF('MASTER DATA'!F354="","",'MASTER DATA'!F354)</f>
        <v>Y</v>
      </c>
      <c r="G15" s="17">
        <f>IF('MASTER DATA'!G354="","",'MASTER DATA'!G354)</f>
        <v>86500</v>
      </c>
      <c r="H15" s="16" t="str">
        <f>IF('MASTER DATA'!H354="","",'MASTER DATA'!H354)</f>
        <v>Synthetic Approver 08</v>
      </c>
      <c r="I15" s="15">
        <f>IF('MASTER DATA'!I354="","",'MASTER DATA'!I354)</f>
        <v>46907</v>
      </c>
      <c r="J15" s="16" t="str">
        <f>IF('MASTER DATA'!J354="","",'MASTER DATA'!J354)</f>
        <v>N</v>
      </c>
      <c r="K15" s="15" t="str">
        <f>IF('MASTER DATA'!K354="","",'MASTER DATA'!K354)</f>
        <v/>
      </c>
      <c r="L15" s="16" t="str">
        <f>IF('MASTER DATA'!L354="","",'MASTER DATA'!L354)</f>
        <v>N</v>
      </c>
      <c r="M15" s="16" t="str">
        <f>IF('MASTER DATA'!M354="","",'MASTER DATA'!M354)</f>
        <v>N</v>
      </c>
      <c r="N15" s="15" t="str">
        <f>IF('MASTER DATA'!N354="","",'MASTER DATA'!N354)</f>
        <v/>
      </c>
      <c r="O15" s="16" t="str">
        <f>IF('MASTER DATA'!O354="","",'MASTER DATA'!O354)</f>
        <v/>
      </c>
      <c r="P15" s="16" t="str">
        <f>IF('MASTER DATA'!P354="","",'MASTER DATA'!P354)</f>
        <v>N</v>
      </c>
      <c r="Q15" s="16" t="str">
        <f>IF('MASTER DATA'!Q354="","",'MASTER DATA'!Q354)</f>
        <v/>
      </c>
      <c r="R15" s="16" t="str">
        <f>IF('MASTER DATA'!R354="","",'MASTER DATA'!R354)</f>
        <v/>
      </c>
      <c r="S15" s="16" t="str">
        <f>IF('MASTER DATA'!S354="","",'MASTER DATA'!S354)</f>
        <v>N</v>
      </c>
      <c r="T15" s="15" t="str">
        <f>IF('MASTER DATA'!T354="","",'MASTER DATA'!T354)</f>
        <v/>
      </c>
      <c r="U15" s="16" t="str">
        <f>IF('MASTER DATA'!U354="","",'MASTER DATA'!U354)</f>
        <v>N</v>
      </c>
      <c r="V15" s="16" t="str">
        <f>IF('MASTER DATA'!V354="","",'MASTER DATA'!V354)</f>
        <v>N</v>
      </c>
      <c r="W15" s="16" t="str">
        <f>IF('MASTER DATA'!W354="","",'MASTER DATA'!W354)</f>
        <v>N</v>
      </c>
      <c r="X15" s="16" t="str">
        <f>IF('MASTER DATA'!X354="","",'MASTER DATA'!X354)</f>
        <v>N</v>
      </c>
      <c r="Y15" s="16" t="str">
        <f>IF('MASTER DATA'!Y354="","",'MASTER DATA'!Y354)</f>
        <v>N</v>
      </c>
      <c r="Z15" s="16" t="str">
        <f>IF('MASTER DATA'!Z354="","",'MASTER DATA'!Z354)</f>
        <v>N</v>
      </c>
      <c r="AA15" s="16">
        <f>IF('MASTER DATA'!AA354="","",'MASTER DATA'!AA354)</f>
        <v>1</v>
      </c>
      <c r="AB15" s="16" t="str">
        <f>IF('MASTER DATA'!AB354="","",'MASTER DATA'!AB354)</f>
        <v>SINGLE-SIGNAL</v>
      </c>
      <c r="AC15" s="16" t="str">
        <f>IF('MASTER DATA'!AC354="","",'MASTER DATA'!AC354)</f>
        <v>Settlement Authorization</v>
      </c>
    </row>
    <row r="16" spans="1:29" x14ac:dyDescent="0.45">
      <c r="A16" t="str">
        <f>IF('MASTER DATA'!A355="","",'MASTER DATA'!A355)</f>
        <v>SYN-CLM-0354</v>
      </c>
      <c r="B16" t="str">
        <f>IF('MASTER DATA'!B355="","",'MASTER DATA'!B355)</f>
        <v>Synthetic Claimant 0354</v>
      </c>
      <c r="C16" t="str">
        <f>IF('MASTER DATA'!C355="","",'MASTER DATA'!C355)</f>
        <v>Claims Analyst H</v>
      </c>
      <c r="D16" t="str">
        <f>IF('MASTER DATA'!D355="","",'MASTER DATA'!D355)</f>
        <v>Synthetic Policyholder 030, LLC</v>
      </c>
      <c r="E16" s="15">
        <f>IF('MASTER DATA'!E355="","",'MASTER DATA'!E355)</f>
        <v>44667</v>
      </c>
      <c r="F16" s="16" t="str">
        <f>IF('MASTER DATA'!F355="","",'MASTER DATA'!F355)</f>
        <v>Y</v>
      </c>
      <c r="G16" s="17">
        <f>IF('MASTER DATA'!G355="","",'MASTER DATA'!G355)</f>
        <v>1500</v>
      </c>
      <c r="H16" s="16" t="str">
        <f>IF('MASTER DATA'!H355="","",'MASTER DATA'!H355)</f>
        <v>Synthetic Approver 01</v>
      </c>
      <c r="I16" s="15">
        <f>IF('MASTER DATA'!I355="","",'MASTER DATA'!I355)</f>
        <v>46200</v>
      </c>
      <c r="J16" s="16" t="str">
        <f>IF('MASTER DATA'!J355="","",'MASTER DATA'!J355)</f>
        <v>N</v>
      </c>
      <c r="K16" s="15" t="str">
        <f>IF('MASTER DATA'!K355="","",'MASTER DATA'!K355)</f>
        <v/>
      </c>
      <c r="L16" s="16" t="str">
        <f>IF('MASTER DATA'!L355="","",'MASTER DATA'!L355)</f>
        <v>Y</v>
      </c>
      <c r="M16" s="16" t="str">
        <f>IF('MASTER DATA'!M355="","",'MASTER DATA'!M355)</f>
        <v>Y</v>
      </c>
      <c r="N16" s="15">
        <f>IF('MASTER DATA'!N355="","",'MASTER DATA'!N355)</f>
        <v>45729</v>
      </c>
      <c r="O16" s="16" t="str">
        <f>IF('MASTER DATA'!O355="","",'MASTER DATA'!O355)</f>
        <v>Synthetic QME Evaluator 07</v>
      </c>
      <c r="P16" s="16" t="str">
        <f>IF('MASTER DATA'!P355="","",'MASTER DATA'!P355)</f>
        <v>N</v>
      </c>
      <c r="Q16" s="16" t="str">
        <f>IF('MASTER DATA'!Q355="","",'MASTER DATA'!Q355)</f>
        <v/>
      </c>
      <c r="R16" s="16" t="str">
        <f>IF('MASTER DATA'!R355="","",'MASTER DATA'!R355)</f>
        <v/>
      </c>
      <c r="S16" s="16" t="str">
        <f>IF('MASTER DATA'!S355="","",'MASTER DATA'!S355)</f>
        <v>Y</v>
      </c>
      <c r="T16" s="15">
        <f>IF('MASTER DATA'!T355="","",'MASTER DATA'!T355)</f>
        <v>46552</v>
      </c>
      <c r="U16" s="16" t="str">
        <f>IF('MASTER DATA'!U355="","",'MASTER DATA'!U355)</f>
        <v>N</v>
      </c>
      <c r="V16" s="16" t="str">
        <f>IF('MASTER DATA'!V355="","",'MASTER DATA'!V355)</f>
        <v>N</v>
      </c>
      <c r="W16" s="16" t="str">
        <f>IF('MASTER DATA'!W355="","",'MASTER DATA'!W355)</f>
        <v>N</v>
      </c>
      <c r="X16" s="16" t="str">
        <f>IF('MASTER DATA'!X355="","",'MASTER DATA'!X355)</f>
        <v>N</v>
      </c>
      <c r="Y16" s="16" t="str">
        <f>IF('MASTER DATA'!Y355="","",'MASTER DATA'!Y355)</f>
        <v>N</v>
      </c>
      <c r="Z16" s="16" t="str">
        <f>IF('MASTER DATA'!Z355="","",'MASTER DATA'!Z355)</f>
        <v>N</v>
      </c>
      <c r="AA16" s="16">
        <f>IF('MASTER DATA'!AA355="","",'MASTER DATA'!AA355)</f>
        <v>3</v>
      </c>
      <c r="AB16" s="16" t="str">
        <f>IF('MASTER DATA'!AB355="","",'MASTER DATA'!AB355)</f>
        <v>ELEVATED MULTI-SIGNAL</v>
      </c>
      <c r="AC16" s="16" t="str">
        <f>IF('MASTER DATA'!AC355="","",'MASTER DATA'!AC355)</f>
        <v>Settlement Authorization | Pending QME | Inactive Customer</v>
      </c>
    </row>
    <row r="17" spans="1:29" x14ac:dyDescent="0.45">
      <c r="A17" t="str">
        <f>IF('MASTER DATA'!A356="","",'MASTER DATA'!A356)</f>
        <v>SYN-CLM-0355</v>
      </c>
      <c r="B17" t="str">
        <f>IF('MASTER DATA'!B356="","",'MASTER DATA'!B356)</f>
        <v>Synthetic Claimant 0355</v>
      </c>
      <c r="C17" t="str">
        <f>IF('MASTER DATA'!C356="","",'MASTER DATA'!C356)</f>
        <v>Claims Analyst H</v>
      </c>
      <c r="D17" t="str">
        <f>IF('MASTER DATA'!D356="","",'MASTER DATA'!D356)</f>
        <v>Synthetic Policyholder 081, LLC</v>
      </c>
      <c r="E17" s="15">
        <f>IF('MASTER DATA'!E356="","",'MASTER DATA'!E356)</f>
        <v>44787</v>
      </c>
      <c r="F17" s="16" t="str">
        <f>IF('MASTER DATA'!F356="","",'MASTER DATA'!F356)</f>
        <v>Y</v>
      </c>
      <c r="G17" s="17">
        <f>IF('MASTER DATA'!G356="","",'MASTER DATA'!G356)</f>
        <v>135750</v>
      </c>
      <c r="H17" s="16" t="str">
        <f>IF('MASTER DATA'!H356="","",'MASTER DATA'!H356)</f>
        <v>Synthetic Approver 05</v>
      </c>
      <c r="I17" s="15">
        <f>IF('MASTER DATA'!I356="","",'MASTER DATA'!I356)</f>
        <v>44872</v>
      </c>
      <c r="J17" s="16" t="str">
        <f>IF('MASTER DATA'!J356="","",'MASTER DATA'!J356)</f>
        <v>N</v>
      </c>
      <c r="K17" s="15" t="str">
        <f>IF('MASTER DATA'!K356="","",'MASTER DATA'!K356)</f>
        <v/>
      </c>
      <c r="L17" s="16" t="str">
        <f>IF('MASTER DATA'!L356="","",'MASTER DATA'!L356)</f>
        <v>Y</v>
      </c>
      <c r="M17" s="16" t="str">
        <f>IF('MASTER DATA'!M356="","",'MASTER DATA'!M356)</f>
        <v>N</v>
      </c>
      <c r="N17" s="15" t="str">
        <f>IF('MASTER DATA'!N356="","",'MASTER DATA'!N356)</f>
        <v/>
      </c>
      <c r="O17" s="16" t="str">
        <f>IF('MASTER DATA'!O356="","",'MASTER DATA'!O356)</f>
        <v/>
      </c>
      <c r="P17" s="16" t="str">
        <f>IF('MASTER DATA'!P356="","",'MASTER DATA'!P356)</f>
        <v>N</v>
      </c>
      <c r="Q17" s="16" t="str">
        <f>IF('MASTER DATA'!Q356="","",'MASTER DATA'!Q356)</f>
        <v/>
      </c>
      <c r="R17" s="16" t="str">
        <f>IF('MASTER DATA'!R356="","",'MASTER DATA'!R356)</f>
        <v/>
      </c>
      <c r="S17" s="16" t="str">
        <f>IF('MASTER DATA'!S356="","",'MASTER DATA'!S356)</f>
        <v>Y</v>
      </c>
      <c r="T17" s="15">
        <f>IF('MASTER DATA'!T356="","",'MASTER DATA'!T356)</f>
        <v>46268</v>
      </c>
      <c r="U17" s="16" t="str">
        <f>IF('MASTER DATA'!U356="","",'MASTER DATA'!U356)</f>
        <v>N</v>
      </c>
      <c r="V17" s="16" t="str">
        <f>IF('MASTER DATA'!V356="","",'MASTER DATA'!V356)</f>
        <v>N</v>
      </c>
      <c r="W17" s="16" t="str">
        <f>IF('MASTER DATA'!W356="","",'MASTER DATA'!W356)</f>
        <v>N</v>
      </c>
      <c r="X17" s="16" t="str">
        <f>IF('MASTER DATA'!X356="","",'MASTER DATA'!X356)</f>
        <v>N</v>
      </c>
      <c r="Y17" s="16" t="str">
        <f>IF('MASTER DATA'!Y356="","",'MASTER DATA'!Y356)</f>
        <v>N</v>
      </c>
      <c r="Z17" s="16" t="str">
        <f>IF('MASTER DATA'!Z356="","",'MASTER DATA'!Z356)</f>
        <v>N</v>
      </c>
      <c r="AA17" s="16">
        <f>IF('MASTER DATA'!AA356="","",'MASTER DATA'!AA356)</f>
        <v>2</v>
      </c>
      <c r="AB17" s="16" t="str">
        <f>IF('MASTER DATA'!AB356="","",'MASTER DATA'!AB356)</f>
        <v>MULTI-SIGNAL</v>
      </c>
      <c r="AC17" s="16" t="str">
        <f>IF('MASTER DATA'!AC356="","",'MASTER DATA'!AC356)</f>
        <v>Settlement Authorization | Inactive Customer</v>
      </c>
    </row>
    <row r="18" spans="1:29" x14ac:dyDescent="0.45">
      <c r="A18" t="str">
        <f>IF('MASTER DATA'!A357="","",'MASTER DATA'!A357)</f>
        <v>SYN-CLM-0356</v>
      </c>
      <c r="B18" t="str">
        <f>IF('MASTER DATA'!B357="","",'MASTER DATA'!B357)</f>
        <v>Synthetic Claimant 0356</v>
      </c>
      <c r="C18" t="str">
        <f>IF('MASTER DATA'!C357="","",'MASTER DATA'!C357)</f>
        <v>Claims Analyst H</v>
      </c>
      <c r="D18" t="str">
        <f>IF('MASTER DATA'!D357="","",'MASTER DATA'!D357)</f>
        <v>Synthetic Policyholder 075, LLC</v>
      </c>
      <c r="E18" s="15">
        <f>IF('MASTER DATA'!E357="","",'MASTER DATA'!E357)</f>
        <v>45103</v>
      </c>
      <c r="F18" s="16" t="str">
        <f>IF('MASTER DATA'!F357="","",'MASTER DATA'!F357)</f>
        <v>N</v>
      </c>
      <c r="G18" s="17" t="str">
        <f>IF('MASTER DATA'!G357="","",'MASTER DATA'!G357)</f>
        <v/>
      </c>
      <c r="H18" s="16" t="str">
        <f>IF('MASTER DATA'!H357="","",'MASTER DATA'!H357)</f>
        <v/>
      </c>
      <c r="I18" s="15" t="str">
        <f>IF('MASTER DATA'!I357="","",'MASTER DATA'!I357)</f>
        <v/>
      </c>
      <c r="J18" s="16" t="str">
        <f>IF('MASTER DATA'!J357="","",'MASTER DATA'!J357)</f>
        <v>Y</v>
      </c>
      <c r="K18" s="15">
        <f>IF('MASTER DATA'!K357="","",'MASTER DATA'!K357)</f>
        <v>46213</v>
      </c>
      <c r="L18" s="16" t="str">
        <f>IF('MASTER DATA'!L357="","",'MASTER DATA'!L357)</f>
        <v>N</v>
      </c>
      <c r="M18" s="16" t="str">
        <f>IF('MASTER DATA'!M357="","",'MASTER DATA'!M357)</f>
        <v>N</v>
      </c>
      <c r="N18" s="15" t="str">
        <f>IF('MASTER DATA'!N357="","",'MASTER DATA'!N357)</f>
        <v/>
      </c>
      <c r="O18" s="16" t="str">
        <f>IF('MASTER DATA'!O357="","",'MASTER DATA'!O357)</f>
        <v/>
      </c>
      <c r="P18" s="16" t="str">
        <f>IF('MASTER DATA'!P357="","",'MASTER DATA'!P357)</f>
        <v>N</v>
      </c>
      <c r="Q18" s="16" t="str">
        <f>IF('MASTER DATA'!Q357="","",'MASTER DATA'!Q357)</f>
        <v/>
      </c>
      <c r="R18" s="16" t="str">
        <f>IF('MASTER DATA'!R357="","",'MASTER DATA'!R357)</f>
        <v/>
      </c>
      <c r="S18" s="16" t="str">
        <f>IF('MASTER DATA'!S357="","",'MASTER DATA'!S357)</f>
        <v>N</v>
      </c>
      <c r="T18" s="15" t="str">
        <f>IF('MASTER DATA'!T357="","",'MASTER DATA'!T357)</f>
        <v/>
      </c>
      <c r="U18" s="16" t="str">
        <f>IF('MASTER DATA'!U357="","",'MASTER DATA'!U357)</f>
        <v>N</v>
      </c>
      <c r="V18" s="16" t="str">
        <f>IF('MASTER DATA'!V357="","",'MASTER DATA'!V357)</f>
        <v>N</v>
      </c>
      <c r="W18" s="16" t="str">
        <f>IF('MASTER DATA'!W357="","",'MASTER DATA'!W357)</f>
        <v>N</v>
      </c>
      <c r="X18" s="16" t="str">
        <f>IF('MASTER DATA'!X357="","",'MASTER DATA'!X357)</f>
        <v>N</v>
      </c>
      <c r="Y18" s="16" t="str">
        <f>IF('MASTER DATA'!Y357="","",'MASTER DATA'!Y357)</f>
        <v>N</v>
      </c>
      <c r="Z18" s="16" t="str">
        <f>IF('MASTER DATA'!Z357="","",'MASTER DATA'!Z357)</f>
        <v>N</v>
      </c>
      <c r="AA18" s="16">
        <f>IF('MASTER DATA'!AA357="","",'MASTER DATA'!AA357)</f>
        <v>1</v>
      </c>
      <c r="AB18" s="16" t="str">
        <f>IF('MASTER DATA'!AB357="","",'MASTER DATA'!AB357)</f>
        <v>SINGLE-SIGNAL</v>
      </c>
      <c r="AC18" s="16" t="str">
        <f>IF('MASTER DATA'!AC357="","",'MASTER DATA'!AC357)</f>
        <v>Open Stipulation</v>
      </c>
    </row>
    <row r="19" spans="1:29" x14ac:dyDescent="0.45">
      <c r="A19" t="str">
        <f>IF('MASTER DATA'!A358="","",'MASTER DATA'!A358)</f>
        <v>SYN-CLM-0357</v>
      </c>
      <c r="B19" t="str">
        <f>IF('MASTER DATA'!B358="","",'MASTER DATA'!B358)</f>
        <v>Synthetic Claimant 0357</v>
      </c>
      <c r="C19" t="str">
        <f>IF('MASTER DATA'!C358="","",'MASTER DATA'!C358)</f>
        <v>Claims Analyst H</v>
      </c>
      <c r="D19" t="str">
        <f>IF('MASTER DATA'!D358="","",'MASTER DATA'!D358)</f>
        <v>Synthetic Policyholder 140, LLC</v>
      </c>
      <c r="E19" s="15">
        <f>IF('MASTER DATA'!E358="","",'MASTER DATA'!E358)</f>
        <v>43392</v>
      </c>
      <c r="F19" s="16" t="str">
        <f>IF('MASTER DATA'!F358="","",'MASTER DATA'!F358)</f>
        <v>Y</v>
      </c>
      <c r="G19" s="17">
        <f>IF('MASTER DATA'!G358="","",'MASTER DATA'!G358)</f>
        <v>136250</v>
      </c>
      <c r="H19" s="16" t="str">
        <f>IF('MASTER DATA'!H358="","",'MASTER DATA'!H358)</f>
        <v>Synthetic Approver 07</v>
      </c>
      <c r="I19" s="15">
        <f>IF('MASTER DATA'!I358="","",'MASTER DATA'!I358)</f>
        <v>44739</v>
      </c>
      <c r="J19" s="16" t="str">
        <f>IF('MASTER DATA'!J358="","",'MASTER DATA'!J358)</f>
        <v>N</v>
      </c>
      <c r="K19" s="15" t="str">
        <f>IF('MASTER DATA'!K358="","",'MASTER DATA'!K358)</f>
        <v/>
      </c>
      <c r="L19" s="16" t="str">
        <f>IF('MASTER DATA'!L358="","",'MASTER DATA'!L358)</f>
        <v>Y</v>
      </c>
      <c r="M19" s="16" t="str">
        <f>IF('MASTER DATA'!M358="","",'MASTER DATA'!M358)</f>
        <v>Y</v>
      </c>
      <c r="N19" s="15">
        <f>IF('MASTER DATA'!N358="","",'MASTER DATA'!N358)</f>
        <v>44862</v>
      </c>
      <c r="O19" s="16" t="str">
        <f>IF('MASTER DATA'!O358="","",'MASTER DATA'!O358)</f>
        <v>Synthetic QME Evaluator 32</v>
      </c>
      <c r="P19" s="16" t="str">
        <f>IF('MASTER DATA'!P358="","",'MASTER DATA'!P358)</f>
        <v>N</v>
      </c>
      <c r="Q19" s="16" t="str">
        <f>IF('MASTER DATA'!Q358="","",'MASTER DATA'!Q358)</f>
        <v/>
      </c>
      <c r="R19" s="16" t="str">
        <f>IF('MASTER DATA'!R358="","",'MASTER DATA'!R358)</f>
        <v/>
      </c>
      <c r="S19" s="16" t="str">
        <f>IF('MASTER DATA'!S358="","",'MASTER DATA'!S358)</f>
        <v>Y</v>
      </c>
      <c r="T19" s="15">
        <f>IF('MASTER DATA'!T358="","",'MASTER DATA'!T358)</f>
        <v>44343</v>
      </c>
      <c r="U19" s="16" t="str">
        <f>IF('MASTER DATA'!U358="","",'MASTER DATA'!U358)</f>
        <v>N</v>
      </c>
      <c r="V19" s="16" t="str">
        <f>IF('MASTER DATA'!V358="","",'MASTER DATA'!V358)</f>
        <v>N</v>
      </c>
      <c r="W19" s="16" t="str">
        <f>IF('MASTER DATA'!W358="","",'MASTER DATA'!W358)</f>
        <v>N</v>
      </c>
      <c r="X19" s="16" t="str">
        <f>IF('MASTER DATA'!X358="","",'MASTER DATA'!X358)</f>
        <v>N</v>
      </c>
      <c r="Y19" s="16" t="str">
        <f>IF('MASTER DATA'!Y358="","",'MASTER DATA'!Y358)</f>
        <v>N</v>
      </c>
      <c r="Z19" s="16" t="str">
        <f>IF('MASTER DATA'!Z358="","",'MASTER DATA'!Z358)</f>
        <v>N</v>
      </c>
      <c r="AA19" s="16">
        <f>IF('MASTER DATA'!AA358="","",'MASTER DATA'!AA358)</f>
        <v>3</v>
      </c>
      <c r="AB19" s="16" t="str">
        <f>IF('MASTER DATA'!AB358="","",'MASTER DATA'!AB358)</f>
        <v>ELEVATED MULTI-SIGNAL</v>
      </c>
      <c r="AC19" s="16" t="str">
        <f>IF('MASTER DATA'!AC358="","",'MASTER DATA'!AC358)</f>
        <v>Settlement Authorization | Pending QME | Inactive Customer</v>
      </c>
    </row>
    <row r="20" spans="1:29" x14ac:dyDescent="0.45">
      <c r="A20" t="str">
        <f>IF('MASTER DATA'!A359="","",'MASTER DATA'!A359)</f>
        <v>SYN-CLM-0358</v>
      </c>
      <c r="B20" t="str">
        <f>IF('MASTER DATA'!B359="","",'MASTER DATA'!B359)</f>
        <v>Synthetic Claimant 0358</v>
      </c>
      <c r="C20" t="str">
        <f>IF('MASTER DATA'!C359="","",'MASTER DATA'!C359)</f>
        <v>Claims Analyst H</v>
      </c>
      <c r="D20" t="str">
        <f>IF('MASTER DATA'!D359="","",'MASTER DATA'!D359)</f>
        <v>Synthetic Policyholder 099, LLC</v>
      </c>
      <c r="E20" s="15">
        <f>IF('MASTER DATA'!E359="","",'MASTER DATA'!E359)</f>
        <v>44476</v>
      </c>
      <c r="F20" s="16" t="str">
        <f>IF('MASTER DATA'!F359="","",'MASTER DATA'!F359)</f>
        <v>N</v>
      </c>
      <c r="G20" s="17" t="str">
        <f>IF('MASTER DATA'!G359="","",'MASTER DATA'!G359)</f>
        <v/>
      </c>
      <c r="H20" s="16" t="str">
        <f>IF('MASTER DATA'!H359="","",'MASTER DATA'!H359)</f>
        <v/>
      </c>
      <c r="I20" s="15" t="str">
        <f>IF('MASTER DATA'!I359="","",'MASTER DATA'!I359)</f>
        <v/>
      </c>
      <c r="J20" s="16" t="str">
        <f>IF('MASTER DATA'!J359="","",'MASTER DATA'!J359)</f>
        <v>N</v>
      </c>
      <c r="K20" s="15" t="str">
        <f>IF('MASTER DATA'!K359="","",'MASTER DATA'!K359)</f>
        <v/>
      </c>
      <c r="L20" s="16" t="str">
        <f>IF('MASTER DATA'!L359="","",'MASTER DATA'!L359)</f>
        <v/>
      </c>
      <c r="M20" s="16" t="str">
        <f>IF('MASTER DATA'!M359="","",'MASTER DATA'!M359)</f>
        <v>N</v>
      </c>
      <c r="N20" s="15" t="str">
        <f>IF('MASTER DATA'!N359="","",'MASTER DATA'!N359)</f>
        <v/>
      </c>
      <c r="O20" s="16" t="str">
        <f>IF('MASTER DATA'!O359="","",'MASTER DATA'!O359)</f>
        <v/>
      </c>
      <c r="P20" s="16" t="str">
        <f>IF('MASTER DATA'!P359="","",'MASTER DATA'!P359)</f>
        <v>Y</v>
      </c>
      <c r="Q20" s="16" t="str">
        <f>IF('MASTER DATA'!Q359="","",'MASTER DATA'!Q359)</f>
        <v>Surgery Requested; Non-Renewed Account</v>
      </c>
      <c r="R20" s="16" t="str">
        <f>IF('MASTER DATA'!R359="","",'MASTER DATA'!R359)</f>
        <v>MSA Eligible in Next 3 Years</v>
      </c>
      <c r="S20" s="16" t="str">
        <f>IF('MASTER DATA'!S359="","",'MASTER DATA'!S359)</f>
        <v>N</v>
      </c>
      <c r="T20" s="15" t="str">
        <f>IF('MASTER DATA'!T359="","",'MASTER DATA'!T359)</f>
        <v/>
      </c>
      <c r="U20" s="16" t="str">
        <f>IF('MASTER DATA'!U359="","",'MASTER DATA'!U359)</f>
        <v>Y</v>
      </c>
      <c r="V20" s="16" t="str">
        <f>IF('MASTER DATA'!V359="","",'MASTER DATA'!V359)</f>
        <v>N</v>
      </c>
      <c r="W20" s="16" t="str">
        <f>IF('MASTER DATA'!W359="","",'MASTER DATA'!W359)</f>
        <v>N</v>
      </c>
      <c r="X20" s="16" t="str">
        <f>IF('MASTER DATA'!X359="","",'MASTER DATA'!X359)</f>
        <v>N</v>
      </c>
      <c r="Y20" s="16" t="str">
        <f>IF('MASTER DATA'!Y359="","",'MASTER DATA'!Y359)</f>
        <v>Y</v>
      </c>
      <c r="Z20" s="16" t="str">
        <f>IF('MASTER DATA'!Z359="","",'MASTER DATA'!Z359)</f>
        <v>Y</v>
      </c>
      <c r="AA20" s="16">
        <f>IF('MASTER DATA'!AA359="","",'MASTER DATA'!AA359)</f>
        <v>1</v>
      </c>
      <c r="AB20" s="16" t="str">
        <f>IF('MASTER DATA'!AB359="","",'MASTER DATA'!AB359)</f>
        <v>SINGLE-SIGNAL</v>
      </c>
      <c r="AC20" s="16" t="str">
        <f>IF('MASTER DATA'!AC359="","",'MASTER DATA'!AC359)</f>
        <v>Automated Claim Alert</v>
      </c>
    </row>
    <row r="21" spans="1:29" x14ac:dyDescent="0.45">
      <c r="A21" t="str">
        <f>IF('MASTER DATA'!A360="","",'MASTER DATA'!A360)</f>
        <v>SYN-CLM-0359</v>
      </c>
      <c r="B21" t="str">
        <f>IF('MASTER DATA'!B360="","",'MASTER DATA'!B360)</f>
        <v>Synthetic Claimant 0359</v>
      </c>
      <c r="C21" t="str">
        <f>IF('MASTER DATA'!C360="","",'MASTER DATA'!C360)</f>
        <v>Claims Analyst H</v>
      </c>
      <c r="D21" t="str">
        <f>IF('MASTER DATA'!D360="","",'MASTER DATA'!D360)</f>
        <v>Synthetic Policyholder 014, LLC</v>
      </c>
      <c r="E21" s="15">
        <f>IF('MASTER DATA'!E360="","",'MASTER DATA'!E360)</f>
        <v>43124</v>
      </c>
      <c r="F21" s="16" t="str">
        <f>IF('MASTER DATA'!F360="","",'MASTER DATA'!F360)</f>
        <v>Y</v>
      </c>
      <c r="G21" s="17">
        <f>IF('MASTER DATA'!G360="","",'MASTER DATA'!G360)</f>
        <v>147750</v>
      </c>
      <c r="H21" s="16" t="str">
        <f>IF('MASTER DATA'!H360="","",'MASTER DATA'!H360)</f>
        <v>Synthetic Approver 11</v>
      </c>
      <c r="I21" s="15">
        <f>IF('MASTER DATA'!I360="","",'MASTER DATA'!I360)</f>
        <v>44386</v>
      </c>
      <c r="J21" s="16" t="str">
        <f>IF('MASTER DATA'!J360="","",'MASTER DATA'!J360)</f>
        <v>N</v>
      </c>
      <c r="K21" s="15" t="str">
        <f>IF('MASTER DATA'!K360="","",'MASTER DATA'!K360)</f>
        <v/>
      </c>
      <c r="L21" s="16" t="str">
        <f>IF('MASTER DATA'!L360="","",'MASTER DATA'!L360)</f>
        <v>N</v>
      </c>
      <c r="M21" s="16" t="str">
        <f>IF('MASTER DATA'!M360="","",'MASTER DATA'!M360)</f>
        <v>N</v>
      </c>
      <c r="N21" s="15" t="str">
        <f>IF('MASTER DATA'!N360="","",'MASTER DATA'!N360)</f>
        <v/>
      </c>
      <c r="O21" s="16" t="str">
        <f>IF('MASTER DATA'!O360="","",'MASTER DATA'!O360)</f>
        <v/>
      </c>
      <c r="P21" s="16" t="str">
        <f>IF('MASTER DATA'!P360="","",'MASTER DATA'!P360)</f>
        <v>N</v>
      </c>
      <c r="Q21" s="16" t="str">
        <f>IF('MASTER DATA'!Q360="","",'MASTER DATA'!Q360)</f>
        <v/>
      </c>
      <c r="R21" s="16" t="str">
        <f>IF('MASTER DATA'!R360="","",'MASTER DATA'!R360)</f>
        <v/>
      </c>
      <c r="S21" s="16" t="str">
        <f>IF('MASTER DATA'!S360="","",'MASTER DATA'!S360)</f>
        <v>N</v>
      </c>
      <c r="T21" s="15" t="str">
        <f>IF('MASTER DATA'!T360="","",'MASTER DATA'!T360)</f>
        <v/>
      </c>
      <c r="U21" s="16" t="str">
        <f>IF('MASTER DATA'!U360="","",'MASTER DATA'!U360)</f>
        <v>N</v>
      </c>
      <c r="V21" s="16" t="str">
        <f>IF('MASTER DATA'!V360="","",'MASTER DATA'!V360)</f>
        <v>N</v>
      </c>
      <c r="W21" s="16" t="str">
        <f>IF('MASTER DATA'!W360="","",'MASTER DATA'!W360)</f>
        <v>N</v>
      </c>
      <c r="X21" s="16" t="str">
        <f>IF('MASTER DATA'!X360="","",'MASTER DATA'!X360)</f>
        <v>N</v>
      </c>
      <c r="Y21" s="16" t="str">
        <f>IF('MASTER DATA'!Y360="","",'MASTER DATA'!Y360)</f>
        <v>N</v>
      </c>
      <c r="Z21" s="16" t="str">
        <f>IF('MASTER DATA'!Z360="","",'MASTER DATA'!Z360)</f>
        <v>N</v>
      </c>
      <c r="AA21" s="16">
        <f>IF('MASTER DATA'!AA360="","",'MASTER DATA'!AA360)</f>
        <v>1</v>
      </c>
      <c r="AB21" s="16" t="str">
        <f>IF('MASTER DATA'!AB360="","",'MASTER DATA'!AB360)</f>
        <v>SINGLE-SIGNAL</v>
      </c>
      <c r="AC21" s="16" t="str">
        <f>IF('MASTER DATA'!AC360="","",'MASTER DATA'!AC360)</f>
        <v>Settlement Authorization</v>
      </c>
    </row>
    <row r="22" spans="1:29" x14ac:dyDescent="0.45">
      <c r="A22" t="str">
        <f>IF('MASTER DATA'!A361="","",'MASTER DATA'!A361)</f>
        <v>SYN-CLM-0360</v>
      </c>
      <c r="B22" t="str">
        <f>IF('MASTER DATA'!B361="","",'MASTER DATA'!B361)</f>
        <v>Synthetic Claimant 0360</v>
      </c>
      <c r="C22" t="str">
        <f>IF('MASTER DATA'!C361="","",'MASTER DATA'!C361)</f>
        <v>Claims Analyst H</v>
      </c>
      <c r="D22" t="str">
        <f>IF('MASTER DATA'!D361="","",'MASTER DATA'!D361)</f>
        <v>Synthetic Policyholder 153, LLC</v>
      </c>
      <c r="E22" s="15">
        <f>IF('MASTER DATA'!E361="","",'MASTER DATA'!E361)</f>
        <v>43514</v>
      </c>
      <c r="F22" s="16" t="str">
        <f>IF('MASTER DATA'!F361="","",'MASTER DATA'!F361)</f>
        <v>N</v>
      </c>
      <c r="G22" s="17" t="str">
        <f>IF('MASTER DATA'!G361="","",'MASTER DATA'!G361)</f>
        <v/>
      </c>
      <c r="H22" s="16" t="str">
        <f>IF('MASTER DATA'!H361="","",'MASTER DATA'!H361)</f>
        <v/>
      </c>
      <c r="I22" s="15" t="str">
        <f>IF('MASTER DATA'!I361="","",'MASTER DATA'!I361)</f>
        <v/>
      </c>
      <c r="J22" s="16" t="str">
        <f>IF('MASTER DATA'!J361="","",'MASTER DATA'!J361)</f>
        <v>Y</v>
      </c>
      <c r="K22" s="15">
        <f>IF('MASTER DATA'!K361="","",'MASTER DATA'!K361)</f>
        <v>43562</v>
      </c>
      <c r="L22" s="16" t="str">
        <f>IF('MASTER DATA'!L361="","",'MASTER DATA'!L361)</f>
        <v>Y</v>
      </c>
      <c r="M22" s="16" t="str">
        <f>IF('MASTER DATA'!M361="","",'MASTER DATA'!M361)</f>
        <v>N</v>
      </c>
      <c r="N22" s="15" t="str">
        <f>IF('MASTER DATA'!N361="","",'MASTER DATA'!N361)</f>
        <v/>
      </c>
      <c r="O22" s="16" t="str">
        <f>IF('MASTER DATA'!O361="","",'MASTER DATA'!O361)</f>
        <v/>
      </c>
      <c r="P22" s="16" t="str">
        <f>IF('MASTER DATA'!P361="","",'MASTER DATA'!P361)</f>
        <v>N</v>
      </c>
      <c r="Q22" s="16" t="str">
        <f>IF('MASTER DATA'!Q361="","",'MASTER DATA'!Q361)</f>
        <v/>
      </c>
      <c r="R22" s="16" t="str">
        <f>IF('MASTER DATA'!R361="","",'MASTER DATA'!R361)</f>
        <v/>
      </c>
      <c r="S22" s="16" t="str">
        <f>IF('MASTER DATA'!S361="","",'MASTER DATA'!S361)</f>
        <v>N</v>
      </c>
      <c r="T22" s="15" t="str">
        <f>IF('MASTER DATA'!T361="","",'MASTER DATA'!T361)</f>
        <v/>
      </c>
      <c r="U22" s="16" t="str">
        <f>IF('MASTER DATA'!U361="","",'MASTER DATA'!U361)</f>
        <v>N</v>
      </c>
      <c r="V22" s="16" t="str">
        <f>IF('MASTER DATA'!V361="","",'MASTER DATA'!V361)</f>
        <v>N</v>
      </c>
      <c r="W22" s="16" t="str">
        <f>IF('MASTER DATA'!W361="","",'MASTER DATA'!W361)</f>
        <v>N</v>
      </c>
      <c r="X22" s="16" t="str">
        <f>IF('MASTER DATA'!X361="","",'MASTER DATA'!X361)</f>
        <v>N</v>
      </c>
      <c r="Y22" s="16" t="str">
        <f>IF('MASTER DATA'!Y361="","",'MASTER DATA'!Y361)</f>
        <v>N</v>
      </c>
      <c r="Z22" s="16" t="str">
        <f>IF('MASTER DATA'!Z361="","",'MASTER DATA'!Z361)</f>
        <v>N</v>
      </c>
      <c r="AA22" s="16">
        <f>IF('MASTER DATA'!AA361="","",'MASTER DATA'!AA361)</f>
        <v>1</v>
      </c>
      <c r="AB22" s="16" t="str">
        <f>IF('MASTER DATA'!AB361="","",'MASTER DATA'!AB361)</f>
        <v>SINGLE-SIGNAL</v>
      </c>
      <c r="AC22" s="16" t="str">
        <f>IF('MASTER DATA'!AC361="","",'MASTER DATA'!AC361)</f>
        <v>Open Stipulation</v>
      </c>
    </row>
    <row r="23" spans="1:29" x14ac:dyDescent="0.45">
      <c r="A23" t="str">
        <f>IF('MASTER DATA'!A362="","",'MASTER DATA'!A362)</f>
        <v>SYN-CLM-0361</v>
      </c>
      <c r="B23" t="str">
        <f>IF('MASTER DATA'!B362="","",'MASTER DATA'!B362)</f>
        <v>Synthetic Claimant 0361</v>
      </c>
      <c r="C23" t="str">
        <f>IF('MASTER DATA'!C362="","",'MASTER DATA'!C362)</f>
        <v>Claims Analyst H</v>
      </c>
      <c r="D23" t="str">
        <f>IF('MASTER DATA'!D362="","",'MASTER DATA'!D362)</f>
        <v>Synthetic Policyholder 051, LLC</v>
      </c>
      <c r="E23" s="15">
        <f>IF('MASTER DATA'!E362="","",'MASTER DATA'!E362)</f>
        <v>44370</v>
      </c>
      <c r="F23" s="16" t="str">
        <f>IF('MASTER DATA'!F362="","",'MASTER DATA'!F362)</f>
        <v>N</v>
      </c>
      <c r="G23" s="17" t="str">
        <f>IF('MASTER DATA'!G362="","",'MASTER DATA'!G362)</f>
        <v/>
      </c>
      <c r="H23" s="16" t="str">
        <f>IF('MASTER DATA'!H362="","",'MASTER DATA'!H362)</f>
        <v/>
      </c>
      <c r="I23" s="15" t="str">
        <f>IF('MASTER DATA'!I362="","",'MASTER DATA'!I362)</f>
        <v/>
      </c>
      <c r="J23" s="16" t="str">
        <f>IF('MASTER DATA'!J362="","",'MASTER DATA'!J362)</f>
        <v>Y</v>
      </c>
      <c r="K23" s="15">
        <f>IF('MASTER DATA'!K362="","",'MASTER DATA'!K362)</f>
        <v>45378</v>
      </c>
      <c r="L23" s="16" t="str">
        <f>IF('MASTER DATA'!L362="","",'MASTER DATA'!L362)</f>
        <v>N</v>
      </c>
      <c r="M23" s="16" t="str">
        <f>IF('MASTER DATA'!M362="","",'MASTER DATA'!M362)</f>
        <v>Y</v>
      </c>
      <c r="N23" s="15">
        <f>IF('MASTER DATA'!N362="","",'MASTER DATA'!N362)</f>
        <v>45530</v>
      </c>
      <c r="O23" s="16" t="str">
        <f>IF('MASTER DATA'!O362="","",'MASTER DATA'!O362)</f>
        <v>Synthetic QME Evaluator 27</v>
      </c>
      <c r="P23" s="16" t="str">
        <f>IF('MASTER DATA'!P362="","",'MASTER DATA'!P362)</f>
        <v>Y</v>
      </c>
      <c r="Q23" s="16" t="str">
        <f>IF('MASTER DATA'!Q362="","",'MASTER DATA'!Q362)</f>
        <v>Denied Treatment Requests</v>
      </c>
      <c r="R23" s="16" t="str">
        <f>IF('MASTER DATA'!R362="","",'MASTER DATA'!R362)</f>
        <v>MSA Eligible in Next 3 Years; Surgery Requested</v>
      </c>
      <c r="S23" s="16" t="str">
        <f>IF('MASTER DATA'!S362="","",'MASTER DATA'!S362)</f>
        <v>N</v>
      </c>
      <c r="T23" s="15" t="str">
        <f>IF('MASTER DATA'!T362="","",'MASTER DATA'!T362)</f>
        <v/>
      </c>
      <c r="U23" s="16" t="str">
        <f>IF('MASTER DATA'!U362="","",'MASTER DATA'!U362)</f>
        <v>Y</v>
      </c>
      <c r="V23" s="16" t="str">
        <f>IF('MASTER DATA'!V362="","",'MASTER DATA'!V362)</f>
        <v>N</v>
      </c>
      <c r="W23" s="16" t="str">
        <f>IF('MASTER DATA'!W362="","",'MASTER DATA'!W362)</f>
        <v>Y</v>
      </c>
      <c r="X23" s="16" t="str">
        <f>IF('MASTER DATA'!X362="","",'MASTER DATA'!X362)</f>
        <v>N</v>
      </c>
      <c r="Y23" s="16" t="str">
        <f>IF('MASTER DATA'!Y362="","",'MASTER DATA'!Y362)</f>
        <v>N</v>
      </c>
      <c r="Z23" s="16" t="str">
        <f>IF('MASTER DATA'!Z362="","",'MASTER DATA'!Z362)</f>
        <v>Y</v>
      </c>
      <c r="AA23" s="16">
        <f>IF('MASTER DATA'!AA362="","",'MASTER DATA'!AA362)</f>
        <v>3</v>
      </c>
      <c r="AB23" s="16" t="str">
        <f>IF('MASTER DATA'!AB362="","",'MASTER DATA'!AB362)</f>
        <v>ELEVATED MULTI-SIGNAL</v>
      </c>
      <c r="AC23" s="16" t="str">
        <f>IF('MASTER DATA'!AC362="","",'MASTER DATA'!AC362)</f>
        <v>Open Stipulation | Pending QME | Automated Claim Alert</v>
      </c>
    </row>
    <row r="24" spans="1:29" x14ac:dyDescent="0.45">
      <c r="A24" t="str">
        <f>IF('MASTER DATA'!A363="","",'MASTER DATA'!A363)</f>
        <v>SYN-CLM-0362</v>
      </c>
      <c r="B24" t="str">
        <f>IF('MASTER DATA'!B363="","",'MASTER DATA'!B363)</f>
        <v>Synthetic Claimant 0362</v>
      </c>
      <c r="C24" t="str">
        <f>IF('MASTER DATA'!C363="","",'MASTER DATA'!C363)</f>
        <v>Claims Analyst H</v>
      </c>
      <c r="D24" t="str">
        <f>IF('MASTER DATA'!D363="","",'MASTER DATA'!D363)</f>
        <v>Synthetic Policyholder 167, LLC</v>
      </c>
      <c r="E24" s="15">
        <f>IF('MASTER DATA'!E363="","",'MASTER DATA'!E363)</f>
        <v>43799</v>
      </c>
      <c r="F24" s="16" t="str">
        <f>IF('MASTER DATA'!F363="","",'MASTER DATA'!F363)</f>
        <v>Y</v>
      </c>
      <c r="G24" s="17">
        <f>IF('MASTER DATA'!G363="","",'MASTER DATA'!G363)</f>
        <v>168250</v>
      </c>
      <c r="H24" s="16" t="str">
        <f>IF('MASTER DATA'!H363="","",'MASTER DATA'!H363)</f>
        <v>Synthetic Approver 01</v>
      </c>
      <c r="I24" s="15">
        <f>IF('MASTER DATA'!I363="","",'MASTER DATA'!I363)</f>
        <v>44694</v>
      </c>
      <c r="J24" s="16" t="str">
        <f>IF('MASTER DATA'!J363="","",'MASTER DATA'!J363)</f>
        <v>N</v>
      </c>
      <c r="K24" s="15" t="str">
        <f>IF('MASTER DATA'!K363="","",'MASTER DATA'!K363)</f>
        <v/>
      </c>
      <c r="L24" s="16" t="str">
        <f>IF('MASTER DATA'!L363="","",'MASTER DATA'!L363)</f>
        <v>Y</v>
      </c>
      <c r="M24" s="16" t="str">
        <f>IF('MASTER DATA'!M363="","",'MASTER DATA'!M363)</f>
        <v>N</v>
      </c>
      <c r="N24" s="15" t="str">
        <f>IF('MASTER DATA'!N363="","",'MASTER DATA'!N363)</f>
        <v/>
      </c>
      <c r="O24" s="16" t="str">
        <f>IF('MASTER DATA'!O363="","",'MASTER DATA'!O363)</f>
        <v/>
      </c>
      <c r="P24" s="16" t="str">
        <f>IF('MASTER DATA'!P363="","",'MASTER DATA'!P363)</f>
        <v>N</v>
      </c>
      <c r="Q24" s="16" t="str">
        <f>IF('MASTER DATA'!Q363="","",'MASTER DATA'!Q363)</f>
        <v/>
      </c>
      <c r="R24" s="16" t="str">
        <f>IF('MASTER DATA'!R363="","",'MASTER DATA'!R363)</f>
        <v/>
      </c>
      <c r="S24" s="16" t="str">
        <f>IF('MASTER DATA'!S363="","",'MASTER DATA'!S363)</f>
        <v>N</v>
      </c>
      <c r="T24" s="15" t="str">
        <f>IF('MASTER DATA'!T363="","",'MASTER DATA'!T363)</f>
        <v/>
      </c>
      <c r="U24" s="16" t="str">
        <f>IF('MASTER DATA'!U363="","",'MASTER DATA'!U363)</f>
        <v>N</v>
      </c>
      <c r="V24" s="16" t="str">
        <f>IF('MASTER DATA'!V363="","",'MASTER DATA'!V363)</f>
        <v>N</v>
      </c>
      <c r="W24" s="16" t="str">
        <f>IF('MASTER DATA'!W363="","",'MASTER DATA'!W363)</f>
        <v>N</v>
      </c>
      <c r="X24" s="16" t="str">
        <f>IF('MASTER DATA'!X363="","",'MASTER DATA'!X363)</f>
        <v>N</v>
      </c>
      <c r="Y24" s="16" t="str">
        <f>IF('MASTER DATA'!Y363="","",'MASTER DATA'!Y363)</f>
        <v>N</v>
      </c>
      <c r="Z24" s="16" t="str">
        <f>IF('MASTER DATA'!Z363="","",'MASTER DATA'!Z363)</f>
        <v>N</v>
      </c>
      <c r="AA24" s="16">
        <f>IF('MASTER DATA'!AA363="","",'MASTER DATA'!AA363)</f>
        <v>1</v>
      </c>
      <c r="AB24" s="16" t="str">
        <f>IF('MASTER DATA'!AB363="","",'MASTER DATA'!AB363)</f>
        <v>SINGLE-SIGNAL</v>
      </c>
      <c r="AC24" s="16" t="str">
        <f>IF('MASTER DATA'!AC363="","",'MASTER DATA'!AC363)</f>
        <v>Settlement Authorization</v>
      </c>
    </row>
  </sheetData>
  <conditionalFormatting sqref="A2:AC24">
    <cfRule type="expression" dxfId="4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4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59.33203125" bestFit="1" customWidth="1"/>
    <col min="18" max="18" width="50.9296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64.92968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DATA'!A65="","",'MASTER DATA'!A65)</f>
        <v>SYN-CLM-0064</v>
      </c>
      <c r="B2" t="str">
        <f>IF('MASTER DATA'!B65="","",'MASTER DATA'!B65)</f>
        <v>Synthetic Claimant 0064</v>
      </c>
      <c r="C2" t="str">
        <f>IF('MASTER DATA'!C65="","",'MASTER DATA'!C65)</f>
        <v>Claims Analyst I</v>
      </c>
      <c r="D2" t="str">
        <f>IF('MASTER DATA'!D65="","",'MASTER DATA'!D65)</f>
        <v>Synthetic Policyholder 159, LLC</v>
      </c>
      <c r="E2" s="15">
        <f>IF('MASTER DATA'!E65="","",'MASTER DATA'!E65)</f>
        <v>43511</v>
      </c>
      <c r="F2" s="16" t="str">
        <f>IF('MASTER DATA'!F65="","",'MASTER DATA'!F65)</f>
        <v>N</v>
      </c>
      <c r="G2" s="17" t="str">
        <f>IF('MASTER DATA'!G65="","",'MASTER DATA'!G65)</f>
        <v/>
      </c>
      <c r="H2" s="16" t="str">
        <f>IF('MASTER DATA'!H65="","",'MASTER DATA'!H65)</f>
        <v/>
      </c>
      <c r="I2" s="15" t="str">
        <f>IF('MASTER DATA'!I65="","",'MASTER DATA'!I65)</f>
        <v/>
      </c>
      <c r="J2" s="16" t="str">
        <f>IF('MASTER DATA'!J65="","",'MASTER DATA'!J65)</f>
        <v>N</v>
      </c>
      <c r="K2" s="15" t="str">
        <f>IF('MASTER DATA'!K65="","",'MASTER DATA'!K65)</f>
        <v/>
      </c>
      <c r="L2" s="16" t="str">
        <f>IF('MASTER DATA'!L65="","",'MASTER DATA'!L65)</f>
        <v/>
      </c>
      <c r="M2" s="16" t="str">
        <f>IF('MASTER DATA'!M65="","",'MASTER DATA'!M65)</f>
        <v>Y</v>
      </c>
      <c r="N2" s="15">
        <f>IF('MASTER DATA'!N65="","",'MASTER DATA'!N65)</f>
        <v>45306</v>
      </c>
      <c r="O2" s="16" t="str">
        <f>IF('MASTER DATA'!O65="","",'MASTER DATA'!O65)</f>
        <v>Synthetic QME Evaluator 23</v>
      </c>
      <c r="P2" s="16" t="str">
        <f>IF('MASTER DATA'!P65="","",'MASTER DATA'!P65)</f>
        <v>N</v>
      </c>
      <c r="Q2" s="16" t="str">
        <f>IF('MASTER DATA'!Q65="","",'MASTER DATA'!Q65)</f>
        <v/>
      </c>
      <c r="R2" s="16" t="str">
        <f>IF('MASTER DATA'!R65="","",'MASTER DATA'!R65)</f>
        <v/>
      </c>
      <c r="S2" s="16" t="str">
        <f>IF('MASTER DATA'!S65="","",'MASTER DATA'!S65)</f>
        <v>N</v>
      </c>
      <c r="T2" s="15" t="str">
        <f>IF('MASTER DATA'!T65="","",'MASTER DATA'!T65)</f>
        <v/>
      </c>
      <c r="U2" s="16" t="str">
        <f>IF('MASTER DATA'!U65="","",'MASTER DATA'!U65)</f>
        <v>N</v>
      </c>
      <c r="V2" s="16" t="str">
        <f>IF('MASTER DATA'!V65="","",'MASTER DATA'!V65)</f>
        <v>N</v>
      </c>
      <c r="W2" s="16" t="str">
        <f>IF('MASTER DATA'!W65="","",'MASTER DATA'!W65)</f>
        <v>N</v>
      </c>
      <c r="X2" s="16" t="str">
        <f>IF('MASTER DATA'!X65="","",'MASTER DATA'!X65)</f>
        <v>N</v>
      </c>
      <c r="Y2" s="16" t="str">
        <f>IF('MASTER DATA'!Y65="","",'MASTER DATA'!Y65)</f>
        <v>N</v>
      </c>
      <c r="Z2" s="16" t="str">
        <f>IF('MASTER DATA'!Z65="","",'MASTER DATA'!Z65)</f>
        <v>N</v>
      </c>
      <c r="AA2" s="16">
        <f>IF('MASTER DATA'!AA65="","",'MASTER DATA'!AA65)</f>
        <v>1</v>
      </c>
      <c r="AB2" s="16" t="str">
        <f>IF('MASTER DATA'!AB65="","",'MASTER DATA'!AB65)</f>
        <v>SINGLE-SIGNAL</v>
      </c>
      <c r="AC2" s="16" t="str">
        <f>IF('MASTER DATA'!AC65="","",'MASTER DATA'!AC65)</f>
        <v>Pending QME</v>
      </c>
    </row>
    <row r="3" spans="1:29" x14ac:dyDescent="0.45">
      <c r="A3" t="str">
        <f>IF('MASTER DATA'!A66="","",'MASTER DATA'!A66)</f>
        <v>SYN-CLM-0065</v>
      </c>
      <c r="B3" t="str">
        <f>IF('MASTER DATA'!B66="","",'MASTER DATA'!B66)</f>
        <v>Synthetic Claimant 0065</v>
      </c>
      <c r="C3" t="str">
        <f>IF('MASTER DATA'!C66="","",'MASTER DATA'!C66)</f>
        <v>Claims Analyst I</v>
      </c>
      <c r="D3" t="str">
        <f>IF('MASTER DATA'!D66="","",'MASTER DATA'!D66)</f>
        <v>Synthetic Policyholder 057, LLC</v>
      </c>
      <c r="E3" s="15">
        <f>IF('MASTER DATA'!E66="","",'MASTER DATA'!E66)</f>
        <v>43863</v>
      </c>
      <c r="F3" s="16" t="str">
        <f>IF('MASTER DATA'!F66="","",'MASTER DATA'!F66)</f>
        <v>Y</v>
      </c>
      <c r="G3" s="17">
        <f>IF('MASTER DATA'!G66="","",'MASTER DATA'!G66)</f>
        <v>157000</v>
      </c>
      <c r="H3" s="16" t="str">
        <f>IF('MASTER DATA'!H66="","",'MASTER DATA'!H66)</f>
        <v>Synthetic Approver 01</v>
      </c>
      <c r="I3" s="15">
        <f>IF('MASTER DATA'!I66="","",'MASTER DATA'!I66)</f>
        <v>44639</v>
      </c>
      <c r="J3" s="16" t="str">
        <f>IF('MASTER DATA'!J66="","",'MASTER DATA'!J66)</f>
        <v>N</v>
      </c>
      <c r="K3" s="15" t="str">
        <f>IF('MASTER DATA'!K66="","",'MASTER DATA'!K66)</f>
        <v/>
      </c>
      <c r="L3" s="16" t="str">
        <f>IF('MASTER DATA'!L66="","",'MASTER DATA'!L66)</f>
        <v>Y</v>
      </c>
      <c r="M3" s="16" t="str">
        <f>IF('MASTER DATA'!M66="","",'MASTER DATA'!M66)</f>
        <v>N</v>
      </c>
      <c r="N3" s="15" t="str">
        <f>IF('MASTER DATA'!N66="","",'MASTER DATA'!N66)</f>
        <v/>
      </c>
      <c r="O3" s="16" t="str">
        <f>IF('MASTER DATA'!O66="","",'MASTER DATA'!O66)</f>
        <v/>
      </c>
      <c r="P3" s="16" t="str">
        <f>IF('MASTER DATA'!P66="","",'MASTER DATA'!P66)</f>
        <v>N</v>
      </c>
      <c r="Q3" s="16" t="str">
        <f>IF('MASTER DATA'!Q66="","",'MASTER DATA'!Q66)</f>
        <v/>
      </c>
      <c r="R3" s="16" t="str">
        <f>IF('MASTER DATA'!R66="","",'MASTER DATA'!R66)</f>
        <v/>
      </c>
      <c r="S3" s="16" t="str">
        <f>IF('MASTER DATA'!S66="","",'MASTER DATA'!S66)</f>
        <v>N</v>
      </c>
      <c r="T3" s="15" t="str">
        <f>IF('MASTER DATA'!T66="","",'MASTER DATA'!T66)</f>
        <v/>
      </c>
      <c r="U3" s="16" t="str">
        <f>IF('MASTER DATA'!U66="","",'MASTER DATA'!U66)</f>
        <v>N</v>
      </c>
      <c r="V3" s="16" t="str">
        <f>IF('MASTER DATA'!V66="","",'MASTER DATA'!V66)</f>
        <v>N</v>
      </c>
      <c r="W3" s="16" t="str">
        <f>IF('MASTER DATA'!W66="","",'MASTER DATA'!W66)</f>
        <v>N</v>
      </c>
      <c r="X3" s="16" t="str">
        <f>IF('MASTER DATA'!X66="","",'MASTER DATA'!X66)</f>
        <v>N</v>
      </c>
      <c r="Y3" s="16" t="str">
        <f>IF('MASTER DATA'!Y66="","",'MASTER DATA'!Y66)</f>
        <v>N</v>
      </c>
      <c r="Z3" s="16" t="str">
        <f>IF('MASTER DATA'!Z66="","",'MASTER DATA'!Z66)</f>
        <v>N</v>
      </c>
      <c r="AA3" s="16">
        <f>IF('MASTER DATA'!AA66="","",'MASTER DATA'!AA66)</f>
        <v>1</v>
      </c>
      <c r="AB3" s="16" t="str">
        <f>IF('MASTER DATA'!AB66="","",'MASTER DATA'!AB66)</f>
        <v>SINGLE-SIGNAL</v>
      </c>
      <c r="AC3" s="16" t="str">
        <f>IF('MASTER DATA'!AC66="","",'MASTER DATA'!AC66)</f>
        <v>Settlement Authorization</v>
      </c>
    </row>
    <row r="4" spans="1:29" x14ac:dyDescent="0.45">
      <c r="A4" t="str">
        <f>IF('MASTER DATA'!A67="","",'MASTER DATA'!A67)</f>
        <v>SYN-CLM-0066</v>
      </c>
      <c r="B4" t="str">
        <f>IF('MASTER DATA'!B67="","",'MASTER DATA'!B67)</f>
        <v>Synthetic Claimant 0066</v>
      </c>
      <c r="C4" t="str">
        <f>IF('MASTER DATA'!C67="","",'MASTER DATA'!C67)</f>
        <v>Claims Analyst I</v>
      </c>
      <c r="D4" t="str">
        <f>IF('MASTER DATA'!D67="","",'MASTER DATA'!D67)</f>
        <v>Synthetic Policyholder 092, LLC</v>
      </c>
      <c r="E4" s="15">
        <f>IF('MASTER DATA'!E67="","",'MASTER DATA'!E67)</f>
        <v>44951</v>
      </c>
      <c r="F4" s="16" t="str">
        <f>IF('MASTER DATA'!F67="","",'MASTER DATA'!F67)</f>
        <v>Y</v>
      </c>
      <c r="G4" s="17">
        <f>IF('MASTER DATA'!G67="","",'MASTER DATA'!G67)</f>
        <v>125500</v>
      </c>
      <c r="H4" s="16" t="str">
        <f>IF('MASTER DATA'!H67="","",'MASTER DATA'!H67)</f>
        <v>Synthetic Approver 10</v>
      </c>
      <c r="I4" s="15">
        <f>IF('MASTER DATA'!I67="","",'MASTER DATA'!I67)</f>
        <v>46288</v>
      </c>
      <c r="J4" s="16" t="str">
        <f>IF('MASTER DATA'!J67="","",'MASTER DATA'!J67)</f>
        <v>N</v>
      </c>
      <c r="K4" s="15" t="str">
        <f>IF('MASTER DATA'!K67="","",'MASTER DATA'!K67)</f>
        <v/>
      </c>
      <c r="L4" s="16" t="str">
        <f>IF('MASTER DATA'!L67="","",'MASTER DATA'!L67)</f>
        <v>N</v>
      </c>
      <c r="M4" s="16" t="str">
        <f>IF('MASTER DATA'!M67="","",'MASTER DATA'!M67)</f>
        <v>N</v>
      </c>
      <c r="N4" s="15" t="str">
        <f>IF('MASTER DATA'!N67="","",'MASTER DATA'!N67)</f>
        <v/>
      </c>
      <c r="O4" s="16" t="str">
        <f>IF('MASTER DATA'!O67="","",'MASTER DATA'!O67)</f>
        <v/>
      </c>
      <c r="P4" s="16" t="str">
        <f>IF('MASTER DATA'!P67="","",'MASTER DATA'!P67)</f>
        <v>Y</v>
      </c>
      <c r="Q4" s="16" t="str">
        <f>IF('MASTER DATA'!Q67="","",'MASTER DATA'!Q67)</f>
        <v>Non-Renewed Account; Denied Treatment Requests; MMI Date Reported</v>
      </c>
      <c r="R4" s="16" t="str">
        <f>IF('MASTER DATA'!R67="","",'MASTER DATA'!R67)</f>
        <v>Surgery Requested; MSA Eligible in Next 3 Years</v>
      </c>
      <c r="S4" s="16" t="str">
        <f>IF('MASTER DATA'!S67="","",'MASTER DATA'!S67)</f>
        <v>Y</v>
      </c>
      <c r="T4" s="15">
        <f>IF('MASTER DATA'!T67="","",'MASTER DATA'!T67)</f>
        <v>46316</v>
      </c>
      <c r="U4" s="16" t="str">
        <f>IF('MASTER DATA'!U67="","",'MASTER DATA'!U67)</f>
        <v>Y</v>
      </c>
      <c r="V4" s="16" t="str">
        <f>IF('MASTER DATA'!V67="","",'MASTER DATA'!V67)</f>
        <v>Y</v>
      </c>
      <c r="W4" s="16" t="str">
        <f>IF('MASTER DATA'!W67="","",'MASTER DATA'!W67)</f>
        <v>Y</v>
      </c>
      <c r="X4" s="16" t="str">
        <f>IF('MASTER DATA'!X67="","",'MASTER DATA'!X67)</f>
        <v>N</v>
      </c>
      <c r="Y4" s="16" t="str">
        <f>IF('MASTER DATA'!Y67="","",'MASTER DATA'!Y67)</f>
        <v>Y</v>
      </c>
      <c r="Z4" s="16" t="str">
        <f>IF('MASTER DATA'!Z67="","",'MASTER DATA'!Z67)</f>
        <v>Y</v>
      </c>
      <c r="AA4" s="16">
        <f>IF('MASTER DATA'!AA67="","",'MASTER DATA'!AA67)</f>
        <v>3</v>
      </c>
      <c r="AB4" s="16" t="str">
        <f>IF('MASTER DATA'!AB67="","",'MASTER DATA'!AB67)</f>
        <v>ELEVATED MULTI-SIGNAL</v>
      </c>
      <c r="AC4" s="16" t="str">
        <f>IF('MASTER DATA'!AC67="","",'MASTER DATA'!AC67)</f>
        <v>Settlement Authorization | Automated Claim Alert | Inactive Customer</v>
      </c>
    </row>
    <row r="5" spans="1:29" x14ac:dyDescent="0.45">
      <c r="A5" t="str">
        <f>IF('MASTER DATA'!A68="","",'MASTER DATA'!A68)</f>
        <v>SYN-CLM-0067</v>
      </c>
      <c r="B5" t="str">
        <f>IF('MASTER DATA'!B68="","",'MASTER DATA'!B68)</f>
        <v>Synthetic Claimant 0067</v>
      </c>
      <c r="C5" t="str">
        <f>IF('MASTER DATA'!C68="","",'MASTER DATA'!C68)</f>
        <v>Claims Analyst I</v>
      </c>
      <c r="D5" t="str">
        <f>IF('MASTER DATA'!D68="","",'MASTER DATA'!D68)</f>
        <v>Synthetic Policyholder 104, LLC</v>
      </c>
      <c r="E5" s="15">
        <f>IF('MASTER DATA'!E68="","",'MASTER DATA'!E68)</f>
        <v>44185</v>
      </c>
      <c r="F5" s="16" t="str">
        <f>IF('MASTER DATA'!F68="","",'MASTER DATA'!F68)</f>
        <v>Y</v>
      </c>
      <c r="G5" s="17">
        <f>IF('MASTER DATA'!G68="","",'MASTER DATA'!G68)</f>
        <v>49000</v>
      </c>
      <c r="H5" s="16" t="str">
        <f>IF('MASTER DATA'!H68="","",'MASTER DATA'!H68)</f>
        <v>Synthetic Approver 01</v>
      </c>
      <c r="I5" s="15">
        <f>IF('MASTER DATA'!I68="","",'MASTER DATA'!I68)</f>
        <v>45185</v>
      </c>
      <c r="J5" s="16" t="str">
        <f>IF('MASTER DATA'!J68="","",'MASTER DATA'!J68)</f>
        <v>N</v>
      </c>
      <c r="K5" s="15" t="str">
        <f>IF('MASTER DATA'!K68="","",'MASTER DATA'!K68)</f>
        <v/>
      </c>
      <c r="L5" s="16" t="str">
        <f>IF('MASTER DATA'!L68="","",'MASTER DATA'!L68)</f>
        <v>N</v>
      </c>
      <c r="M5" s="16" t="str">
        <f>IF('MASTER DATA'!M68="","",'MASTER DATA'!M68)</f>
        <v>N</v>
      </c>
      <c r="N5" s="15" t="str">
        <f>IF('MASTER DATA'!N68="","",'MASTER DATA'!N68)</f>
        <v/>
      </c>
      <c r="O5" s="16" t="str">
        <f>IF('MASTER DATA'!O68="","",'MASTER DATA'!O68)</f>
        <v/>
      </c>
      <c r="P5" s="16" t="str">
        <f>IF('MASTER DATA'!P68="","",'MASTER DATA'!P68)</f>
        <v>N</v>
      </c>
      <c r="Q5" s="16" t="str">
        <f>IF('MASTER DATA'!Q68="","",'MASTER DATA'!Q68)</f>
        <v/>
      </c>
      <c r="R5" s="16" t="str">
        <f>IF('MASTER DATA'!R68="","",'MASTER DATA'!R68)</f>
        <v/>
      </c>
      <c r="S5" s="16" t="str">
        <f>IF('MASTER DATA'!S68="","",'MASTER DATA'!S68)</f>
        <v>N</v>
      </c>
      <c r="T5" s="15" t="str">
        <f>IF('MASTER DATA'!T68="","",'MASTER DATA'!T68)</f>
        <v/>
      </c>
      <c r="U5" s="16" t="str">
        <f>IF('MASTER DATA'!U68="","",'MASTER DATA'!U68)</f>
        <v>N</v>
      </c>
      <c r="V5" s="16" t="str">
        <f>IF('MASTER DATA'!V68="","",'MASTER DATA'!V68)</f>
        <v>N</v>
      </c>
      <c r="W5" s="16" t="str">
        <f>IF('MASTER DATA'!W68="","",'MASTER DATA'!W68)</f>
        <v>N</v>
      </c>
      <c r="X5" s="16" t="str">
        <f>IF('MASTER DATA'!X68="","",'MASTER DATA'!X68)</f>
        <v>N</v>
      </c>
      <c r="Y5" s="16" t="str">
        <f>IF('MASTER DATA'!Y68="","",'MASTER DATA'!Y68)</f>
        <v>N</v>
      </c>
      <c r="Z5" s="16" t="str">
        <f>IF('MASTER DATA'!Z68="","",'MASTER DATA'!Z68)</f>
        <v>N</v>
      </c>
      <c r="AA5" s="16">
        <f>IF('MASTER DATA'!AA68="","",'MASTER DATA'!AA68)</f>
        <v>1</v>
      </c>
      <c r="AB5" s="16" t="str">
        <f>IF('MASTER DATA'!AB68="","",'MASTER DATA'!AB68)</f>
        <v>SINGLE-SIGNAL</v>
      </c>
      <c r="AC5" s="16" t="str">
        <f>IF('MASTER DATA'!AC68="","",'MASTER DATA'!AC68)</f>
        <v>Settlement Authorization</v>
      </c>
    </row>
    <row r="6" spans="1:29" x14ac:dyDescent="0.45">
      <c r="A6" t="str">
        <f>IF('MASTER DATA'!A69="","",'MASTER DATA'!A69)</f>
        <v>SYN-CLM-0068</v>
      </c>
      <c r="B6" t="str">
        <f>IF('MASTER DATA'!B69="","",'MASTER DATA'!B69)</f>
        <v>Synthetic Claimant 0068</v>
      </c>
      <c r="C6" t="str">
        <f>IF('MASTER DATA'!C69="","",'MASTER DATA'!C69)</f>
        <v>Claims Analyst I</v>
      </c>
      <c r="D6" t="str">
        <f>IF('MASTER DATA'!D69="","",'MASTER DATA'!D69)</f>
        <v>Synthetic Policyholder 094, LLC</v>
      </c>
      <c r="E6" s="15">
        <f>IF('MASTER DATA'!E69="","",'MASTER DATA'!E69)</f>
        <v>44248</v>
      </c>
      <c r="F6" s="16" t="str">
        <f>IF('MASTER DATA'!F69="","",'MASTER DATA'!F69)</f>
        <v>Y</v>
      </c>
      <c r="G6" s="17">
        <f>IF('MASTER DATA'!G69="","",'MASTER DATA'!G69)</f>
        <v>114000</v>
      </c>
      <c r="H6" s="16" t="str">
        <f>IF('MASTER DATA'!H69="","",'MASTER DATA'!H69)</f>
        <v>Synthetic Approver 11</v>
      </c>
      <c r="I6" s="15">
        <f>IF('MASTER DATA'!I69="","",'MASTER DATA'!I69)</f>
        <v>44468</v>
      </c>
      <c r="J6" s="16" t="str">
        <f>IF('MASTER DATA'!J69="","",'MASTER DATA'!J69)</f>
        <v>N</v>
      </c>
      <c r="K6" s="15" t="str">
        <f>IF('MASTER DATA'!K69="","",'MASTER DATA'!K69)</f>
        <v/>
      </c>
      <c r="L6" s="16" t="str">
        <f>IF('MASTER DATA'!L69="","",'MASTER DATA'!L69)</f>
        <v>N</v>
      </c>
      <c r="M6" s="16" t="str">
        <f>IF('MASTER DATA'!M69="","",'MASTER DATA'!M69)</f>
        <v>N</v>
      </c>
      <c r="N6" s="15" t="str">
        <f>IF('MASTER DATA'!N69="","",'MASTER DATA'!N69)</f>
        <v/>
      </c>
      <c r="O6" s="16" t="str">
        <f>IF('MASTER DATA'!O69="","",'MASTER DATA'!O69)</f>
        <v/>
      </c>
      <c r="P6" s="16" t="str">
        <f>IF('MASTER DATA'!P69="","",'MASTER DATA'!P69)</f>
        <v>N</v>
      </c>
      <c r="Q6" s="16" t="str">
        <f>IF('MASTER DATA'!Q69="","",'MASTER DATA'!Q69)</f>
        <v/>
      </c>
      <c r="R6" s="16" t="str">
        <f>IF('MASTER DATA'!R69="","",'MASTER DATA'!R69)</f>
        <v/>
      </c>
      <c r="S6" s="16" t="str">
        <f>IF('MASTER DATA'!S69="","",'MASTER DATA'!S69)</f>
        <v>N</v>
      </c>
      <c r="T6" s="15" t="str">
        <f>IF('MASTER DATA'!T69="","",'MASTER DATA'!T69)</f>
        <v/>
      </c>
      <c r="U6" s="16" t="str">
        <f>IF('MASTER DATA'!U69="","",'MASTER DATA'!U69)</f>
        <v>N</v>
      </c>
      <c r="V6" s="16" t="str">
        <f>IF('MASTER DATA'!V69="","",'MASTER DATA'!V69)</f>
        <v>N</v>
      </c>
      <c r="W6" s="16" t="str">
        <f>IF('MASTER DATA'!W69="","",'MASTER DATA'!W69)</f>
        <v>N</v>
      </c>
      <c r="X6" s="16" t="str">
        <f>IF('MASTER DATA'!X69="","",'MASTER DATA'!X69)</f>
        <v>N</v>
      </c>
      <c r="Y6" s="16" t="str">
        <f>IF('MASTER DATA'!Y69="","",'MASTER DATA'!Y69)</f>
        <v>N</v>
      </c>
      <c r="Z6" s="16" t="str">
        <f>IF('MASTER DATA'!Z69="","",'MASTER DATA'!Z69)</f>
        <v>N</v>
      </c>
      <c r="AA6" s="16">
        <f>IF('MASTER DATA'!AA69="","",'MASTER DATA'!AA69)</f>
        <v>1</v>
      </c>
      <c r="AB6" s="16" t="str">
        <f>IF('MASTER DATA'!AB69="","",'MASTER DATA'!AB69)</f>
        <v>SINGLE-SIGNAL</v>
      </c>
      <c r="AC6" s="16" t="str">
        <f>IF('MASTER DATA'!AC69="","",'MASTER DATA'!AC69)</f>
        <v>Settlement Authorization</v>
      </c>
    </row>
    <row r="7" spans="1:29" x14ac:dyDescent="0.45">
      <c r="A7" t="str">
        <f>IF('MASTER DATA'!A70="","",'MASTER DATA'!A70)</f>
        <v>SYN-CLM-0069</v>
      </c>
      <c r="B7" t="str">
        <f>IF('MASTER DATA'!B70="","",'MASTER DATA'!B70)</f>
        <v>Synthetic Claimant 0069</v>
      </c>
      <c r="C7" t="str">
        <f>IF('MASTER DATA'!C70="","",'MASTER DATA'!C70)</f>
        <v>Claims Analyst I</v>
      </c>
      <c r="D7" t="str">
        <f>IF('MASTER DATA'!D70="","",'MASTER DATA'!D70)</f>
        <v>Synthetic Policyholder 139, LLC</v>
      </c>
      <c r="E7" s="15">
        <f>IF('MASTER DATA'!E70="","",'MASTER DATA'!E70)</f>
        <v>43531</v>
      </c>
      <c r="F7" s="16" t="str">
        <f>IF('MASTER DATA'!F70="","",'MASTER DATA'!F70)</f>
        <v>Y</v>
      </c>
      <c r="G7" s="17">
        <f>IF('MASTER DATA'!G70="","",'MASTER DATA'!G70)</f>
        <v>112250</v>
      </c>
      <c r="H7" s="16" t="str">
        <f>IF('MASTER DATA'!H70="","",'MASTER DATA'!H70)</f>
        <v>Synthetic Approver 09</v>
      </c>
      <c r="I7" s="15">
        <f>IF('MASTER DATA'!I70="","",'MASTER DATA'!I70)</f>
        <v>45017</v>
      </c>
      <c r="J7" s="16" t="str">
        <f>IF('MASTER DATA'!J70="","",'MASTER DATA'!J70)</f>
        <v>Y</v>
      </c>
      <c r="K7" s="15">
        <f>IF('MASTER DATA'!K70="","",'MASTER DATA'!K70)</f>
        <v>43884</v>
      </c>
      <c r="L7" s="16" t="str">
        <f>IF('MASTER DATA'!L70="","",'MASTER DATA'!L70)</f>
        <v>Y</v>
      </c>
      <c r="M7" s="16" t="str">
        <f>IF('MASTER DATA'!M70="","",'MASTER DATA'!M70)</f>
        <v>Y</v>
      </c>
      <c r="N7" s="15">
        <f>IF('MASTER DATA'!N70="","",'MASTER DATA'!N70)</f>
        <v>44155</v>
      </c>
      <c r="O7" s="16" t="str">
        <f>IF('MASTER DATA'!O70="","",'MASTER DATA'!O70)</f>
        <v>Synthetic QME Evaluator 07</v>
      </c>
      <c r="P7" s="16" t="str">
        <f>IF('MASTER DATA'!P70="","",'MASTER DATA'!P70)</f>
        <v>N</v>
      </c>
      <c r="Q7" s="16" t="str">
        <f>IF('MASTER DATA'!Q70="","",'MASTER DATA'!Q70)</f>
        <v/>
      </c>
      <c r="R7" s="16" t="str">
        <f>IF('MASTER DATA'!R70="","",'MASTER DATA'!R70)</f>
        <v/>
      </c>
      <c r="S7" s="16" t="str">
        <f>IF('MASTER DATA'!S70="","",'MASTER DATA'!S70)</f>
        <v>Y</v>
      </c>
      <c r="T7" s="15">
        <f>IF('MASTER DATA'!T70="","",'MASTER DATA'!T70)</f>
        <v>45232</v>
      </c>
      <c r="U7" s="16" t="str">
        <f>IF('MASTER DATA'!U70="","",'MASTER DATA'!U70)</f>
        <v>N</v>
      </c>
      <c r="V7" s="16" t="str">
        <f>IF('MASTER DATA'!V70="","",'MASTER DATA'!V70)</f>
        <v>N</v>
      </c>
      <c r="W7" s="16" t="str">
        <f>IF('MASTER DATA'!W70="","",'MASTER DATA'!W70)</f>
        <v>N</v>
      </c>
      <c r="X7" s="16" t="str">
        <f>IF('MASTER DATA'!X70="","",'MASTER DATA'!X70)</f>
        <v>N</v>
      </c>
      <c r="Y7" s="16" t="str">
        <f>IF('MASTER DATA'!Y70="","",'MASTER DATA'!Y70)</f>
        <v>N</v>
      </c>
      <c r="Z7" s="16" t="str">
        <f>IF('MASTER DATA'!Z70="","",'MASTER DATA'!Z70)</f>
        <v>N</v>
      </c>
      <c r="AA7" s="16">
        <f>IF('MASTER DATA'!AA70="","",'MASTER DATA'!AA70)</f>
        <v>4</v>
      </c>
      <c r="AB7" s="16" t="str">
        <f>IF('MASTER DATA'!AB70="","",'MASTER DATA'!AB70)</f>
        <v>HIGH MULTI-SIGNAL</v>
      </c>
      <c r="AC7" s="16" t="str">
        <f>IF('MASTER DATA'!AC70="","",'MASTER DATA'!AC70)</f>
        <v>Settlement Authorization | Open Stipulation | Pending QME | Inactive Customer</v>
      </c>
    </row>
    <row r="8" spans="1:29" x14ac:dyDescent="0.45">
      <c r="A8" t="str">
        <f>IF('MASTER DATA'!A71="","",'MASTER DATA'!A71)</f>
        <v>SYN-CLM-0070</v>
      </c>
      <c r="B8" t="str">
        <f>IF('MASTER DATA'!B71="","",'MASTER DATA'!B71)</f>
        <v>Synthetic Claimant 0070</v>
      </c>
      <c r="C8" t="str">
        <f>IF('MASTER DATA'!C71="","",'MASTER DATA'!C71)</f>
        <v>Claims Analyst I</v>
      </c>
      <c r="D8" t="str">
        <f>IF('MASTER DATA'!D71="","",'MASTER DATA'!D71)</f>
        <v>Synthetic Policyholder 175, LLC</v>
      </c>
      <c r="E8" s="15">
        <f>IF('MASTER DATA'!E71="","",'MASTER DATA'!E71)</f>
        <v>43988</v>
      </c>
      <c r="F8" s="16" t="str">
        <f>IF('MASTER DATA'!F71="","",'MASTER DATA'!F71)</f>
        <v>N</v>
      </c>
      <c r="G8" s="17" t="str">
        <f>IF('MASTER DATA'!G71="","",'MASTER DATA'!G71)</f>
        <v/>
      </c>
      <c r="H8" s="16" t="str">
        <f>IF('MASTER DATA'!H71="","",'MASTER DATA'!H71)</f>
        <v/>
      </c>
      <c r="I8" s="15" t="str">
        <f>IF('MASTER DATA'!I71="","",'MASTER DATA'!I71)</f>
        <v/>
      </c>
      <c r="J8" s="16" t="str">
        <f>IF('MASTER DATA'!J71="","",'MASTER DATA'!J71)</f>
        <v>N</v>
      </c>
      <c r="K8" s="15" t="str">
        <f>IF('MASTER DATA'!K71="","",'MASTER DATA'!K71)</f>
        <v/>
      </c>
      <c r="L8" s="16" t="str">
        <f>IF('MASTER DATA'!L71="","",'MASTER DATA'!L71)</f>
        <v/>
      </c>
      <c r="M8" s="16" t="str">
        <f>IF('MASTER DATA'!M71="","",'MASTER DATA'!M71)</f>
        <v>N</v>
      </c>
      <c r="N8" s="15" t="str">
        <f>IF('MASTER DATA'!N71="","",'MASTER DATA'!N71)</f>
        <v/>
      </c>
      <c r="O8" s="16" t="str">
        <f>IF('MASTER DATA'!O71="","",'MASTER DATA'!O71)</f>
        <v/>
      </c>
      <c r="P8" s="16" t="str">
        <f>IF('MASTER DATA'!P71="","",'MASTER DATA'!P71)</f>
        <v>N</v>
      </c>
      <c r="Q8" s="16" t="str">
        <f>IF('MASTER DATA'!Q71="","",'MASTER DATA'!Q71)</f>
        <v/>
      </c>
      <c r="R8" s="16" t="str">
        <f>IF('MASTER DATA'!R71="","",'MASTER DATA'!R71)</f>
        <v/>
      </c>
      <c r="S8" s="16" t="str">
        <f>IF('MASTER DATA'!S71="","",'MASTER DATA'!S71)</f>
        <v>Y</v>
      </c>
      <c r="T8" s="15">
        <f>IF('MASTER DATA'!T71="","",'MASTER DATA'!T71)</f>
        <v>45079</v>
      </c>
      <c r="U8" s="16" t="str">
        <f>IF('MASTER DATA'!U71="","",'MASTER DATA'!U71)</f>
        <v>N</v>
      </c>
      <c r="V8" s="16" t="str">
        <f>IF('MASTER DATA'!V71="","",'MASTER DATA'!V71)</f>
        <v>N</v>
      </c>
      <c r="W8" s="16" t="str">
        <f>IF('MASTER DATA'!W71="","",'MASTER DATA'!W71)</f>
        <v>N</v>
      </c>
      <c r="X8" s="16" t="str">
        <f>IF('MASTER DATA'!X71="","",'MASTER DATA'!X71)</f>
        <v>N</v>
      </c>
      <c r="Y8" s="16" t="str">
        <f>IF('MASTER DATA'!Y71="","",'MASTER DATA'!Y71)</f>
        <v>N</v>
      </c>
      <c r="Z8" s="16" t="str">
        <f>IF('MASTER DATA'!Z71="","",'MASTER DATA'!Z71)</f>
        <v>N</v>
      </c>
      <c r="AA8" s="16">
        <f>IF('MASTER DATA'!AA71="","",'MASTER DATA'!AA71)</f>
        <v>1</v>
      </c>
      <c r="AB8" s="16" t="str">
        <f>IF('MASTER DATA'!AB71="","",'MASTER DATA'!AB71)</f>
        <v>SINGLE-SIGNAL</v>
      </c>
      <c r="AC8" s="16" t="str">
        <f>IF('MASTER DATA'!AC71="","",'MASTER DATA'!AC71)</f>
        <v>Inactive Customer</v>
      </c>
    </row>
    <row r="9" spans="1:29" x14ac:dyDescent="0.45">
      <c r="A9" t="str">
        <f>IF('MASTER DATA'!A72="","",'MASTER DATA'!A72)</f>
        <v>SYN-CLM-0071</v>
      </c>
      <c r="B9" t="str">
        <f>IF('MASTER DATA'!B72="","",'MASTER DATA'!B72)</f>
        <v>Synthetic Claimant 0071</v>
      </c>
      <c r="C9" t="str">
        <f>IF('MASTER DATA'!C72="","",'MASTER DATA'!C72)</f>
        <v>Claims Analyst I</v>
      </c>
      <c r="D9" t="str">
        <f>IF('MASTER DATA'!D72="","",'MASTER DATA'!D72)</f>
        <v>Synthetic Policyholder 126, LLC</v>
      </c>
      <c r="E9" s="15">
        <f>IF('MASTER DATA'!E72="","",'MASTER DATA'!E72)</f>
        <v>43272</v>
      </c>
      <c r="F9" s="16" t="str">
        <f>IF('MASTER DATA'!F72="","",'MASTER DATA'!F72)</f>
        <v>Y</v>
      </c>
      <c r="G9" s="17">
        <f>IF('MASTER DATA'!G72="","",'MASTER DATA'!G72)</f>
        <v>20500</v>
      </c>
      <c r="H9" s="16" t="str">
        <f>IF('MASTER DATA'!H72="","",'MASTER DATA'!H72)</f>
        <v>Synthetic Approver 09</v>
      </c>
      <c r="I9" s="15">
        <f>IF('MASTER DATA'!I72="","",'MASTER DATA'!I72)</f>
        <v>43430</v>
      </c>
      <c r="J9" s="16" t="str">
        <f>IF('MASTER DATA'!J72="","",'MASTER DATA'!J72)</f>
        <v>N</v>
      </c>
      <c r="K9" s="15" t="str">
        <f>IF('MASTER DATA'!K72="","",'MASTER DATA'!K72)</f>
        <v/>
      </c>
      <c r="L9" s="16" t="str">
        <f>IF('MASTER DATA'!L72="","",'MASTER DATA'!L72)</f>
        <v>N</v>
      </c>
      <c r="M9" s="16" t="str">
        <f>IF('MASTER DATA'!M72="","",'MASTER DATA'!M72)</f>
        <v>N</v>
      </c>
      <c r="N9" s="15" t="str">
        <f>IF('MASTER DATA'!N72="","",'MASTER DATA'!N72)</f>
        <v/>
      </c>
      <c r="O9" s="16" t="str">
        <f>IF('MASTER DATA'!O72="","",'MASTER DATA'!O72)</f>
        <v/>
      </c>
      <c r="P9" s="16" t="str">
        <f>IF('MASTER DATA'!P72="","",'MASTER DATA'!P72)</f>
        <v>N</v>
      </c>
      <c r="Q9" s="16" t="str">
        <f>IF('MASTER DATA'!Q72="","",'MASTER DATA'!Q72)</f>
        <v/>
      </c>
      <c r="R9" s="16" t="str">
        <f>IF('MASTER DATA'!R72="","",'MASTER DATA'!R72)</f>
        <v/>
      </c>
      <c r="S9" s="16" t="str">
        <f>IF('MASTER DATA'!S72="","",'MASTER DATA'!S72)</f>
        <v>Y</v>
      </c>
      <c r="T9" s="15">
        <f>IF('MASTER DATA'!T72="","",'MASTER DATA'!T72)</f>
        <v>44930</v>
      </c>
      <c r="U9" s="16" t="str">
        <f>IF('MASTER DATA'!U72="","",'MASTER DATA'!U72)</f>
        <v>N</v>
      </c>
      <c r="V9" s="16" t="str">
        <f>IF('MASTER DATA'!V72="","",'MASTER DATA'!V72)</f>
        <v>N</v>
      </c>
      <c r="W9" s="16" t="str">
        <f>IF('MASTER DATA'!W72="","",'MASTER DATA'!W72)</f>
        <v>N</v>
      </c>
      <c r="X9" s="16" t="str">
        <f>IF('MASTER DATA'!X72="","",'MASTER DATA'!X72)</f>
        <v>N</v>
      </c>
      <c r="Y9" s="16" t="str">
        <f>IF('MASTER DATA'!Y72="","",'MASTER DATA'!Y72)</f>
        <v>N</v>
      </c>
      <c r="Z9" s="16" t="str">
        <f>IF('MASTER DATA'!Z72="","",'MASTER DATA'!Z72)</f>
        <v>N</v>
      </c>
      <c r="AA9" s="16">
        <f>IF('MASTER DATA'!AA72="","",'MASTER DATA'!AA72)</f>
        <v>2</v>
      </c>
      <c r="AB9" s="16" t="str">
        <f>IF('MASTER DATA'!AB72="","",'MASTER DATA'!AB72)</f>
        <v>MULTI-SIGNAL</v>
      </c>
      <c r="AC9" s="16" t="str">
        <f>IF('MASTER DATA'!AC72="","",'MASTER DATA'!AC72)</f>
        <v>Settlement Authorization | Inactive Customer</v>
      </c>
    </row>
    <row r="10" spans="1:29" x14ac:dyDescent="0.45">
      <c r="A10" t="str">
        <f>IF('MASTER DATA'!A364="","",'MASTER DATA'!A364)</f>
        <v>SYN-CLM-0363</v>
      </c>
      <c r="B10" t="str">
        <f>IF('MASTER DATA'!B364="","",'MASTER DATA'!B364)</f>
        <v>Synthetic Claimant 0363</v>
      </c>
      <c r="C10" t="str">
        <f>IF('MASTER DATA'!C364="","",'MASTER DATA'!C364)</f>
        <v>Claims Analyst I</v>
      </c>
      <c r="D10" t="str">
        <f>IF('MASTER DATA'!D364="","",'MASTER DATA'!D364)</f>
        <v>Synthetic Policyholder 074, LLC</v>
      </c>
      <c r="E10" s="15">
        <f>IF('MASTER DATA'!E364="","",'MASTER DATA'!E364)</f>
        <v>43235</v>
      </c>
      <c r="F10" s="16" t="str">
        <f>IF('MASTER DATA'!F364="","",'MASTER DATA'!F364)</f>
        <v>N</v>
      </c>
      <c r="G10" s="17" t="str">
        <f>IF('MASTER DATA'!G364="","",'MASTER DATA'!G364)</f>
        <v/>
      </c>
      <c r="H10" s="16" t="str">
        <f>IF('MASTER DATA'!H364="","",'MASTER DATA'!H364)</f>
        <v/>
      </c>
      <c r="I10" s="15" t="str">
        <f>IF('MASTER DATA'!I364="","",'MASTER DATA'!I364)</f>
        <v/>
      </c>
      <c r="J10" s="16" t="str">
        <f>IF('MASTER DATA'!J364="","",'MASTER DATA'!J364)</f>
        <v>N</v>
      </c>
      <c r="K10" s="15" t="str">
        <f>IF('MASTER DATA'!K364="","",'MASTER DATA'!K364)</f>
        <v/>
      </c>
      <c r="L10" s="16" t="str">
        <f>IF('MASTER DATA'!L364="","",'MASTER DATA'!L364)</f>
        <v/>
      </c>
      <c r="M10" s="16" t="str">
        <f>IF('MASTER DATA'!M364="","",'MASTER DATA'!M364)</f>
        <v>N</v>
      </c>
      <c r="N10" s="15" t="str">
        <f>IF('MASTER DATA'!N364="","",'MASTER DATA'!N364)</f>
        <v/>
      </c>
      <c r="O10" s="16" t="str">
        <f>IF('MASTER DATA'!O364="","",'MASTER DATA'!O364)</f>
        <v/>
      </c>
      <c r="P10" s="16" t="str">
        <f>IF('MASTER DATA'!P364="","",'MASTER DATA'!P364)</f>
        <v>N</v>
      </c>
      <c r="Q10" s="16" t="str">
        <f>IF('MASTER DATA'!Q364="","",'MASTER DATA'!Q364)</f>
        <v/>
      </c>
      <c r="R10" s="16" t="str">
        <f>IF('MASTER DATA'!R364="","",'MASTER DATA'!R364)</f>
        <v/>
      </c>
      <c r="S10" s="16" t="str">
        <f>IF('MASTER DATA'!S364="","",'MASTER DATA'!S364)</f>
        <v>Y</v>
      </c>
      <c r="T10" s="15">
        <f>IF('MASTER DATA'!T364="","",'MASTER DATA'!T364)</f>
        <v>44215</v>
      </c>
      <c r="U10" s="16" t="str">
        <f>IF('MASTER DATA'!U364="","",'MASTER DATA'!U364)</f>
        <v>N</v>
      </c>
      <c r="V10" s="16" t="str">
        <f>IF('MASTER DATA'!V364="","",'MASTER DATA'!V364)</f>
        <v>N</v>
      </c>
      <c r="W10" s="16" t="str">
        <f>IF('MASTER DATA'!W364="","",'MASTER DATA'!W364)</f>
        <v>N</v>
      </c>
      <c r="X10" s="16" t="str">
        <f>IF('MASTER DATA'!X364="","",'MASTER DATA'!X364)</f>
        <v>N</v>
      </c>
      <c r="Y10" s="16" t="str">
        <f>IF('MASTER DATA'!Y364="","",'MASTER DATA'!Y364)</f>
        <v>N</v>
      </c>
      <c r="Z10" s="16" t="str">
        <f>IF('MASTER DATA'!Z364="","",'MASTER DATA'!Z364)</f>
        <v>N</v>
      </c>
      <c r="AA10" s="16">
        <f>IF('MASTER DATA'!AA364="","",'MASTER DATA'!AA364)</f>
        <v>1</v>
      </c>
      <c r="AB10" s="16" t="str">
        <f>IF('MASTER DATA'!AB364="","",'MASTER DATA'!AB364)</f>
        <v>SINGLE-SIGNAL</v>
      </c>
      <c r="AC10" s="16" t="str">
        <f>IF('MASTER DATA'!AC364="","",'MASTER DATA'!AC364)</f>
        <v>Inactive Customer</v>
      </c>
    </row>
    <row r="11" spans="1:29" x14ac:dyDescent="0.45">
      <c r="A11" t="str">
        <f>IF('MASTER DATA'!A365="","",'MASTER DATA'!A365)</f>
        <v>SYN-CLM-0364</v>
      </c>
      <c r="B11" t="str">
        <f>IF('MASTER DATA'!B365="","",'MASTER DATA'!B365)</f>
        <v>Synthetic Claimant 0364</v>
      </c>
      <c r="C11" t="str">
        <f>IF('MASTER DATA'!C365="","",'MASTER DATA'!C365)</f>
        <v>Claims Analyst I</v>
      </c>
      <c r="D11" t="str">
        <f>IF('MASTER DATA'!D365="","",'MASTER DATA'!D365)</f>
        <v>Synthetic Policyholder 159, LLC</v>
      </c>
      <c r="E11" s="15">
        <f>IF('MASTER DATA'!E365="","",'MASTER DATA'!E365)</f>
        <v>43665</v>
      </c>
      <c r="F11" s="16" t="str">
        <f>IF('MASTER DATA'!F365="","",'MASTER DATA'!F365)</f>
        <v>N</v>
      </c>
      <c r="G11" s="17" t="str">
        <f>IF('MASTER DATA'!G365="","",'MASTER DATA'!G365)</f>
        <v/>
      </c>
      <c r="H11" s="16" t="str">
        <f>IF('MASTER DATA'!H365="","",'MASTER DATA'!H365)</f>
        <v/>
      </c>
      <c r="I11" s="15" t="str">
        <f>IF('MASTER DATA'!I365="","",'MASTER DATA'!I365)</f>
        <v/>
      </c>
      <c r="J11" s="16" t="str">
        <f>IF('MASTER DATA'!J365="","",'MASTER DATA'!J365)</f>
        <v>N</v>
      </c>
      <c r="K11" s="15" t="str">
        <f>IF('MASTER DATA'!K365="","",'MASTER DATA'!K365)</f>
        <v/>
      </c>
      <c r="L11" s="16" t="str">
        <f>IF('MASTER DATA'!L365="","",'MASTER DATA'!L365)</f>
        <v/>
      </c>
      <c r="M11" s="16" t="str">
        <f>IF('MASTER DATA'!M365="","",'MASTER DATA'!M365)</f>
        <v>Y</v>
      </c>
      <c r="N11" s="15">
        <f>IF('MASTER DATA'!N365="","",'MASTER DATA'!N365)</f>
        <v>44542</v>
      </c>
      <c r="O11" s="16" t="str">
        <f>IF('MASTER DATA'!O365="","",'MASTER DATA'!O365)</f>
        <v>Synthetic QME Evaluator 32</v>
      </c>
      <c r="P11" s="16" t="str">
        <f>IF('MASTER DATA'!P365="","",'MASTER DATA'!P365)</f>
        <v>N</v>
      </c>
      <c r="Q11" s="16" t="str">
        <f>IF('MASTER DATA'!Q365="","",'MASTER DATA'!Q365)</f>
        <v/>
      </c>
      <c r="R11" s="16" t="str">
        <f>IF('MASTER DATA'!R365="","",'MASTER DATA'!R365)</f>
        <v/>
      </c>
      <c r="S11" s="16" t="str">
        <f>IF('MASTER DATA'!S365="","",'MASTER DATA'!S365)</f>
        <v>N</v>
      </c>
      <c r="T11" s="15" t="str">
        <f>IF('MASTER DATA'!T365="","",'MASTER DATA'!T365)</f>
        <v/>
      </c>
      <c r="U11" s="16" t="str">
        <f>IF('MASTER DATA'!U365="","",'MASTER DATA'!U365)</f>
        <v>N</v>
      </c>
      <c r="V11" s="16" t="str">
        <f>IF('MASTER DATA'!V365="","",'MASTER DATA'!V365)</f>
        <v>N</v>
      </c>
      <c r="W11" s="16" t="str">
        <f>IF('MASTER DATA'!W365="","",'MASTER DATA'!W365)</f>
        <v>N</v>
      </c>
      <c r="X11" s="16" t="str">
        <f>IF('MASTER DATA'!X365="","",'MASTER DATA'!X365)</f>
        <v>N</v>
      </c>
      <c r="Y11" s="16" t="str">
        <f>IF('MASTER DATA'!Y365="","",'MASTER DATA'!Y365)</f>
        <v>N</v>
      </c>
      <c r="Z11" s="16" t="str">
        <f>IF('MASTER DATA'!Z365="","",'MASTER DATA'!Z365)</f>
        <v>N</v>
      </c>
      <c r="AA11" s="16">
        <f>IF('MASTER DATA'!AA365="","",'MASTER DATA'!AA365)</f>
        <v>1</v>
      </c>
      <c r="AB11" s="16" t="str">
        <f>IF('MASTER DATA'!AB365="","",'MASTER DATA'!AB365)</f>
        <v>SINGLE-SIGNAL</v>
      </c>
      <c r="AC11" s="16" t="str">
        <f>IF('MASTER DATA'!AC365="","",'MASTER DATA'!AC365)</f>
        <v>Pending QME</v>
      </c>
    </row>
    <row r="12" spans="1:29" x14ac:dyDescent="0.45">
      <c r="A12" t="str">
        <f>IF('MASTER DATA'!A366="","",'MASTER DATA'!A366)</f>
        <v>SYN-CLM-0365</v>
      </c>
      <c r="B12" t="str">
        <f>IF('MASTER DATA'!B366="","",'MASTER DATA'!B366)</f>
        <v>Synthetic Claimant 0365</v>
      </c>
      <c r="C12" t="str">
        <f>IF('MASTER DATA'!C366="","",'MASTER DATA'!C366)</f>
        <v>Claims Analyst I</v>
      </c>
      <c r="D12" t="str">
        <f>IF('MASTER DATA'!D366="","",'MASTER DATA'!D366)</f>
        <v>Synthetic Policyholder 029, LLC</v>
      </c>
      <c r="E12" s="15">
        <f>IF('MASTER DATA'!E366="","",'MASTER DATA'!E366)</f>
        <v>43232</v>
      </c>
      <c r="F12" s="16" t="str">
        <f>IF('MASTER DATA'!F366="","",'MASTER DATA'!F366)</f>
        <v>Y</v>
      </c>
      <c r="G12" s="17">
        <f>IF('MASTER DATA'!G366="","",'MASTER DATA'!G366)</f>
        <v>42250</v>
      </c>
      <c r="H12" s="16" t="str">
        <f>IF('MASTER DATA'!H366="","",'MASTER DATA'!H366)</f>
        <v>Synthetic Approver 10</v>
      </c>
      <c r="I12" s="15">
        <f>IF('MASTER DATA'!I366="","",'MASTER DATA'!I366)</f>
        <v>44758</v>
      </c>
      <c r="J12" s="16" t="str">
        <f>IF('MASTER DATA'!J366="","",'MASTER DATA'!J366)</f>
        <v>N</v>
      </c>
      <c r="K12" s="15" t="str">
        <f>IF('MASTER DATA'!K366="","",'MASTER DATA'!K366)</f>
        <v/>
      </c>
      <c r="L12" s="16" t="str">
        <f>IF('MASTER DATA'!L366="","",'MASTER DATA'!L366)</f>
        <v>Y</v>
      </c>
      <c r="M12" s="16" t="str">
        <f>IF('MASTER DATA'!M366="","",'MASTER DATA'!M366)</f>
        <v>N</v>
      </c>
      <c r="N12" s="15" t="str">
        <f>IF('MASTER DATA'!N366="","",'MASTER DATA'!N366)</f>
        <v/>
      </c>
      <c r="O12" s="16" t="str">
        <f>IF('MASTER DATA'!O366="","",'MASTER DATA'!O366)</f>
        <v/>
      </c>
      <c r="P12" s="16" t="str">
        <f>IF('MASTER DATA'!P366="","",'MASTER DATA'!P366)</f>
        <v>N</v>
      </c>
      <c r="Q12" s="16" t="str">
        <f>IF('MASTER DATA'!Q366="","",'MASTER DATA'!Q366)</f>
        <v/>
      </c>
      <c r="R12" s="16" t="str">
        <f>IF('MASTER DATA'!R366="","",'MASTER DATA'!R366)</f>
        <v/>
      </c>
      <c r="S12" s="16" t="str">
        <f>IF('MASTER DATA'!S366="","",'MASTER DATA'!S366)</f>
        <v>N</v>
      </c>
      <c r="T12" s="15" t="str">
        <f>IF('MASTER DATA'!T366="","",'MASTER DATA'!T366)</f>
        <v/>
      </c>
      <c r="U12" s="16" t="str">
        <f>IF('MASTER DATA'!U366="","",'MASTER DATA'!U366)</f>
        <v>N</v>
      </c>
      <c r="V12" s="16" t="str">
        <f>IF('MASTER DATA'!V366="","",'MASTER DATA'!V366)</f>
        <v>N</v>
      </c>
      <c r="W12" s="16" t="str">
        <f>IF('MASTER DATA'!W366="","",'MASTER DATA'!W366)</f>
        <v>N</v>
      </c>
      <c r="X12" s="16" t="str">
        <f>IF('MASTER DATA'!X366="","",'MASTER DATA'!X366)</f>
        <v>N</v>
      </c>
      <c r="Y12" s="16" t="str">
        <f>IF('MASTER DATA'!Y366="","",'MASTER DATA'!Y366)</f>
        <v>N</v>
      </c>
      <c r="Z12" s="16" t="str">
        <f>IF('MASTER DATA'!Z366="","",'MASTER DATA'!Z366)</f>
        <v>N</v>
      </c>
      <c r="AA12" s="16">
        <f>IF('MASTER DATA'!AA366="","",'MASTER DATA'!AA366)</f>
        <v>1</v>
      </c>
      <c r="AB12" s="16" t="str">
        <f>IF('MASTER DATA'!AB366="","",'MASTER DATA'!AB366)</f>
        <v>SINGLE-SIGNAL</v>
      </c>
      <c r="AC12" s="16" t="str">
        <f>IF('MASTER DATA'!AC366="","",'MASTER DATA'!AC366)</f>
        <v>Settlement Authorization</v>
      </c>
    </row>
    <row r="13" spans="1:29" x14ac:dyDescent="0.45">
      <c r="A13" t="str">
        <f>IF('MASTER DATA'!A367="","",'MASTER DATA'!A367)</f>
        <v>SYN-CLM-0366</v>
      </c>
      <c r="B13" t="str">
        <f>IF('MASTER DATA'!B367="","",'MASTER DATA'!B367)</f>
        <v>Synthetic Claimant 0366</v>
      </c>
      <c r="C13" t="str">
        <f>IF('MASTER DATA'!C367="","",'MASTER DATA'!C367)</f>
        <v>Claims Analyst I</v>
      </c>
      <c r="D13" t="str">
        <f>IF('MASTER DATA'!D367="","",'MASTER DATA'!D367)</f>
        <v>Synthetic Policyholder 033, LLC</v>
      </c>
      <c r="E13" s="15">
        <f>IF('MASTER DATA'!E367="","",'MASTER DATA'!E367)</f>
        <v>43534</v>
      </c>
      <c r="F13" s="16" t="str">
        <f>IF('MASTER DATA'!F367="","",'MASTER DATA'!F367)</f>
        <v>Y</v>
      </c>
      <c r="G13" s="17">
        <f>IF('MASTER DATA'!G367="","",'MASTER DATA'!G367)</f>
        <v>47500</v>
      </c>
      <c r="H13" s="16" t="str">
        <f>IF('MASTER DATA'!H367="","",'MASTER DATA'!H367)</f>
        <v>Synthetic Approver 08</v>
      </c>
      <c r="I13" s="15">
        <f>IF('MASTER DATA'!I367="","",'MASTER DATA'!I367)</f>
        <v>43987</v>
      </c>
      <c r="J13" s="16" t="str">
        <f>IF('MASTER DATA'!J367="","",'MASTER DATA'!J367)</f>
        <v>N</v>
      </c>
      <c r="K13" s="15" t="str">
        <f>IF('MASTER DATA'!K367="","",'MASTER DATA'!K367)</f>
        <v/>
      </c>
      <c r="L13" s="16" t="str">
        <f>IF('MASTER DATA'!L367="","",'MASTER DATA'!L367)</f>
        <v>Y</v>
      </c>
      <c r="M13" s="16" t="str">
        <f>IF('MASTER DATA'!M367="","",'MASTER DATA'!M367)</f>
        <v>N</v>
      </c>
      <c r="N13" s="15" t="str">
        <f>IF('MASTER DATA'!N367="","",'MASTER DATA'!N367)</f>
        <v/>
      </c>
      <c r="O13" s="16" t="str">
        <f>IF('MASTER DATA'!O367="","",'MASTER DATA'!O367)</f>
        <v/>
      </c>
      <c r="P13" s="16" t="str">
        <f>IF('MASTER DATA'!P367="","",'MASTER DATA'!P367)</f>
        <v>N</v>
      </c>
      <c r="Q13" s="16" t="str">
        <f>IF('MASTER DATA'!Q367="","",'MASTER DATA'!Q367)</f>
        <v/>
      </c>
      <c r="R13" s="16" t="str">
        <f>IF('MASTER DATA'!R367="","",'MASTER DATA'!R367)</f>
        <v/>
      </c>
      <c r="S13" s="16" t="str">
        <f>IF('MASTER DATA'!S367="","",'MASTER DATA'!S367)</f>
        <v>N</v>
      </c>
      <c r="T13" s="15" t="str">
        <f>IF('MASTER DATA'!T367="","",'MASTER DATA'!T367)</f>
        <v/>
      </c>
      <c r="U13" s="16" t="str">
        <f>IF('MASTER DATA'!U367="","",'MASTER DATA'!U367)</f>
        <v>N</v>
      </c>
      <c r="V13" s="16" t="str">
        <f>IF('MASTER DATA'!V367="","",'MASTER DATA'!V367)</f>
        <v>N</v>
      </c>
      <c r="W13" s="16" t="str">
        <f>IF('MASTER DATA'!W367="","",'MASTER DATA'!W367)</f>
        <v>N</v>
      </c>
      <c r="X13" s="16" t="str">
        <f>IF('MASTER DATA'!X367="","",'MASTER DATA'!X367)</f>
        <v>N</v>
      </c>
      <c r="Y13" s="16" t="str">
        <f>IF('MASTER DATA'!Y367="","",'MASTER DATA'!Y367)</f>
        <v>N</v>
      </c>
      <c r="Z13" s="16" t="str">
        <f>IF('MASTER DATA'!Z367="","",'MASTER DATA'!Z367)</f>
        <v>N</v>
      </c>
      <c r="AA13" s="16">
        <f>IF('MASTER DATA'!AA367="","",'MASTER DATA'!AA367)</f>
        <v>1</v>
      </c>
      <c r="AB13" s="16" t="str">
        <f>IF('MASTER DATA'!AB367="","",'MASTER DATA'!AB367)</f>
        <v>SINGLE-SIGNAL</v>
      </c>
      <c r="AC13" s="16" t="str">
        <f>IF('MASTER DATA'!AC367="","",'MASTER DATA'!AC367)</f>
        <v>Settlement Authorization</v>
      </c>
    </row>
    <row r="14" spans="1:29" x14ac:dyDescent="0.45">
      <c r="A14" t="str">
        <f>IF('MASTER DATA'!A368="","",'MASTER DATA'!A368)</f>
        <v>SYN-CLM-0367</v>
      </c>
      <c r="B14" t="str">
        <f>IF('MASTER DATA'!B368="","",'MASTER DATA'!B368)</f>
        <v>Synthetic Claimant 0367</v>
      </c>
      <c r="C14" t="str">
        <f>IF('MASTER DATA'!C368="","",'MASTER DATA'!C368)</f>
        <v>Claims Analyst I</v>
      </c>
      <c r="D14" t="str">
        <f>IF('MASTER DATA'!D368="","",'MASTER DATA'!D368)</f>
        <v>Synthetic Policyholder 154, LLC</v>
      </c>
      <c r="E14" s="15">
        <f>IF('MASTER DATA'!E368="","",'MASTER DATA'!E368)</f>
        <v>43358</v>
      </c>
      <c r="F14" s="16" t="str">
        <f>IF('MASTER DATA'!F368="","",'MASTER DATA'!F368)</f>
        <v>N</v>
      </c>
      <c r="G14" s="17" t="str">
        <f>IF('MASTER DATA'!G368="","",'MASTER DATA'!G368)</f>
        <v/>
      </c>
      <c r="H14" s="16" t="str">
        <f>IF('MASTER DATA'!H368="","",'MASTER DATA'!H368)</f>
        <v/>
      </c>
      <c r="I14" s="15" t="str">
        <f>IF('MASTER DATA'!I368="","",'MASTER DATA'!I368)</f>
        <v/>
      </c>
      <c r="J14" s="16" t="str">
        <f>IF('MASTER DATA'!J368="","",'MASTER DATA'!J368)</f>
        <v>Y</v>
      </c>
      <c r="K14" s="15">
        <f>IF('MASTER DATA'!K368="","",'MASTER DATA'!K368)</f>
        <v>43720</v>
      </c>
      <c r="L14" s="16" t="str">
        <f>IF('MASTER DATA'!L368="","",'MASTER DATA'!L368)</f>
        <v>N</v>
      </c>
      <c r="M14" s="16" t="str">
        <f>IF('MASTER DATA'!M368="","",'MASTER DATA'!M368)</f>
        <v>Y</v>
      </c>
      <c r="N14" s="15">
        <f>IF('MASTER DATA'!N368="","",'MASTER DATA'!N368)</f>
        <v>45184</v>
      </c>
      <c r="O14" s="16" t="str">
        <f>IF('MASTER DATA'!O368="","",'MASTER DATA'!O368)</f>
        <v>Synthetic QME Evaluator 30</v>
      </c>
      <c r="P14" s="16" t="str">
        <f>IF('MASTER DATA'!P368="","",'MASTER DATA'!P368)</f>
        <v>N</v>
      </c>
      <c r="Q14" s="16" t="str">
        <f>IF('MASTER DATA'!Q368="","",'MASTER DATA'!Q368)</f>
        <v/>
      </c>
      <c r="R14" s="16" t="str">
        <f>IF('MASTER DATA'!R368="","",'MASTER DATA'!R368)</f>
        <v/>
      </c>
      <c r="S14" s="16" t="str">
        <f>IF('MASTER DATA'!S368="","",'MASTER DATA'!S368)</f>
        <v>N</v>
      </c>
      <c r="T14" s="15" t="str">
        <f>IF('MASTER DATA'!T368="","",'MASTER DATA'!T368)</f>
        <v/>
      </c>
      <c r="U14" s="16" t="str">
        <f>IF('MASTER DATA'!U368="","",'MASTER DATA'!U368)</f>
        <v>N</v>
      </c>
      <c r="V14" s="16" t="str">
        <f>IF('MASTER DATA'!V368="","",'MASTER DATA'!V368)</f>
        <v>N</v>
      </c>
      <c r="W14" s="16" t="str">
        <f>IF('MASTER DATA'!W368="","",'MASTER DATA'!W368)</f>
        <v>N</v>
      </c>
      <c r="X14" s="16" t="str">
        <f>IF('MASTER DATA'!X368="","",'MASTER DATA'!X368)</f>
        <v>N</v>
      </c>
      <c r="Y14" s="16" t="str">
        <f>IF('MASTER DATA'!Y368="","",'MASTER DATA'!Y368)</f>
        <v>N</v>
      </c>
      <c r="Z14" s="16" t="str">
        <f>IF('MASTER DATA'!Z368="","",'MASTER DATA'!Z368)</f>
        <v>N</v>
      </c>
      <c r="AA14" s="16">
        <f>IF('MASTER DATA'!AA368="","",'MASTER DATA'!AA368)</f>
        <v>2</v>
      </c>
      <c r="AB14" s="16" t="str">
        <f>IF('MASTER DATA'!AB368="","",'MASTER DATA'!AB368)</f>
        <v>MULTI-SIGNAL</v>
      </c>
      <c r="AC14" s="16" t="str">
        <f>IF('MASTER DATA'!AC368="","",'MASTER DATA'!AC368)</f>
        <v>Open Stipulation | Pending QME</v>
      </c>
    </row>
    <row r="15" spans="1:29" x14ac:dyDescent="0.45">
      <c r="A15" t="str">
        <f>IF('MASTER DATA'!A369="","",'MASTER DATA'!A369)</f>
        <v>SYN-CLM-0368</v>
      </c>
      <c r="B15" t="str">
        <f>IF('MASTER DATA'!B369="","",'MASTER DATA'!B369)</f>
        <v>Synthetic Claimant 0368</v>
      </c>
      <c r="C15" t="str">
        <f>IF('MASTER DATA'!C369="","",'MASTER DATA'!C369)</f>
        <v>Claims Analyst I</v>
      </c>
      <c r="D15" t="str">
        <f>IF('MASTER DATA'!D369="","",'MASTER DATA'!D369)</f>
        <v>Synthetic Policyholder 138, LLC</v>
      </c>
      <c r="E15" s="15">
        <f>IF('MASTER DATA'!E369="","",'MASTER DATA'!E369)</f>
        <v>43174</v>
      </c>
      <c r="F15" s="16" t="str">
        <f>IF('MASTER DATA'!F369="","",'MASTER DATA'!F369)</f>
        <v>N</v>
      </c>
      <c r="G15" s="17" t="str">
        <f>IF('MASTER DATA'!G369="","",'MASTER DATA'!G369)</f>
        <v/>
      </c>
      <c r="H15" s="16" t="str">
        <f>IF('MASTER DATA'!H369="","",'MASTER DATA'!H369)</f>
        <v/>
      </c>
      <c r="I15" s="15" t="str">
        <f>IF('MASTER DATA'!I369="","",'MASTER DATA'!I369)</f>
        <v/>
      </c>
      <c r="J15" s="16" t="str">
        <f>IF('MASTER DATA'!J369="","",'MASTER DATA'!J369)</f>
        <v>N</v>
      </c>
      <c r="K15" s="15" t="str">
        <f>IF('MASTER DATA'!K369="","",'MASTER DATA'!K369)</f>
        <v/>
      </c>
      <c r="L15" s="16" t="str">
        <f>IF('MASTER DATA'!L369="","",'MASTER DATA'!L369)</f>
        <v/>
      </c>
      <c r="M15" s="16" t="str">
        <f>IF('MASTER DATA'!M369="","",'MASTER DATA'!M369)</f>
        <v>Y</v>
      </c>
      <c r="N15" s="15">
        <f>IF('MASTER DATA'!N369="","",'MASTER DATA'!N369)</f>
        <v>44104</v>
      </c>
      <c r="O15" s="16" t="str">
        <f>IF('MASTER DATA'!O369="","",'MASTER DATA'!O369)</f>
        <v>Synthetic QME Evaluator 05</v>
      </c>
      <c r="P15" s="16" t="str">
        <f>IF('MASTER DATA'!P369="","",'MASTER DATA'!P369)</f>
        <v>N</v>
      </c>
      <c r="Q15" s="16" t="str">
        <f>IF('MASTER DATA'!Q369="","",'MASTER DATA'!Q369)</f>
        <v/>
      </c>
      <c r="R15" s="16" t="str">
        <f>IF('MASTER DATA'!R369="","",'MASTER DATA'!R369)</f>
        <v/>
      </c>
      <c r="S15" s="16" t="str">
        <f>IF('MASTER DATA'!S369="","",'MASTER DATA'!S369)</f>
        <v>N</v>
      </c>
      <c r="T15" s="15" t="str">
        <f>IF('MASTER DATA'!T369="","",'MASTER DATA'!T369)</f>
        <v/>
      </c>
      <c r="U15" s="16" t="str">
        <f>IF('MASTER DATA'!U369="","",'MASTER DATA'!U369)</f>
        <v>N</v>
      </c>
      <c r="V15" s="16" t="str">
        <f>IF('MASTER DATA'!V369="","",'MASTER DATA'!V369)</f>
        <v>N</v>
      </c>
      <c r="W15" s="16" t="str">
        <f>IF('MASTER DATA'!W369="","",'MASTER DATA'!W369)</f>
        <v>N</v>
      </c>
      <c r="X15" s="16" t="str">
        <f>IF('MASTER DATA'!X369="","",'MASTER DATA'!X369)</f>
        <v>N</v>
      </c>
      <c r="Y15" s="16" t="str">
        <f>IF('MASTER DATA'!Y369="","",'MASTER DATA'!Y369)</f>
        <v>N</v>
      </c>
      <c r="Z15" s="16" t="str">
        <f>IF('MASTER DATA'!Z369="","",'MASTER DATA'!Z369)</f>
        <v>N</v>
      </c>
      <c r="AA15" s="16">
        <f>IF('MASTER DATA'!AA369="","",'MASTER DATA'!AA369)</f>
        <v>1</v>
      </c>
      <c r="AB15" s="16" t="str">
        <f>IF('MASTER DATA'!AB369="","",'MASTER DATA'!AB369)</f>
        <v>SINGLE-SIGNAL</v>
      </c>
      <c r="AC15" s="16" t="str">
        <f>IF('MASTER DATA'!AC369="","",'MASTER DATA'!AC369)</f>
        <v>Pending QME</v>
      </c>
    </row>
    <row r="16" spans="1:29" x14ac:dyDescent="0.45">
      <c r="A16" t="str">
        <f>IF('MASTER DATA'!A370="","",'MASTER DATA'!A370)</f>
        <v>SYN-CLM-0369</v>
      </c>
      <c r="B16" t="str">
        <f>IF('MASTER DATA'!B370="","",'MASTER DATA'!B370)</f>
        <v>Synthetic Claimant 0369</v>
      </c>
      <c r="C16" t="str">
        <f>IF('MASTER DATA'!C370="","",'MASTER DATA'!C370)</f>
        <v>Claims Analyst I</v>
      </c>
      <c r="D16" t="str">
        <f>IF('MASTER DATA'!D370="","",'MASTER DATA'!D370)</f>
        <v>Synthetic Policyholder 074, LLC</v>
      </c>
      <c r="E16" s="15">
        <f>IF('MASTER DATA'!E370="","",'MASTER DATA'!E370)</f>
        <v>43784</v>
      </c>
      <c r="F16" s="16" t="str">
        <f>IF('MASTER DATA'!F370="","",'MASTER DATA'!F370)</f>
        <v>Y</v>
      </c>
      <c r="G16" s="17">
        <f>IF('MASTER DATA'!G370="","",'MASTER DATA'!G370)</f>
        <v>172500</v>
      </c>
      <c r="H16" s="16" t="str">
        <f>IF('MASTER DATA'!H370="","",'MASTER DATA'!H370)</f>
        <v>Synthetic Approver 09</v>
      </c>
      <c r="I16" s="15">
        <f>IF('MASTER DATA'!I370="","",'MASTER DATA'!I370)</f>
        <v>45428</v>
      </c>
      <c r="J16" s="16" t="str">
        <f>IF('MASTER DATA'!J370="","",'MASTER DATA'!J370)</f>
        <v>N</v>
      </c>
      <c r="K16" s="15" t="str">
        <f>IF('MASTER DATA'!K370="","",'MASTER DATA'!K370)</f>
        <v/>
      </c>
      <c r="L16" s="16" t="str">
        <f>IF('MASTER DATA'!L370="","",'MASTER DATA'!L370)</f>
        <v>Y</v>
      </c>
      <c r="M16" s="16" t="str">
        <f>IF('MASTER DATA'!M370="","",'MASTER DATA'!M370)</f>
        <v>N</v>
      </c>
      <c r="N16" s="15" t="str">
        <f>IF('MASTER DATA'!N370="","",'MASTER DATA'!N370)</f>
        <v/>
      </c>
      <c r="O16" s="16" t="str">
        <f>IF('MASTER DATA'!O370="","",'MASTER DATA'!O370)</f>
        <v/>
      </c>
      <c r="P16" s="16" t="str">
        <f>IF('MASTER DATA'!P370="","",'MASTER DATA'!P370)</f>
        <v>N</v>
      </c>
      <c r="Q16" s="16" t="str">
        <f>IF('MASTER DATA'!Q370="","",'MASTER DATA'!Q370)</f>
        <v/>
      </c>
      <c r="R16" s="16" t="str">
        <f>IF('MASTER DATA'!R370="","",'MASTER DATA'!R370)</f>
        <v/>
      </c>
      <c r="S16" s="16" t="str">
        <f>IF('MASTER DATA'!S370="","",'MASTER DATA'!S370)</f>
        <v>N</v>
      </c>
      <c r="T16" s="15" t="str">
        <f>IF('MASTER DATA'!T370="","",'MASTER DATA'!T370)</f>
        <v/>
      </c>
      <c r="U16" s="16" t="str">
        <f>IF('MASTER DATA'!U370="","",'MASTER DATA'!U370)</f>
        <v>N</v>
      </c>
      <c r="V16" s="16" t="str">
        <f>IF('MASTER DATA'!V370="","",'MASTER DATA'!V370)</f>
        <v>N</v>
      </c>
      <c r="W16" s="16" t="str">
        <f>IF('MASTER DATA'!W370="","",'MASTER DATA'!W370)</f>
        <v>N</v>
      </c>
      <c r="X16" s="16" t="str">
        <f>IF('MASTER DATA'!X370="","",'MASTER DATA'!X370)</f>
        <v>N</v>
      </c>
      <c r="Y16" s="16" t="str">
        <f>IF('MASTER DATA'!Y370="","",'MASTER DATA'!Y370)</f>
        <v>N</v>
      </c>
      <c r="Z16" s="16" t="str">
        <f>IF('MASTER DATA'!Z370="","",'MASTER DATA'!Z370)</f>
        <v>N</v>
      </c>
      <c r="AA16" s="16">
        <f>IF('MASTER DATA'!AA370="","",'MASTER DATA'!AA370)</f>
        <v>1</v>
      </c>
      <c r="AB16" s="16" t="str">
        <f>IF('MASTER DATA'!AB370="","",'MASTER DATA'!AB370)</f>
        <v>SINGLE-SIGNAL</v>
      </c>
      <c r="AC16" s="16" t="str">
        <f>IF('MASTER DATA'!AC370="","",'MASTER DATA'!AC370)</f>
        <v>Settlement Authorization</v>
      </c>
    </row>
    <row r="17" spans="1:29" x14ac:dyDescent="0.45">
      <c r="A17" t="str">
        <f>IF('MASTER DATA'!A371="","",'MASTER DATA'!A371)</f>
        <v>SYN-CLM-0370</v>
      </c>
      <c r="B17" t="str">
        <f>IF('MASTER DATA'!B371="","",'MASTER DATA'!B371)</f>
        <v>Synthetic Claimant 0370</v>
      </c>
      <c r="C17" t="str">
        <f>IF('MASTER DATA'!C371="","",'MASTER DATA'!C371)</f>
        <v>Claims Analyst I</v>
      </c>
      <c r="D17" t="str">
        <f>IF('MASTER DATA'!D371="","",'MASTER DATA'!D371)</f>
        <v>Synthetic Policyholder 176, LLC</v>
      </c>
      <c r="E17" s="15">
        <f>IF('MASTER DATA'!E371="","",'MASTER DATA'!E371)</f>
        <v>44462</v>
      </c>
      <c r="F17" s="16" t="str">
        <f>IF('MASTER DATA'!F371="","",'MASTER DATA'!F371)</f>
        <v>N</v>
      </c>
      <c r="G17" s="17" t="str">
        <f>IF('MASTER DATA'!G371="","",'MASTER DATA'!G371)</f>
        <v/>
      </c>
      <c r="H17" s="16" t="str">
        <f>IF('MASTER DATA'!H371="","",'MASTER DATA'!H371)</f>
        <v/>
      </c>
      <c r="I17" s="15" t="str">
        <f>IF('MASTER DATA'!I371="","",'MASTER DATA'!I371)</f>
        <v/>
      </c>
      <c r="J17" s="16" t="str">
        <f>IF('MASTER DATA'!J371="","",'MASTER DATA'!J371)</f>
        <v>Y</v>
      </c>
      <c r="K17" s="15">
        <f>IF('MASTER DATA'!K371="","",'MASTER DATA'!K371)</f>
        <v>45196</v>
      </c>
      <c r="L17" s="16" t="str">
        <f>IF('MASTER DATA'!L371="","",'MASTER DATA'!L371)</f>
        <v>N</v>
      </c>
      <c r="M17" s="16" t="str">
        <f>IF('MASTER DATA'!M371="","",'MASTER DATA'!M371)</f>
        <v>N</v>
      </c>
      <c r="N17" s="15" t="str">
        <f>IF('MASTER DATA'!N371="","",'MASTER DATA'!N371)</f>
        <v/>
      </c>
      <c r="O17" s="16" t="str">
        <f>IF('MASTER DATA'!O371="","",'MASTER DATA'!O371)</f>
        <v/>
      </c>
      <c r="P17" s="16" t="str">
        <f>IF('MASTER DATA'!P371="","",'MASTER DATA'!P371)</f>
        <v>N</v>
      </c>
      <c r="Q17" s="16" t="str">
        <f>IF('MASTER DATA'!Q371="","",'MASTER DATA'!Q371)</f>
        <v/>
      </c>
      <c r="R17" s="16" t="str">
        <f>IF('MASTER DATA'!R371="","",'MASTER DATA'!R371)</f>
        <v/>
      </c>
      <c r="S17" s="16" t="str">
        <f>IF('MASTER DATA'!S371="","",'MASTER DATA'!S371)</f>
        <v>N</v>
      </c>
      <c r="T17" s="15" t="str">
        <f>IF('MASTER DATA'!T371="","",'MASTER DATA'!T371)</f>
        <v/>
      </c>
      <c r="U17" s="16" t="str">
        <f>IF('MASTER DATA'!U371="","",'MASTER DATA'!U371)</f>
        <v>N</v>
      </c>
      <c r="V17" s="16" t="str">
        <f>IF('MASTER DATA'!V371="","",'MASTER DATA'!V371)</f>
        <v>N</v>
      </c>
      <c r="W17" s="16" t="str">
        <f>IF('MASTER DATA'!W371="","",'MASTER DATA'!W371)</f>
        <v>N</v>
      </c>
      <c r="X17" s="16" t="str">
        <f>IF('MASTER DATA'!X371="","",'MASTER DATA'!X371)</f>
        <v>N</v>
      </c>
      <c r="Y17" s="16" t="str">
        <f>IF('MASTER DATA'!Y371="","",'MASTER DATA'!Y371)</f>
        <v>N</v>
      </c>
      <c r="Z17" s="16" t="str">
        <f>IF('MASTER DATA'!Z371="","",'MASTER DATA'!Z371)</f>
        <v>N</v>
      </c>
      <c r="AA17" s="16">
        <f>IF('MASTER DATA'!AA371="","",'MASTER DATA'!AA371)</f>
        <v>1</v>
      </c>
      <c r="AB17" s="16" t="str">
        <f>IF('MASTER DATA'!AB371="","",'MASTER DATA'!AB371)</f>
        <v>SINGLE-SIGNAL</v>
      </c>
      <c r="AC17" s="16" t="str">
        <f>IF('MASTER DATA'!AC371="","",'MASTER DATA'!AC371)</f>
        <v>Open Stipulation</v>
      </c>
    </row>
    <row r="18" spans="1:29" x14ac:dyDescent="0.45">
      <c r="A18" t="str">
        <f>IF('MASTER DATA'!A372="","",'MASTER DATA'!A372)</f>
        <v>SYN-CLM-0371</v>
      </c>
      <c r="B18" t="str">
        <f>IF('MASTER DATA'!B372="","",'MASTER DATA'!B372)</f>
        <v>Synthetic Claimant 0371</v>
      </c>
      <c r="C18" t="str">
        <f>IF('MASTER DATA'!C372="","",'MASTER DATA'!C372)</f>
        <v>Claims Analyst I</v>
      </c>
      <c r="D18" t="str">
        <f>IF('MASTER DATA'!D372="","",'MASTER DATA'!D372)</f>
        <v>Synthetic Policyholder 071, LLC</v>
      </c>
      <c r="E18" s="15">
        <f>IF('MASTER DATA'!E372="","",'MASTER DATA'!E372)</f>
        <v>43279</v>
      </c>
      <c r="F18" s="16" t="str">
        <f>IF('MASTER DATA'!F372="","",'MASTER DATA'!F372)</f>
        <v>N</v>
      </c>
      <c r="G18" s="17" t="str">
        <f>IF('MASTER DATA'!G372="","",'MASTER DATA'!G372)</f>
        <v/>
      </c>
      <c r="H18" s="16" t="str">
        <f>IF('MASTER DATA'!H372="","",'MASTER DATA'!H372)</f>
        <v/>
      </c>
      <c r="I18" s="15" t="str">
        <f>IF('MASTER DATA'!I372="","",'MASTER DATA'!I372)</f>
        <v/>
      </c>
      <c r="J18" s="16" t="str">
        <f>IF('MASTER DATA'!J372="","",'MASTER DATA'!J372)</f>
        <v>N</v>
      </c>
      <c r="K18" s="15" t="str">
        <f>IF('MASTER DATA'!K372="","",'MASTER DATA'!K372)</f>
        <v/>
      </c>
      <c r="L18" s="16" t="str">
        <f>IF('MASTER DATA'!L372="","",'MASTER DATA'!L372)</f>
        <v/>
      </c>
      <c r="M18" s="16" t="str">
        <f>IF('MASTER DATA'!M372="","",'MASTER DATA'!M372)</f>
        <v>Y</v>
      </c>
      <c r="N18" s="15">
        <f>IF('MASTER DATA'!N372="","",'MASTER DATA'!N372)</f>
        <v>44431</v>
      </c>
      <c r="O18" s="16" t="str">
        <f>IF('MASTER DATA'!O372="","",'MASTER DATA'!O372)</f>
        <v>Synthetic QME Evaluator 18</v>
      </c>
      <c r="P18" s="16" t="str">
        <f>IF('MASTER DATA'!P372="","",'MASTER DATA'!P372)</f>
        <v>N</v>
      </c>
      <c r="Q18" s="16" t="str">
        <f>IF('MASTER DATA'!Q372="","",'MASTER DATA'!Q372)</f>
        <v/>
      </c>
      <c r="R18" s="16" t="str">
        <f>IF('MASTER DATA'!R372="","",'MASTER DATA'!R372)</f>
        <v/>
      </c>
      <c r="S18" s="16" t="str">
        <f>IF('MASTER DATA'!S372="","",'MASTER DATA'!S372)</f>
        <v>N</v>
      </c>
      <c r="T18" s="15" t="str">
        <f>IF('MASTER DATA'!T372="","",'MASTER DATA'!T372)</f>
        <v/>
      </c>
      <c r="U18" s="16" t="str">
        <f>IF('MASTER DATA'!U372="","",'MASTER DATA'!U372)</f>
        <v>N</v>
      </c>
      <c r="V18" s="16" t="str">
        <f>IF('MASTER DATA'!V372="","",'MASTER DATA'!V372)</f>
        <v>N</v>
      </c>
      <c r="W18" s="16" t="str">
        <f>IF('MASTER DATA'!W372="","",'MASTER DATA'!W372)</f>
        <v>N</v>
      </c>
      <c r="X18" s="16" t="str">
        <f>IF('MASTER DATA'!X372="","",'MASTER DATA'!X372)</f>
        <v>N</v>
      </c>
      <c r="Y18" s="16" t="str">
        <f>IF('MASTER DATA'!Y372="","",'MASTER DATA'!Y372)</f>
        <v>N</v>
      </c>
      <c r="Z18" s="16" t="str">
        <f>IF('MASTER DATA'!Z372="","",'MASTER DATA'!Z372)</f>
        <v>N</v>
      </c>
      <c r="AA18" s="16">
        <f>IF('MASTER DATA'!AA372="","",'MASTER DATA'!AA372)</f>
        <v>1</v>
      </c>
      <c r="AB18" s="16" t="str">
        <f>IF('MASTER DATA'!AB372="","",'MASTER DATA'!AB372)</f>
        <v>SINGLE-SIGNAL</v>
      </c>
      <c r="AC18" s="16" t="str">
        <f>IF('MASTER DATA'!AC372="","",'MASTER DATA'!AC372)</f>
        <v>Pending QME</v>
      </c>
    </row>
    <row r="19" spans="1:29" x14ac:dyDescent="0.45">
      <c r="A19" t="str">
        <f>IF('MASTER DATA'!A373="","",'MASTER DATA'!A373)</f>
        <v>SYN-CLM-0372</v>
      </c>
      <c r="B19" t="str">
        <f>IF('MASTER DATA'!B373="","",'MASTER DATA'!B373)</f>
        <v>Synthetic Claimant 0372</v>
      </c>
      <c r="C19" t="str">
        <f>IF('MASTER DATA'!C373="","",'MASTER DATA'!C373)</f>
        <v>Claims Analyst I</v>
      </c>
      <c r="D19" t="str">
        <f>IF('MASTER DATA'!D373="","",'MASTER DATA'!D373)</f>
        <v>Synthetic Policyholder 102, LLC</v>
      </c>
      <c r="E19" s="15">
        <f>IF('MASTER DATA'!E373="","",'MASTER DATA'!E373)</f>
        <v>44401</v>
      </c>
      <c r="F19" s="16" t="str">
        <f>IF('MASTER DATA'!F373="","",'MASTER DATA'!F373)</f>
        <v>Y</v>
      </c>
      <c r="G19" s="17">
        <f>IF('MASTER DATA'!G373="","",'MASTER DATA'!G373)</f>
        <v>139750</v>
      </c>
      <c r="H19" s="16" t="str">
        <f>IF('MASTER DATA'!H373="","",'MASTER DATA'!H373)</f>
        <v>Synthetic Approver 06</v>
      </c>
      <c r="I19" s="15">
        <f>IF('MASTER DATA'!I373="","",'MASTER DATA'!I373)</f>
        <v>45881</v>
      </c>
      <c r="J19" s="16" t="str">
        <f>IF('MASTER DATA'!J373="","",'MASTER DATA'!J373)</f>
        <v>Y</v>
      </c>
      <c r="K19" s="15">
        <f>IF('MASTER DATA'!K373="","",'MASTER DATA'!K373)</f>
        <v>45658</v>
      </c>
      <c r="L19" s="16" t="str">
        <f>IF('MASTER DATA'!L373="","",'MASTER DATA'!L373)</f>
        <v>N</v>
      </c>
      <c r="M19" s="16" t="str">
        <f>IF('MASTER DATA'!M373="","",'MASTER DATA'!M373)</f>
        <v>N</v>
      </c>
      <c r="N19" s="15" t="str">
        <f>IF('MASTER DATA'!N373="","",'MASTER DATA'!N373)</f>
        <v/>
      </c>
      <c r="O19" s="16" t="str">
        <f>IF('MASTER DATA'!O373="","",'MASTER DATA'!O373)</f>
        <v/>
      </c>
      <c r="P19" s="16" t="str">
        <f>IF('MASTER DATA'!P373="","",'MASTER DATA'!P373)</f>
        <v>Y</v>
      </c>
      <c r="Q19" s="16" t="str">
        <f>IF('MASTER DATA'!Q373="","",'MASTER DATA'!Q373)</f>
        <v>Surgery Requested; Denied Treatment Requests</v>
      </c>
      <c r="R19" s="16" t="str">
        <f>IF('MASTER DATA'!R373="","",'MASTER DATA'!R373)</f>
        <v>Non-Renewed Account; Specialist Consultation Requested</v>
      </c>
      <c r="S19" s="16" t="str">
        <f>IF('MASTER DATA'!S373="","",'MASTER DATA'!S373)</f>
        <v>N</v>
      </c>
      <c r="T19" s="15" t="str">
        <f>IF('MASTER DATA'!T373="","",'MASTER DATA'!T373)</f>
        <v/>
      </c>
      <c r="U19" s="16" t="str">
        <f>IF('MASTER DATA'!U373="","",'MASTER DATA'!U373)</f>
        <v>Y</v>
      </c>
      <c r="V19" s="16" t="str">
        <f>IF('MASTER DATA'!V373="","",'MASTER DATA'!V373)</f>
        <v>N</v>
      </c>
      <c r="W19" s="16" t="str">
        <f>IF('MASTER DATA'!W373="","",'MASTER DATA'!W373)</f>
        <v>Y</v>
      </c>
      <c r="X19" s="16" t="str">
        <f>IF('MASTER DATA'!X373="","",'MASTER DATA'!X373)</f>
        <v>Y</v>
      </c>
      <c r="Y19" s="16" t="str">
        <f>IF('MASTER DATA'!Y373="","",'MASTER DATA'!Y373)</f>
        <v>Y</v>
      </c>
      <c r="Z19" s="16" t="str">
        <f>IF('MASTER DATA'!Z373="","",'MASTER DATA'!Z373)</f>
        <v>N</v>
      </c>
      <c r="AA19" s="16">
        <f>IF('MASTER DATA'!AA373="","",'MASTER DATA'!AA373)</f>
        <v>3</v>
      </c>
      <c r="AB19" s="16" t="str">
        <f>IF('MASTER DATA'!AB373="","",'MASTER DATA'!AB373)</f>
        <v>ELEVATED MULTI-SIGNAL</v>
      </c>
      <c r="AC19" s="16" t="str">
        <f>IF('MASTER DATA'!AC373="","",'MASTER DATA'!AC373)</f>
        <v>Settlement Authorization | Open Stipulation | Automated Claim Alert</v>
      </c>
    </row>
    <row r="20" spans="1:29" x14ac:dyDescent="0.45">
      <c r="A20" t="str">
        <f>IF('MASTER DATA'!A374="","",'MASTER DATA'!A374)</f>
        <v>SYN-CLM-0373</v>
      </c>
      <c r="B20" t="str">
        <f>IF('MASTER DATA'!B374="","",'MASTER DATA'!B374)</f>
        <v>Synthetic Claimant 0373</v>
      </c>
      <c r="C20" t="str">
        <f>IF('MASTER DATA'!C374="","",'MASTER DATA'!C374)</f>
        <v>Claims Analyst I</v>
      </c>
      <c r="D20" t="str">
        <f>IF('MASTER DATA'!D374="","",'MASTER DATA'!D374)</f>
        <v>Synthetic Policyholder 067, LLC</v>
      </c>
      <c r="E20" s="15">
        <f>IF('MASTER DATA'!E374="","",'MASTER DATA'!E374)</f>
        <v>43651</v>
      </c>
      <c r="F20" s="16" t="str">
        <f>IF('MASTER DATA'!F374="","",'MASTER DATA'!F374)</f>
        <v>N</v>
      </c>
      <c r="G20" s="17" t="str">
        <f>IF('MASTER DATA'!G374="","",'MASTER DATA'!G374)</f>
        <v/>
      </c>
      <c r="H20" s="16" t="str">
        <f>IF('MASTER DATA'!H374="","",'MASTER DATA'!H374)</f>
        <v/>
      </c>
      <c r="I20" s="15" t="str">
        <f>IF('MASTER DATA'!I374="","",'MASTER DATA'!I374)</f>
        <v/>
      </c>
      <c r="J20" s="16" t="str">
        <f>IF('MASTER DATA'!J374="","",'MASTER DATA'!J374)</f>
        <v>N</v>
      </c>
      <c r="K20" s="15" t="str">
        <f>IF('MASTER DATA'!K374="","",'MASTER DATA'!K374)</f>
        <v/>
      </c>
      <c r="L20" s="16" t="str">
        <f>IF('MASTER DATA'!L374="","",'MASTER DATA'!L374)</f>
        <v/>
      </c>
      <c r="M20" s="16" t="str">
        <f>IF('MASTER DATA'!M374="","",'MASTER DATA'!M374)</f>
        <v>Y</v>
      </c>
      <c r="N20" s="15">
        <f>IF('MASTER DATA'!N374="","",'MASTER DATA'!N374)</f>
        <v>45497</v>
      </c>
      <c r="O20" s="16" t="str">
        <f>IF('MASTER DATA'!O374="","",'MASTER DATA'!O374)</f>
        <v>Synthetic QME Evaluator 29</v>
      </c>
      <c r="P20" s="16" t="str">
        <f>IF('MASTER DATA'!P374="","",'MASTER DATA'!P374)</f>
        <v>N</v>
      </c>
      <c r="Q20" s="16" t="str">
        <f>IF('MASTER DATA'!Q374="","",'MASTER DATA'!Q374)</f>
        <v/>
      </c>
      <c r="R20" s="16" t="str">
        <f>IF('MASTER DATA'!R374="","",'MASTER DATA'!R374)</f>
        <v/>
      </c>
      <c r="S20" s="16" t="str">
        <f>IF('MASTER DATA'!S374="","",'MASTER DATA'!S374)</f>
        <v>N</v>
      </c>
      <c r="T20" s="15" t="str">
        <f>IF('MASTER DATA'!T374="","",'MASTER DATA'!T374)</f>
        <v/>
      </c>
      <c r="U20" s="16" t="str">
        <f>IF('MASTER DATA'!U374="","",'MASTER DATA'!U374)</f>
        <v>N</v>
      </c>
      <c r="V20" s="16" t="str">
        <f>IF('MASTER DATA'!V374="","",'MASTER DATA'!V374)</f>
        <v>N</v>
      </c>
      <c r="W20" s="16" t="str">
        <f>IF('MASTER DATA'!W374="","",'MASTER DATA'!W374)</f>
        <v>N</v>
      </c>
      <c r="X20" s="16" t="str">
        <f>IF('MASTER DATA'!X374="","",'MASTER DATA'!X374)</f>
        <v>N</v>
      </c>
      <c r="Y20" s="16" t="str">
        <f>IF('MASTER DATA'!Y374="","",'MASTER DATA'!Y374)</f>
        <v>N</v>
      </c>
      <c r="Z20" s="16" t="str">
        <f>IF('MASTER DATA'!Z374="","",'MASTER DATA'!Z374)</f>
        <v>N</v>
      </c>
      <c r="AA20" s="16">
        <f>IF('MASTER DATA'!AA374="","",'MASTER DATA'!AA374)</f>
        <v>1</v>
      </c>
      <c r="AB20" s="16" t="str">
        <f>IF('MASTER DATA'!AB374="","",'MASTER DATA'!AB374)</f>
        <v>SINGLE-SIGNAL</v>
      </c>
      <c r="AC20" s="16" t="str">
        <f>IF('MASTER DATA'!AC374="","",'MASTER DATA'!AC374)</f>
        <v>Pending QME</v>
      </c>
    </row>
    <row r="21" spans="1:29" x14ac:dyDescent="0.45">
      <c r="A21" t="str">
        <f>IF('MASTER DATA'!A375="","",'MASTER DATA'!A375)</f>
        <v>SYN-CLM-0374</v>
      </c>
      <c r="B21" t="str">
        <f>IF('MASTER DATA'!B375="","",'MASTER DATA'!B375)</f>
        <v>Synthetic Claimant 0374</v>
      </c>
      <c r="C21" t="str">
        <f>IF('MASTER DATA'!C375="","",'MASTER DATA'!C375)</f>
        <v>Claims Analyst I</v>
      </c>
      <c r="D21" t="str">
        <f>IF('MASTER DATA'!D375="","",'MASTER DATA'!D375)</f>
        <v>Synthetic Policyholder 133, LLC</v>
      </c>
      <c r="E21" s="15">
        <f>IF('MASTER DATA'!E375="","",'MASTER DATA'!E375)</f>
        <v>44810</v>
      </c>
      <c r="F21" s="16" t="str">
        <f>IF('MASTER DATA'!F375="","",'MASTER DATA'!F375)</f>
        <v>Y</v>
      </c>
      <c r="G21" s="17">
        <f>IF('MASTER DATA'!G375="","",'MASTER DATA'!G375)</f>
        <v>83250</v>
      </c>
      <c r="H21" s="16" t="str">
        <f>IF('MASTER DATA'!H375="","",'MASTER DATA'!H375)</f>
        <v>Synthetic Approver 02</v>
      </c>
      <c r="I21" s="15">
        <f>IF('MASTER DATA'!I375="","",'MASTER DATA'!I375)</f>
        <v>45110</v>
      </c>
      <c r="J21" s="16" t="str">
        <f>IF('MASTER DATA'!J375="","",'MASTER DATA'!J375)</f>
        <v>N</v>
      </c>
      <c r="K21" s="15" t="str">
        <f>IF('MASTER DATA'!K375="","",'MASTER DATA'!K375)</f>
        <v/>
      </c>
      <c r="L21" s="16" t="str">
        <f>IF('MASTER DATA'!L375="","",'MASTER DATA'!L375)</f>
        <v>N</v>
      </c>
      <c r="M21" s="16" t="str">
        <f>IF('MASTER DATA'!M375="","",'MASTER DATA'!M375)</f>
        <v>N</v>
      </c>
      <c r="N21" s="15" t="str">
        <f>IF('MASTER DATA'!N375="","",'MASTER DATA'!N375)</f>
        <v/>
      </c>
      <c r="O21" s="16" t="str">
        <f>IF('MASTER DATA'!O375="","",'MASTER DATA'!O375)</f>
        <v/>
      </c>
      <c r="P21" s="16" t="str">
        <f>IF('MASTER DATA'!P375="","",'MASTER DATA'!P375)</f>
        <v>N</v>
      </c>
      <c r="Q21" s="16" t="str">
        <f>IF('MASTER DATA'!Q375="","",'MASTER DATA'!Q375)</f>
        <v/>
      </c>
      <c r="R21" s="16" t="str">
        <f>IF('MASTER DATA'!R375="","",'MASTER DATA'!R375)</f>
        <v/>
      </c>
      <c r="S21" s="16" t="str">
        <f>IF('MASTER DATA'!S375="","",'MASTER DATA'!S375)</f>
        <v>N</v>
      </c>
      <c r="T21" s="15" t="str">
        <f>IF('MASTER DATA'!T375="","",'MASTER DATA'!T375)</f>
        <v/>
      </c>
      <c r="U21" s="16" t="str">
        <f>IF('MASTER DATA'!U375="","",'MASTER DATA'!U375)</f>
        <v>N</v>
      </c>
      <c r="V21" s="16" t="str">
        <f>IF('MASTER DATA'!V375="","",'MASTER DATA'!V375)</f>
        <v>N</v>
      </c>
      <c r="W21" s="16" t="str">
        <f>IF('MASTER DATA'!W375="","",'MASTER DATA'!W375)</f>
        <v>N</v>
      </c>
      <c r="X21" s="16" t="str">
        <f>IF('MASTER DATA'!X375="","",'MASTER DATA'!X375)</f>
        <v>N</v>
      </c>
      <c r="Y21" s="16" t="str">
        <f>IF('MASTER DATA'!Y375="","",'MASTER DATA'!Y375)</f>
        <v>N</v>
      </c>
      <c r="Z21" s="16" t="str">
        <f>IF('MASTER DATA'!Z375="","",'MASTER DATA'!Z375)</f>
        <v>N</v>
      </c>
      <c r="AA21" s="16">
        <f>IF('MASTER DATA'!AA375="","",'MASTER DATA'!AA375)</f>
        <v>1</v>
      </c>
      <c r="AB21" s="16" t="str">
        <f>IF('MASTER DATA'!AB375="","",'MASTER DATA'!AB375)</f>
        <v>SINGLE-SIGNAL</v>
      </c>
      <c r="AC21" s="16" t="str">
        <f>IF('MASTER DATA'!AC375="","",'MASTER DATA'!AC375)</f>
        <v>Settlement Authorization</v>
      </c>
    </row>
    <row r="22" spans="1:29" x14ac:dyDescent="0.45">
      <c r="A22" t="str">
        <f>IF('MASTER DATA'!A376="","",'MASTER DATA'!A376)</f>
        <v>SYN-CLM-0375</v>
      </c>
      <c r="B22" t="str">
        <f>IF('MASTER DATA'!B376="","",'MASTER DATA'!B376)</f>
        <v>Synthetic Claimant 0375</v>
      </c>
      <c r="C22" t="str">
        <f>IF('MASTER DATA'!C376="","",'MASTER DATA'!C376)</f>
        <v>Claims Analyst I</v>
      </c>
      <c r="D22" t="str">
        <f>IF('MASTER DATA'!D376="","",'MASTER DATA'!D376)</f>
        <v>Synthetic Policyholder 062, LLC</v>
      </c>
      <c r="E22" s="15">
        <f>IF('MASTER DATA'!E376="","",'MASTER DATA'!E376)</f>
        <v>45468</v>
      </c>
      <c r="F22" s="16" t="str">
        <f>IF('MASTER DATA'!F376="","",'MASTER DATA'!F376)</f>
        <v>N</v>
      </c>
      <c r="G22" s="17" t="str">
        <f>IF('MASTER DATA'!G376="","",'MASTER DATA'!G376)</f>
        <v/>
      </c>
      <c r="H22" s="16" t="str">
        <f>IF('MASTER DATA'!H376="","",'MASTER DATA'!H376)</f>
        <v/>
      </c>
      <c r="I22" s="15" t="str">
        <f>IF('MASTER DATA'!I376="","",'MASTER DATA'!I376)</f>
        <v/>
      </c>
      <c r="J22" s="16" t="str">
        <f>IF('MASTER DATA'!J376="","",'MASTER DATA'!J376)</f>
        <v>N</v>
      </c>
      <c r="K22" s="15" t="str">
        <f>IF('MASTER DATA'!K376="","",'MASTER DATA'!K376)</f>
        <v/>
      </c>
      <c r="L22" s="16" t="str">
        <f>IF('MASTER DATA'!L376="","",'MASTER DATA'!L376)</f>
        <v/>
      </c>
      <c r="M22" s="16" t="str">
        <f>IF('MASTER DATA'!M376="","",'MASTER DATA'!M376)</f>
        <v>N</v>
      </c>
      <c r="N22" s="15" t="str">
        <f>IF('MASTER DATA'!N376="","",'MASTER DATA'!N376)</f>
        <v/>
      </c>
      <c r="O22" s="16" t="str">
        <f>IF('MASTER DATA'!O376="","",'MASTER DATA'!O376)</f>
        <v/>
      </c>
      <c r="P22" s="16" t="str">
        <f>IF('MASTER DATA'!P376="","",'MASTER DATA'!P376)</f>
        <v>N</v>
      </c>
      <c r="Q22" s="16" t="str">
        <f>IF('MASTER DATA'!Q376="","",'MASTER DATA'!Q376)</f>
        <v/>
      </c>
      <c r="R22" s="16" t="str">
        <f>IF('MASTER DATA'!R376="","",'MASTER DATA'!R376)</f>
        <v/>
      </c>
      <c r="S22" s="16" t="str">
        <f>IF('MASTER DATA'!S376="","",'MASTER DATA'!S376)</f>
        <v>Y</v>
      </c>
      <c r="T22" s="15">
        <f>IF('MASTER DATA'!T376="","",'MASTER DATA'!T376)</f>
        <v>47036</v>
      </c>
      <c r="U22" s="16" t="str">
        <f>IF('MASTER DATA'!U376="","",'MASTER DATA'!U376)</f>
        <v>N</v>
      </c>
      <c r="V22" s="16" t="str">
        <f>IF('MASTER DATA'!V376="","",'MASTER DATA'!V376)</f>
        <v>N</v>
      </c>
      <c r="W22" s="16" t="str">
        <f>IF('MASTER DATA'!W376="","",'MASTER DATA'!W376)</f>
        <v>N</v>
      </c>
      <c r="X22" s="16" t="str">
        <f>IF('MASTER DATA'!X376="","",'MASTER DATA'!X376)</f>
        <v>N</v>
      </c>
      <c r="Y22" s="16" t="str">
        <f>IF('MASTER DATA'!Y376="","",'MASTER DATA'!Y376)</f>
        <v>N</v>
      </c>
      <c r="Z22" s="16" t="str">
        <f>IF('MASTER DATA'!Z376="","",'MASTER DATA'!Z376)</f>
        <v>N</v>
      </c>
      <c r="AA22" s="16">
        <f>IF('MASTER DATA'!AA376="","",'MASTER DATA'!AA376)</f>
        <v>1</v>
      </c>
      <c r="AB22" s="16" t="str">
        <f>IF('MASTER DATA'!AB376="","",'MASTER DATA'!AB376)</f>
        <v>SINGLE-SIGNAL</v>
      </c>
      <c r="AC22" s="16" t="str">
        <f>IF('MASTER DATA'!AC376="","",'MASTER DATA'!AC376)</f>
        <v>Inactive Customer</v>
      </c>
    </row>
    <row r="23" spans="1:29" x14ac:dyDescent="0.45">
      <c r="A23" t="str">
        <f>IF('MASTER DATA'!A377="","",'MASTER DATA'!A377)</f>
        <v>SYN-CLM-0376</v>
      </c>
      <c r="B23" t="str">
        <f>IF('MASTER DATA'!B377="","",'MASTER DATA'!B377)</f>
        <v>Synthetic Claimant 0376</v>
      </c>
      <c r="C23" t="str">
        <f>IF('MASTER DATA'!C377="","",'MASTER DATA'!C377)</f>
        <v>Claims Analyst I</v>
      </c>
      <c r="D23" t="str">
        <f>IF('MASTER DATA'!D377="","",'MASTER DATA'!D377)</f>
        <v>Synthetic Policyholder 143, LLC</v>
      </c>
      <c r="E23" s="15">
        <f>IF('MASTER DATA'!E377="","",'MASTER DATA'!E377)</f>
        <v>45098</v>
      </c>
      <c r="F23" s="16" t="str">
        <f>IF('MASTER DATA'!F377="","",'MASTER DATA'!F377)</f>
        <v>N</v>
      </c>
      <c r="G23" s="17" t="str">
        <f>IF('MASTER DATA'!G377="","",'MASTER DATA'!G377)</f>
        <v/>
      </c>
      <c r="H23" s="16" t="str">
        <f>IF('MASTER DATA'!H377="","",'MASTER DATA'!H377)</f>
        <v/>
      </c>
      <c r="I23" s="15" t="str">
        <f>IF('MASTER DATA'!I377="","",'MASTER DATA'!I377)</f>
        <v/>
      </c>
      <c r="J23" s="16" t="str">
        <f>IF('MASTER DATA'!J377="","",'MASTER DATA'!J377)</f>
        <v>N</v>
      </c>
      <c r="K23" s="15" t="str">
        <f>IF('MASTER DATA'!K377="","",'MASTER DATA'!K377)</f>
        <v/>
      </c>
      <c r="L23" s="16" t="str">
        <f>IF('MASTER DATA'!L377="","",'MASTER DATA'!L377)</f>
        <v/>
      </c>
      <c r="M23" s="16" t="str">
        <f>IF('MASTER DATA'!M377="","",'MASTER DATA'!M377)</f>
        <v>N</v>
      </c>
      <c r="N23" s="15" t="str">
        <f>IF('MASTER DATA'!N377="","",'MASTER DATA'!N377)</f>
        <v/>
      </c>
      <c r="O23" s="16" t="str">
        <f>IF('MASTER DATA'!O377="","",'MASTER DATA'!O377)</f>
        <v/>
      </c>
      <c r="P23" s="16" t="str">
        <f>IF('MASTER DATA'!P377="","",'MASTER DATA'!P377)</f>
        <v>Y</v>
      </c>
      <c r="Q23" s="16" t="str">
        <f>IF('MASTER DATA'!Q377="","",'MASTER DATA'!Q377)</f>
        <v>Denied Treatment Requests</v>
      </c>
      <c r="R23" s="16" t="str">
        <f>IF('MASTER DATA'!R377="","",'MASTER DATA'!R377)</f>
        <v>Non-Renewed Account; MMI Date Reported</v>
      </c>
      <c r="S23" s="16" t="str">
        <f>IF('MASTER DATA'!S377="","",'MASTER DATA'!S377)</f>
        <v>N</v>
      </c>
      <c r="T23" s="15" t="str">
        <f>IF('MASTER DATA'!T377="","",'MASTER DATA'!T377)</f>
        <v/>
      </c>
      <c r="U23" s="16" t="str">
        <f>IF('MASTER DATA'!U377="","",'MASTER DATA'!U377)</f>
        <v>N</v>
      </c>
      <c r="V23" s="16" t="str">
        <f>IF('MASTER DATA'!V377="","",'MASTER DATA'!V377)</f>
        <v>Y</v>
      </c>
      <c r="W23" s="16" t="str">
        <f>IF('MASTER DATA'!W377="","",'MASTER DATA'!W377)</f>
        <v>Y</v>
      </c>
      <c r="X23" s="16" t="str">
        <f>IF('MASTER DATA'!X377="","",'MASTER DATA'!X377)</f>
        <v>N</v>
      </c>
      <c r="Y23" s="16" t="str">
        <f>IF('MASTER DATA'!Y377="","",'MASTER DATA'!Y377)</f>
        <v>Y</v>
      </c>
      <c r="Z23" s="16" t="str">
        <f>IF('MASTER DATA'!Z377="","",'MASTER DATA'!Z377)</f>
        <v>N</v>
      </c>
      <c r="AA23" s="16">
        <f>IF('MASTER DATA'!AA377="","",'MASTER DATA'!AA377)</f>
        <v>1</v>
      </c>
      <c r="AB23" s="16" t="str">
        <f>IF('MASTER DATA'!AB377="","",'MASTER DATA'!AB377)</f>
        <v>SINGLE-SIGNAL</v>
      </c>
      <c r="AC23" s="16" t="str">
        <f>IF('MASTER DATA'!AC377="","",'MASTER DATA'!AC377)</f>
        <v>Automated Claim Alert</v>
      </c>
    </row>
    <row r="24" spans="1:29" x14ac:dyDescent="0.45">
      <c r="A24" t="str">
        <f>IF('MASTER DATA'!A378="","",'MASTER DATA'!A378)</f>
        <v>SYN-CLM-0377</v>
      </c>
      <c r="B24" t="str">
        <f>IF('MASTER DATA'!B378="","",'MASTER DATA'!B378)</f>
        <v>Synthetic Claimant 0377</v>
      </c>
      <c r="C24" t="str">
        <f>IF('MASTER DATA'!C378="","",'MASTER DATA'!C378)</f>
        <v>Claims Analyst I</v>
      </c>
      <c r="D24" t="str">
        <f>IF('MASTER DATA'!D378="","",'MASTER DATA'!D378)</f>
        <v>Synthetic Policyholder 061, LLC</v>
      </c>
      <c r="E24" s="15">
        <f>IF('MASTER DATA'!E378="","",'MASTER DATA'!E378)</f>
        <v>44873</v>
      </c>
      <c r="F24" s="16" t="str">
        <f>IF('MASTER DATA'!F378="","",'MASTER DATA'!F378)</f>
        <v>N</v>
      </c>
      <c r="G24" s="17" t="str">
        <f>IF('MASTER DATA'!G378="","",'MASTER DATA'!G378)</f>
        <v/>
      </c>
      <c r="H24" s="16" t="str">
        <f>IF('MASTER DATA'!H378="","",'MASTER DATA'!H378)</f>
        <v/>
      </c>
      <c r="I24" s="15" t="str">
        <f>IF('MASTER DATA'!I378="","",'MASTER DATA'!I378)</f>
        <v/>
      </c>
      <c r="J24" s="16" t="str">
        <f>IF('MASTER DATA'!J378="","",'MASTER DATA'!J378)</f>
        <v>N</v>
      </c>
      <c r="K24" s="15" t="str">
        <f>IF('MASTER DATA'!K378="","",'MASTER DATA'!K378)</f>
        <v/>
      </c>
      <c r="L24" s="16" t="str">
        <f>IF('MASTER DATA'!L378="","",'MASTER DATA'!L378)</f>
        <v/>
      </c>
      <c r="M24" s="16" t="str">
        <f>IF('MASTER DATA'!M378="","",'MASTER DATA'!M378)</f>
        <v>N</v>
      </c>
      <c r="N24" s="15" t="str">
        <f>IF('MASTER DATA'!N378="","",'MASTER DATA'!N378)</f>
        <v/>
      </c>
      <c r="O24" s="16" t="str">
        <f>IF('MASTER DATA'!O378="","",'MASTER DATA'!O378)</f>
        <v/>
      </c>
      <c r="P24" s="16" t="str">
        <f>IF('MASTER DATA'!P378="","",'MASTER DATA'!P378)</f>
        <v>Y</v>
      </c>
      <c r="Q24" s="16" t="str">
        <f>IF('MASTER DATA'!Q378="","",'MASTER DATA'!Q378)</f>
        <v>Denied Treatment Requests</v>
      </c>
      <c r="R24" s="16" t="str">
        <f>IF('MASTER DATA'!R378="","",'MASTER DATA'!R378)</f>
        <v>Specialist Consultation Requested</v>
      </c>
      <c r="S24" s="16" t="str">
        <f>IF('MASTER DATA'!S378="","",'MASTER DATA'!S378)</f>
        <v>N</v>
      </c>
      <c r="T24" s="15" t="str">
        <f>IF('MASTER DATA'!T378="","",'MASTER DATA'!T378)</f>
        <v/>
      </c>
      <c r="U24" s="16" t="str">
        <f>IF('MASTER DATA'!U378="","",'MASTER DATA'!U378)</f>
        <v>N</v>
      </c>
      <c r="V24" s="16" t="str">
        <f>IF('MASTER DATA'!V378="","",'MASTER DATA'!V378)</f>
        <v>N</v>
      </c>
      <c r="W24" s="16" t="str">
        <f>IF('MASTER DATA'!W378="","",'MASTER DATA'!W378)</f>
        <v>Y</v>
      </c>
      <c r="X24" s="16" t="str">
        <f>IF('MASTER DATA'!X378="","",'MASTER DATA'!X378)</f>
        <v>Y</v>
      </c>
      <c r="Y24" s="16" t="str">
        <f>IF('MASTER DATA'!Y378="","",'MASTER DATA'!Y378)</f>
        <v>N</v>
      </c>
      <c r="Z24" s="16" t="str">
        <f>IF('MASTER DATA'!Z378="","",'MASTER DATA'!Z378)</f>
        <v>N</v>
      </c>
      <c r="AA24" s="16">
        <f>IF('MASTER DATA'!AA378="","",'MASTER DATA'!AA378)</f>
        <v>1</v>
      </c>
      <c r="AB24" s="16" t="str">
        <f>IF('MASTER DATA'!AB378="","",'MASTER DATA'!AB378)</f>
        <v>SINGLE-SIGNAL</v>
      </c>
      <c r="AC24" s="16" t="str">
        <f>IF('MASTER DATA'!AC378="","",'MASTER DATA'!AC378)</f>
        <v>Automated Claim Alert</v>
      </c>
    </row>
    <row r="25" spans="1:29" x14ac:dyDescent="0.45">
      <c r="A25" t="str">
        <f>IF('MASTER DATA'!A379="","",'MASTER DATA'!A379)</f>
        <v>SYN-CLM-0378</v>
      </c>
      <c r="B25" t="str">
        <f>IF('MASTER DATA'!B379="","",'MASTER DATA'!B379)</f>
        <v>Synthetic Claimant 0378</v>
      </c>
      <c r="C25" t="str">
        <f>IF('MASTER DATA'!C379="","",'MASTER DATA'!C379)</f>
        <v>Claims Analyst I</v>
      </c>
      <c r="D25" t="str">
        <f>IF('MASTER DATA'!D379="","",'MASTER DATA'!D379)</f>
        <v>Synthetic Policyholder 050, LLC</v>
      </c>
      <c r="E25" s="15">
        <f>IF('MASTER DATA'!E379="","",'MASTER DATA'!E379)</f>
        <v>45402</v>
      </c>
      <c r="F25" s="16" t="str">
        <f>IF('MASTER DATA'!F379="","",'MASTER DATA'!F379)</f>
        <v>N</v>
      </c>
      <c r="G25" s="17" t="str">
        <f>IF('MASTER DATA'!G379="","",'MASTER DATA'!G379)</f>
        <v/>
      </c>
      <c r="H25" s="16" t="str">
        <f>IF('MASTER DATA'!H379="","",'MASTER DATA'!H379)</f>
        <v/>
      </c>
      <c r="I25" s="15" t="str">
        <f>IF('MASTER DATA'!I379="","",'MASTER DATA'!I379)</f>
        <v/>
      </c>
      <c r="J25" s="16" t="str">
        <f>IF('MASTER DATA'!J379="","",'MASTER DATA'!J379)</f>
        <v>N</v>
      </c>
      <c r="K25" s="15" t="str">
        <f>IF('MASTER DATA'!K379="","",'MASTER DATA'!K379)</f>
        <v/>
      </c>
      <c r="L25" s="16" t="str">
        <f>IF('MASTER DATA'!L379="","",'MASTER DATA'!L379)</f>
        <v/>
      </c>
      <c r="M25" s="16" t="str">
        <f>IF('MASTER DATA'!M379="","",'MASTER DATA'!M379)</f>
        <v>Y</v>
      </c>
      <c r="N25" s="15">
        <f>IF('MASTER DATA'!N379="","",'MASTER DATA'!N379)</f>
        <v>45635</v>
      </c>
      <c r="O25" s="16" t="str">
        <f>IF('MASTER DATA'!O379="","",'MASTER DATA'!O379)</f>
        <v>Synthetic QME Evaluator 21</v>
      </c>
      <c r="P25" s="16" t="str">
        <f>IF('MASTER DATA'!P379="","",'MASTER DATA'!P379)</f>
        <v>N</v>
      </c>
      <c r="Q25" s="16" t="str">
        <f>IF('MASTER DATA'!Q379="","",'MASTER DATA'!Q379)</f>
        <v/>
      </c>
      <c r="R25" s="16" t="str">
        <f>IF('MASTER DATA'!R379="","",'MASTER DATA'!R379)</f>
        <v/>
      </c>
      <c r="S25" s="16" t="str">
        <f>IF('MASTER DATA'!S379="","",'MASTER DATA'!S379)</f>
        <v>N</v>
      </c>
      <c r="T25" s="15" t="str">
        <f>IF('MASTER DATA'!T379="","",'MASTER DATA'!T379)</f>
        <v/>
      </c>
      <c r="U25" s="16" t="str">
        <f>IF('MASTER DATA'!U379="","",'MASTER DATA'!U379)</f>
        <v>N</v>
      </c>
      <c r="V25" s="16" t="str">
        <f>IF('MASTER DATA'!V379="","",'MASTER DATA'!V379)</f>
        <v>N</v>
      </c>
      <c r="W25" s="16" t="str">
        <f>IF('MASTER DATA'!W379="","",'MASTER DATA'!W379)</f>
        <v>N</v>
      </c>
      <c r="X25" s="16" t="str">
        <f>IF('MASTER DATA'!X379="","",'MASTER DATA'!X379)</f>
        <v>N</v>
      </c>
      <c r="Y25" s="16" t="str">
        <f>IF('MASTER DATA'!Y379="","",'MASTER DATA'!Y379)</f>
        <v>N</v>
      </c>
      <c r="Z25" s="16" t="str">
        <f>IF('MASTER DATA'!Z379="","",'MASTER DATA'!Z379)</f>
        <v>N</v>
      </c>
      <c r="AA25" s="16">
        <f>IF('MASTER DATA'!AA379="","",'MASTER DATA'!AA379)</f>
        <v>1</v>
      </c>
      <c r="AB25" s="16" t="str">
        <f>IF('MASTER DATA'!AB379="","",'MASTER DATA'!AB379)</f>
        <v>SINGLE-SIGNAL</v>
      </c>
      <c r="AC25" s="16" t="str">
        <f>IF('MASTER DATA'!AC379="","",'MASTER DATA'!AC379)</f>
        <v>Pending QME</v>
      </c>
    </row>
    <row r="26" spans="1:29" x14ac:dyDescent="0.45">
      <c r="A26" t="str">
        <f>IF('MASTER DATA'!A380="","",'MASTER DATA'!A380)</f>
        <v>SYN-CLM-0379</v>
      </c>
      <c r="B26" t="str">
        <f>IF('MASTER DATA'!B380="","",'MASTER DATA'!B380)</f>
        <v>Synthetic Claimant 0379</v>
      </c>
      <c r="C26" t="str">
        <f>IF('MASTER DATA'!C380="","",'MASTER DATA'!C380)</f>
        <v>Claims Analyst I</v>
      </c>
      <c r="D26" t="str">
        <f>IF('MASTER DATA'!D380="","",'MASTER DATA'!D380)</f>
        <v>Synthetic Policyholder 136, LLC</v>
      </c>
      <c r="E26" s="15">
        <f>IF('MASTER DATA'!E380="","",'MASTER DATA'!E380)</f>
        <v>45312</v>
      </c>
      <c r="F26" s="16" t="str">
        <f>IF('MASTER DATA'!F380="","",'MASTER DATA'!F380)</f>
        <v>N</v>
      </c>
      <c r="G26" s="17" t="str">
        <f>IF('MASTER DATA'!G380="","",'MASTER DATA'!G380)</f>
        <v/>
      </c>
      <c r="H26" s="16" t="str">
        <f>IF('MASTER DATA'!H380="","",'MASTER DATA'!H380)</f>
        <v/>
      </c>
      <c r="I26" s="15" t="str">
        <f>IF('MASTER DATA'!I380="","",'MASTER DATA'!I380)</f>
        <v/>
      </c>
      <c r="J26" s="16" t="str">
        <f>IF('MASTER DATA'!J380="","",'MASTER DATA'!J380)</f>
        <v>Y</v>
      </c>
      <c r="K26" s="15">
        <f>IF('MASTER DATA'!K380="","",'MASTER DATA'!K380)</f>
        <v>46437</v>
      </c>
      <c r="L26" s="16" t="str">
        <f>IF('MASTER DATA'!L380="","",'MASTER DATA'!L380)</f>
        <v>Y</v>
      </c>
      <c r="M26" s="16" t="str">
        <f>IF('MASTER DATA'!M380="","",'MASTER DATA'!M380)</f>
        <v>N</v>
      </c>
      <c r="N26" s="15" t="str">
        <f>IF('MASTER DATA'!N380="","",'MASTER DATA'!N380)</f>
        <v/>
      </c>
      <c r="O26" s="16" t="str">
        <f>IF('MASTER DATA'!O380="","",'MASTER DATA'!O380)</f>
        <v/>
      </c>
      <c r="P26" s="16" t="str">
        <f>IF('MASTER DATA'!P380="","",'MASTER DATA'!P380)</f>
        <v>N</v>
      </c>
      <c r="Q26" s="16" t="str">
        <f>IF('MASTER DATA'!Q380="","",'MASTER DATA'!Q380)</f>
        <v/>
      </c>
      <c r="R26" s="16" t="str">
        <f>IF('MASTER DATA'!R380="","",'MASTER DATA'!R380)</f>
        <v/>
      </c>
      <c r="S26" s="16" t="str">
        <f>IF('MASTER DATA'!S380="","",'MASTER DATA'!S380)</f>
        <v>N</v>
      </c>
      <c r="T26" s="15" t="str">
        <f>IF('MASTER DATA'!T380="","",'MASTER DATA'!T380)</f>
        <v/>
      </c>
      <c r="U26" s="16" t="str">
        <f>IF('MASTER DATA'!U380="","",'MASTER DATA'!U380)</f>
        <v>N</v>
      </c>
      <c r="V26" s="16" t="str">
        <f>IF('MASTER DATA'!V380="","",'MASTER DATA'!V380)</f>
        <v>N</v>
      </c>
      <c r="W26" s="16" t="str">
        <f>IF('MASTER DATA'!W380="","",'MASTER DATA'!W380)</f>
        <v>N</v>
      </c>
      <c r="X26" s="16" t="str">
        <f>IF('MASTER DATA'!X380="","",'MASTER DATA'!X380)</f>
        <v>N</v>
      </c>
      <c r="Y26" s="16" t="str">
        <f>IF('MASTER DATA'!Y380="","",'MASTER DATA'!Y380)</f>
        <v>N</v>
      </c>
      <c r="Z26" s="16" t="str">
        <f>IF('MASTER DATA'!Z380="","",'MASTER DATA'!Z380)</f>
        <v>N</v>
      </c>
      <c r="AA26" s="16">
        <f>IF('MASTER DATA'!AA380="","",'MASTER DATA'!AA380)</f>
        <v>1</v>
      </c>
      <c r="AB26" s="16" t="str">
        <f>IF('MASTER DATA'!AB380="","",'MASTER DATA'!AB380)</f>
        <v>SINGLE-SIGNAL</v>
      </c>
      <c r="AC26" s="16" t="str">
        <f>IF('MASTER DATA'!AC380="","",'MASTER DATA'!AC380)</f>
        <v>Open Stipulation</v>
      </c>
    </row>
    <row r="27" spans="1:29" x14ac:dyDescent="0.45">
      <c r="A27" t="str">
        <f>IF('MASTER DATA'!A381="","",'MASTER DATA'!A381)</f>
        <v>SYN-CLM-0380</v>
      </c>
      <c r="B27" t="str">
        <f>IF('MASTER DATA'!B381="","",'MASTER DATA'!B381)</f>
        <v>Synthetic Claimant 0380</v>
      </c>
      <c r="C27" t="str">
        <f>IF('MASTER DATA'!C381="","",'MASTER DATA'!C381)</f>
        <v>Claims Analyst I</v>
      </c>
      <c r="D27" t="str">
        <f>IF('MASTER DATA'!D381="","",'MASTER DATA'!D381)</f>
        <v>Synthetic Policyholder 076, LLC</v>
      </c>
      <c r="E27" s="15">
        <f>IF('MASTER DATA'!E381="","",'MASTER DATA'!E381)</f>
        <v>43415</v>
      </c>
      <c r="F27" s="16" t="str">
        <f>IF('MASTER DATA'!F381="","",'MASTER DATA'!F381)</f>
        <v>Y</v>
      </c>
      <c r="G27" s="17">
        <f>IF('MASTER DATA'!G381="","",'MASTER DATA'!G381)</f>
        <v>23000</v>
      </c>
      <c r="H27" s="16" t="str">
        <f>IF('MASTER DATA'!H381="","",'MASTER DATA'!H381)</f>
        <v>Synthetic Approver 03</v>
      </c>
      <c r="I27" s="15">
        <f>IF('MASTER DATA'!I381="","",'MASTER DATA'!I381)</f>
        <v>43594</v>
      </c>
      <c r="J27" s="16" t="str">
        <f>IF('MASTER DATA'!J381="","",'MASTER DATA'!J381)</f>
        <v>N</v>
      </c>
      <c r="K27" s="15" t="str">
        <f>IF('MASTER DATA'!K381="","",'MASTER DATA'!K381)</f>
        <v/>
      </c>
      <c r="L27" s="16" t="str">
        <f>IF('MASTER DATA'!L381="","",'MASTER DATA'!L381)</f>
        <v>N</v>
      </c>
      <c r="M27" s="16" t="str">
        <f>IF('MASTER DATA'!M381="","",'MASTER DATA'!M381)</f>
        <v>N</v>
      </c>
      <c r="N27" s="15" t="str">
        <f>IF('MASTER DATA'!N381="","",'MASTER DATA'!N381)</f>
        <v/>
      </c>
      <c r="O27" s="16" t="str">
        <f>IF('MASTER DATA'!O381="","",'MASTER DATA'!O381)</f>
        <v/>
      </c>
      <c r="P27" s="16" t="str">
        <f>IF('MASTER DATA'!P381="","",'MASTER DATA'!P381)</f>
        <v>Y</v>
      </c>
      <c r="Q27" s="16" t="str">
        <f>IF('MASTER DATA'!Q381="","",'MASTER DATA'!Q381)</f>
        <v>Specialist Consultation Requested</v>
      </c>
      <c r="R27" s="16" t="str">
        <f>IF('MASTER DATA'!R381="","",'MASTER DATA'!R381)</f>
        <v/>
      </c>
      <c r="S27" s="16" t="str">
        <f>IF('MASTER DATA'!S381="","",'MASTER DATA'!S381)</f>
        <v>N</v>
      </c>
      <c r="T27" s="15" t="str">
        <f>IF('MASTER DATA'!T381="","",'MASTER DATA'!T381)</f>
        <v/>
      </c>
      <c r="U27" s="16" t="str">
        <f>IF('MASTER DATA'!U381="","",'MASTER DATA'!U381)</f>
        <v>N</v>
      </c>
      <c r="V27" s="16" t="str">
        <f>IF('MASTER DATA'!V381="","",'MASTER DATA'!V381)</f>
        <v>N</v>
      </c>
      <c r="W27" s="16" t="str">
        <f>IF('MASTER DATA'!W381="","",'MASTER DATA'!W381)</f>
        <v>N</v>
      </c>
      <c r="X27" s="16" t="str">
        <f>IF('MASTER DATA'!X381="","",'MASTER DATA'!X381)</f>
        <v>Y</v>
      </c>
      <c r="Y27" s="16" t="str">
        <f>IF('MASTER DATA'!Y381="","",'MASTER DATA'!Y381)</f>
        <v>N</v>
      </c>
      <c r="Z27" s="16" t="str">
        <f>IF('MASTER DATA'!Z381="","",'MASTER DATA'!Z381)</f>
        <v>N</v>
      </c>
      <c r="AA27" s="16">
        <f>IF('MASTER DATA'!AA381="","",'MASTER DATA'!AA381)</f>
        <v>2</v>
      </c>
      <c r="AB27" s="16" t="str">
        <f>IF('MASTER DATA'!AB381="","",'MASTER DATA'!AB381)</f>
        <v>MULTI-SIGNAL</v>
      </c>
      <c r="AC27" s="16" t="str">
        <f>IF('MASTER DATA'!AC381="","",'MASTER DATA'!AC381)</f>
        <v>Settlement Authorization | Automated Claim Alert</v>
      </c>
    </row>
    <row r="28" spans="1:29" x14ac:dyDescent="0.45">
      <c r="A28" t="str">
        <f>IF('MASTER DATA'!A382="","",'MASTER DATA'!A382)</f>
        <v>SYN-CLM-0381</v>
      </c>
      <c r="B28" t="str">
        <f>IF('MASTER DATA'!B382="","",'MASTER DATA'!B382)</f>
        <v>Synthetic Claimant 0381</v>
      </c>
      <c r="C28" t="str">
        <f>IF('MASTER DATA'!C382="","",'MASTER DATA'!C382)</f>
        <v>Claims Analyst I</v>
      </c>
      <c r="D28" t="str">
        <f>IF('MASTER DATA'!D382="","",'MASTER DATA'!D382)</f>
        <v>Synthetic Policyholder 171, LLC</v>
      </c>
      <c r="E28" s="15">
        <f>IF('MASTER DATA'!E382="","",'MASTER DATA'!E382)</f>
        <v>44657</v>
      </c>
      <c r="F28" s="16" t="str">
        <f>IF('MASTER DATA'!F382="","",'MASTER DATA'!F382)</f>
        <v>N</v>
      </c>
      <c r="G28" s="17" t="str">
        <f>IF('MASTER DATA'!G382="","",'MASTER DATA'!G382)</f>
        <v/>
      </c>
      <c r="H28" s="16" t="str">
        <f>IF('MASTER DATA'!H382="","",'MASTER DATA'!H382)</f>
        <v/>
      </c>
      <c r="I28" s="15" t="str">
        <f>IF('MASTER DATA'!I382="","",'MASTER DATA'!I382)</f>
        <v/>
      </c>
      <c r="J28" s="16" t="str">
        <f>IF('MASTER DATA'!J382="","",'MASTER DATA'!J382)</f>
        <v>N</v>
      </c>
      <c r="K28" s="15" t="str">
        <f>IF('MASTER DATA'!K382="","",'MASTER DATA'!K382)</f>
        <v/>
      </c>
      <c r="L28" s="16" t="str">
        <f>IF('MASTER DATA'!L382="","",'MASTER DATA'!L382)</f>
        <v/>
      </c>
      <c r="M28" s="16" t="str">
        <f>IF('MASTER DATA'!M382="","",'MASTER DATA'!M382)</f>
        <v>N</v>
      </c>
      <c r="N28" s="15" t="str">
        <f>IF('MASTER DATA'!N382="","",'MASTER DATA'!N382)</f>
        <v/>
      </c>
      <c r="O28" s="16" t="str">
        <f>IF('MASTER DATA'!O382="","",'MASTER DATA'!O382)</f>
        <v/>
      </c>
      <c r="P28" s="16" t="str">
        <f>IF('MASTER DATA'!P382="","",'MASTER DATA'!P382)</f>
        <v>Y</v>
      </c>
      <c r="Q28" s="16" t="str">
        <f>IF('MASTER DATA'!Q382="","",'MASTER DATA'!Q382)</f>
        <v>MSA Eligible in Next 3 Years</v>
      </c>
      <c r="R28" s="16" t="str">
        <f>IF('MASTER DATA'!R382="","",'MASTER DATA'!R382)</f>
        <v>Denied Treatment Requests</v>
      </c>
      <c r="S28" s="16" t="str">
        <f>IF('MASTER DATA'!S382="","",'MASTER DATA'!S382)</f>
        <v>N</v>
      </c>
      <c r="T28" s="15" t="str">
        <f>IF('MASTER DATA'!T382="","",'MASTER DATA'!T382)</f>
        <v/>
      </c>
      <c r="U28" s="16" t="str">
        <f>IF('MASTER DATA'!U382="","",'MASTER DATA'!U382)</f>
        <v>N</v>
      </c>
      <c r="V28" s="16" t="str">
        <f>IF('MASTER DATA'!V382="","",'MASTER DATA'!V382)</f>
        <v>N</v>
      </c>
      <c r="W28" s="16" t="str">
        <f>IF('MASTER DATA'!W382="","",'MASTER DATA'!W382)</f>
        <v>Y</v>
      </c>
      <c r="X28" s="16" t="str">
        <f>IF('MASTER DATA'!X382="","",'MASTER DATA'!X382)</f>
        <v>N</v>
      </c>
      <c r="Y28" s="16" t="str">
        <f>IF('MASTER DATA'!Y382="","",'MASTER DATA'!Y382)</f>
        <v>N</v>
      </c>
      <c r="Z28" s="16" t="str">
        <f>IF('MASTER DATA'!Z382="","",'MASTER DATA'!Z382)</f>
        <v>Y</v>
      </c>
      <c r="AA28" s="16">
        <f>IF('MASTER DATA'!AA382="","",'MASTER DATA'!AA382)</f>
        <v>1</v>
      </c>
      <c r="AB28" s="16" t="str">
        <f>IF('MASTER DATA'!AB382="","",'MASTER DATA'!AB382)</f>
        <v>SINGLE-SIGNAL</v>
      </c>
      <c r="AC28" s="16" t="str">
        <f>IF('MASTER DATA'!AC382="","",'MASTER DATA'!AC382)</f>
        <v>Automated Claim Alert</v>
      </c>
    </row>
    <row r="29" spans="1:29" x14ac:dyDescent="0.45">
      <c r="A29" t="str">
        <f>IF('MASTER DATA'!A383="","",'MASTER DATA'!A383)</f>
        <v>SYN-CLM-0382</v>
      </c>
      <c r="B29" t="str">
        <f>IF('MASTER DATA'!B383="","",'MASTER DATA'!B383)</f>
        <v>Synthetic Claimant 0382</v>
      </c>
      <c r="C29" t="str">
        <f>IF('MASTER DATA'!C383="","",'MASTER DATA'!C383)</f>
        <v>Claims Analyst I</v>
      </c>
      <c r="D29" t="str">
        <f>IF('MASTER DATA'!D383="","",'MASTER DATA'!D383)</f>
        <v>Synthetic Policyholder 157, LLC</v>
      </c>
      <c r="E29" s="15">
        <f>IF('MASTER DATA'!E383="","",'MASTER DATA'!E383)</f>
        <v>44006</v>
      </c>
      <c r="F29" s="16" t="str">
        <f>IF('MASTER DATA'!F383="","",'MASTER DATA'!F383)</f>
        <v>Y</v>
      </c>
      <c r="G29" s="17">
        <f>IF('MASTER DATA'!G383="","",'MASTER DATA'!G383)</f>
        <v>73000</v>
      </c>
      <c r="H29" s="16" t="str">
        <f>IF('MASTER DATA'!H383="","",'MASTER DATA'!H383)</f>
        <v>Synthetic Approver 06</v>
      </c>
      <c r="I29" s="15">
        <f>IF('MASTER DATA'!I383="","",'MASTER DATA'!I383)</f>
        <v>45663</v>
      </c>
      <c r="J29" s="16" t="str">
        <f>IF('MASTER DATA'!J383="","",'MASTER DATA'!J383)</f>
        <v>N</v>
      </c>
      <c r="K29" s="15" t="str">
        <f>IF('MASTER DATA'!K383="","",'MASTER DATA'!K383)</f>
        <v/>
      </c>
      <c r="L29" s="16" t="str">
        <f>IF('MASTER DATA'!L383="","",'MASTER DATA'!L383)</f>
        <v>N</v>
      </c>
      <c r="M29" s="16" t="str">
        <f>IF('MASTER DATA'!M383="","",'MASTER DATA'!M383)</f>
        <v>N</v>
      </c>
      <c r="N29" s="15" t="str">
        <f>IF('MASTER DATA'!N383="","",'MASTER DATA'!N383)</f>
        <v/>
      </c>
      <c r="O29" s="16" t="str">
        <f>IF('MASTER DATA'!O383="","",'MASTER DATA'!O383)</f>
        <v/>
      </c>
      <c r="P29" s="16" t="str">
        <f>IF('MASTER DATA'!P383="","",'MASTER DATA'!P383)</f>
        <v>N</v>
      </c>
      <c r="Q29" s="16" t="str">
        <f>IF('MASTER DATA'!Q383="","",'MASTER DATA'!Q383)</f>
        <v/>
      </c>
      <c r="R29" s="16" t="str">
        <f>IF('MASTER DATA'!R383="","",'MASTER DATA'!R383)</f>
        <v/>
      </c>
      <c r="S29" s="16" t="str">
        <f>IF('MASTER DATA'!S383="","",'MASTER DATA'!S383)</f>
        <v>N</v>
      </c>
      <c r="T29" s="15" t="str">
        <f>IF('MASTER DATA'!T383="","",'MASTER DATA'!T383)</f>
        <v/>
      </c>
      <c r="U29" s="16" t="str">
        <f>IF('MASTER DATA'!U383="","",'MASTER DATA'!U383)</f>
        <v>N</v>
      </c>
      <c r="V29" s="16" t="str">
        <f>IF('MASTER DATA'!V383="","",'MASTER DATA'!V383)</f>
        <v>N</v>
      </c>
      <c r="W29" s="16" t="str">
        <f>IF('MASTER DATA'!W383="","",'MASTER DATA'!W383)</f>
        <v>N</v>
      </c>
      <c r="X29" s="16" t="str">
        <f>IF('MASTER DATA'!X383="","",'MASTER DATA'!X383)</f>
        <v>N</v>
      </c>
      <c r="Y29" s="16" t="str">
        <f>IF('MASTER DATA'!Y383="","",'MASTER DATA'!Y383)</f>
        <v>N</v>
      </c>
      <c r="Z29" s="16" t="str">
        <f>IF('MASTER DATA'!Z383="","",'MASTER DATA'!Z383)</f>
        <v>N</v>
      </c>
      <c r="AA29" s="16">
        <f>IF('MASTER DATA'!AA383="","",'MASTER DATA'!AA383)</f>
        <v>1</v>
      </c>
      <c r="AB29" s="16" t="str">
        <f>IF('MASTER DATA'!AB383="","",'MASTER DATA'!AB383)</f>
        <v>SINGLE-SIGNAL</v>
      </c>
      <c r="AC29" s="16" t="str">
        <f>IF('MASTER DATA'!AC383="","",'MASTER DATA'!AC383)</f>
        <v>Settlement Authorization</v>
      </c>
    </row>
    <row r="30" spans="1:29" x14ac:dyDescent="0.45">
      <c r="A30" t="str">
        <f>IF('MASTER DATA'!A384="","",'MASTER DATA'!A384)</f>
        <v>SYN-CLM-0383</v>
      </c>
      <c r="B30" t="str">
        <f>IF('MASTER DATA'!B384="","",'MASTER DATA'!B384)</f>
        <v>Synthetic Claimant 0383</v>
      </c>
      <c r="C30" t="str">
        <f>IF('MASTER DATA'!C384="","",'MASTER DATA'!C384)</f>
        <v>Claims Analyst I</v>
      </c>
      <c r="D30" t="str">
        <f>IF('MASTER DATA'!D384="","",'MASTER DATA'!D384)</f>
        <v>Synthetic Policyholder 109, LLC</v>
      </c>
      <c r="E30" s="15">
        <f>IF('MASTER DATA'!E384="","",'MASTER DATA'!E384)</f>
        <v>44541</v>
      </c>
      <c r="F30" s="16" t="str">
        <f>IF('MASTER DATA'!F384="","",'MASTER DATA'!F384)</f>
        <v>N</v>
      </c>
      <c r="G30" s="17" t="str">
        <f>IF('MASTER DATA'!G384="","",'MASTER DATA'!G384)</f>
        <v/>
      </c>
      <c r="H30" s="16" t="str">
        <f>IF('MASTER DATA'!H384="","",'MASTER DATA'!H384)</f>
        <v/>
      </c>
      <c r="I30" s="15" t="str">
        <f>IF('MASTER DATA'!I384="","",'MASTER DATA'!I384)</f>
        <v/>
      </c>
      <c r="J30" s="16" t="str">
        <f>IF('MASTER DATA'!J384="","",'MASTER DATA'!J384)</f>
        <v>N</v>
      </c>
      <c r="K30" s="15" t="str">
        <f>IF('MASTER DATA'!K384="","",'MASTER DATA'!K384)</f>
        <v/>
      </c>
      <c r="L30" s="16" t="str">
        <f>IF('MASTER DATA'!L384="","",'MASTER DATA'!L384)</f>
        <v/>
      </c>
      <c r="M30" s="16" t="str">
        <f>IF('MASTER DATA'!M384="","",'MASTER DATA'!M384)</f>
        <v>Y</v>
      </c>
      <c r="N30" s="15">
        <f>IF('MASTER DATA'!N384="","",'MASTER DATA'!N384)</f>
        <v>46254</v>
      </c>
      <c r="O30" s="16" t="str">
        <f>IF('MASTER DATA'!O384="","",'MASTER DATA'!O384)</f>
        <v>Synthetic QME Evaluator 29</v>
      </c>
      <c r="P30" s="16" t="str">
        <f>IF('MASTER DATA'!P384="","",'MASTER DATA'!P384)</f>
        <v>N</v>
      </c>
      <c r="Q30" s="16" t="str">
        <f>IF('MASTER DATA'!Q384="","",'MASTER DATA'!Q384)</f>
        <v/>
      </c>
      <c r="R30" s="16" t="str">
        <f>IF('MASTER DATA'!R384="","",'MASTER DATA'!R384)</f>
        <v/>
      </c>
      <c r="S30" s="16" t="str">
        <f>IF('MASTER DATA'!S384="","",'MASTER DATA'!S384)</f>
        <v>N</v>
      </c>
      <c r="T30" s="15" t="str">
        <f>IF('MASTER DATA'!T384="","",'MASTER DATA'!T384)</f>
        <v/>
      </c>
      <c r="U30" s="16" t="str">
        <f>IF('MASTER DATA'!U384="","",'MASTER DATA'!U384)</f>
        <v>N</v>
      </c>
      <c r="V30" s="16" t="str">
        <f>IF('MASTER DATA'!V384="","",'MASTER DATA'!V384)</f>
        <v>N</v>
      </c>
      <c r="W30" s="16" t="str">
        <f>IF('MASTER DATA'!W384="","",'MASTER DATA'!W384)</f>
        <v>N</v>
      </c>
      <c r="X30" s="16" t="str">
        <f>IF('MASTER DATA'!X384="","",'MASTER DATA'!X384)</f>
        <v>N</v>
      </c>
      <c r="Y30" s="16" t="str">
        <f>IF('MASTER DATA'!Y384="","",'MASTER DATA'!Y384)</f>
        <v>N</v>
      </c>
      <c r="Z30" s="16" t="str">
        <f>IF('MASTER DATA'!Z384="","",'MASTER DATA'!Z384)</f>
        <v>N</v>
      </c>
      <c r="AA30" s="16">
        <f>IF('MASTER DATA'!AA384="","",'MASTER DATA'!AA384)</f>
        <v>1</v>
      </c>
      <c r="AB30" s="16" t="str">
        <f>IF('MASTER DATA'!AB384="","",'MASTER DATA'!AB384)</f>
        <v>SINGLE-SIGNAL</v>
      </c>
      <c r="AC30" s="16" t="str">
        <f>IF('MASTER DATA'!AC384="","",'MASTER DATA'!AC384)</f>
        <v>Pending QME</v>
      </c>
    </row>
    <row r="31" spans="1:29" x14ac:dyDescent="0.45">
      <c r="A31" t="str">
        <f>IF('MASTER DATA'!A385="","",'MASTER DATA'!A385)</f>
        <v>SYN-CLM-0384</v>
      </c>
      <c r="B31" t="str">
        <f>IF('MASTER DATA'!B385="","",'MASTER DATA'!B385)</f>
        <v>Synthetic Claimant 0384</v>
      </c>
      <c r="C31" t="str">
        <f>IF('MASTER DATA'!C385="","",'MASTER DATA'!C385)</f>
        <v>Claims Analyst I</v>
      </c>
      <c r="D31" t="str">
        <f>IF('MASTER DATA'!D385="","",'MASTER DATA'!D385)</f>
        <v>Synthetic Policyholder 105, LLC</v>
      </c>
      <c r="E31" s="15">
        <f>IF('MASTER DATA'!E385="","",'MASTER DATA'!E385)</f>
        <v>43377</v>
      </c>
      <c r="F31" s="16" t="str">
        <f>IF('MASTER DATA'!F385="","",'MASTER DATA'!F385)</f>
        <v>N</v>
      </c>
      <c r="G31" s="17" t="str">
        <f>IF('MASTER DATA'!G385="","",'MASTER DATA'!G385)</f>
        <v/>
      </c>
      <c r="H31" s="16" t="str">
        <f>IF('MASTER DATA'!H385="","",'MASTER DATA'!H385)</f>
        <v/>
      </c>
      <c r="I31" s="15" t="str">
        <f>IF('MASTER DATA'!I385="","",'MASTER DATA'!I385)</f>
        <v/>
      </c>
      <c r="J31" s="16" t="str">
        <f>IF('MASTER DATA'!J385="","",'MASTER DATA'!J385)</f>
        <v>N</v>
      </c>
      <c r="K31" s="15" t="str">
        <f>IF('MASTER DATA'!K385="","",'MASTER DATA'!K385)</f>
        <v/>
      </c>
      <c r="L31" s="16" t="str">
        <f>IF('MASTER DATA'!L385="","",'MASTER DATA'!L385)</f>
        <v/>
      </c>
      <c r="M31" s="16" t="str">
        <f>IF('MASTER DATA'!M385="","",'MASTER DATA'!M385)</f>
        <v>N</v>
      </c>
      <c r="N31" s="15" t="str">
        <f>IF('MASTER DATA'!N385="","",'MASTER DATA'!N385)</f>
        <v/>
      </c>
      <c r="O31" s="16" t="str">
        <f>IF('MASTER DATA'!O385="","",'MASTER DATA'!O385)</f>
        <v/>
      </c>
      <c r="P31" s="16" t="str">
        <f>IF('MASTER DATA'!P385="","",'MASTER DATA'!P385)</f>
        <v>Y</v>
      </c>
      <c r="Q31" s="16" t="str">
        <f>IF('MASTER DATA'!Q385="","",'MASTER DATA'!Q385)</f>
        <v>Surgery Requested</v>
      </c>
      <c r="R31" s="16" t="str">
        <f>IF('MASTER DATA'!R385="","",'MASTER DATA'!R385)</f>
        <v>MSA Eligible in Next 3 Years</v>
      </c>
      <c r="S31" s="16" t="str">
        <f>IF('MASTER DATA'!S385="","",'MASTER DATA'!S385)</f>
        <v>N</v>
      </c>
      <c r="T31" s="15" t="str">
        <f>IF('MASTER DATA'!T385="","",'MASTER DATA'!T385)</f>
        <v/>
      </c>
      <c r="U31" s="16" t="str">
        <f>IF('MASTER DATA'!U385="","",'MASTER DATA'!U385)</f>
        <v>Y</v>
      </c>
      <c r="V31" s="16" t="str">
        <f>IF('MASTER DATA'!V385="","",'MASTER DATA'!V385)</f>
        <v>N</v>
      </c>
      <c r="W31" s="16" t="str">
        <f>IF('MASTER DATA'!W385="","",'MASTER DATA'!W385)</f>
        <v>N</v>
      </c>
      <c r="X31" s="16" t="str">
        <f>IF('MASTER DATA'!X385="","",'MASTER DATA'!X385)</f>
        <v>N</v>
      </c>
      <c r="Y31" s="16" t="str">
        <f>IF('MASTER DATA'!Y385="","",'MASTER DATA'!Y385)</f>
        <v>N</v>
      </c>
      <c r="Z31" s="16" t="str">
        <f>IF('MASTER DATA'!Z385="","",'MASTER DATA'!Z385)</f>
        <v>Y</v>
      </c>
      <c r="AA31" s="16">
        <f>IF('MASTER DATA'!AA385="","",'MASTER DATA'!AA385)</f>
        <v>1</v>
      </c>
      <c r="AB31" s="16" t="str">
        <f>IF('MASTER DATA'!AB385="","",'MASTER DATA'!AB385)</f>
        <v>SINGLE-SIGNAL</v>
      </c>
      <c r="AC31" s="16" t="str">
        <f>IF('MASTER DATA'!AC385="","",'MASTER DATA'!AC385)</f>
        <v>Automated Claim Alert</v>
      </c>
    </row>
    <row r="32" spans="1:29" x14ac:dyDescent="0.45">
      <c r="A32" t="str">
        <f>IF('MASTER DATA'!A386="","",'MASTER DATA'!A386)</f>
        <v>SYN-CLM-0385</v>
      </c>
      <c r="B32" t="str">
        <f>IF('MASTER DATA'!B386="","",'MASTER DATA'!B386)</f>
        <v>Synthetic Claimant 0385</v>
      </c>
      <c r="C32" t="str">
        <f>IF('MASTER DATA'!C386="","",'MASTER DATA'!C386)</f>
        <v>Claims Analyst I</v>
      </c>
      <c r="D32" t="str">
        <f>IF('MASTER DATA'!D386="","",'MASTER DATA'!D386)</f>
        <v>Synthetic Policyholder 165, LLC</v>
      </c>
      <c r="E32" s="15">
        <f>IF('MASTER DATA'!E386="","",'MASTER DATA'!E386)</f>
        <v>45755</v>
      </c>
      <c r="F32" s="16" t="str">
        <f>IF('MASTER DATA'!F386="","",'MASTER DATA'!F386)</f>
        <v>N</v>
      </c>
      <c r="G32" s="17" t="str">
        <f>IF('MASTER DATA'!G386="","",'MASTER DATA'!G386)</f>
        <v/>
      </c>
      <c r="H32" s="16" t="str">
        <f>IF('MASTER DATA'!H386="","",'MASTER DATA'!H386)</f>
        <v/>
      </c>
      <c r="I32" s="15" t="str">
        <f>IF('MASTER DATA'!I386="","",'MASTER DATA'!I386)</f>
        <v/>
      </c>
      <c r="J32" s="16" t="str">
        <f>IF('MASTER DATA'!J386="","",'MASTER DATA'!J386)</f>
        <v>N</v>
      </c>
      <c r="K32" s="15" t="str">
        <f>IF('MASTER DATA'!K386="","",'MASTER DATA'!K386)</f>
        <v/>
      </c>
      <c r="L32" s="16" t="str">
        <f>IF('MASTER DATA'!L386="","",'MASTER DATA'!L386)</f>
        <v/>
      </c>
      <c r="M32" s="16" t="str">
        <f>IF('MASTER DATA'!M386="","",'MASTER DATA'!M386)</f>
        <v>Y</v>
      </c>
      <c r="N32" s="15">
        <f>IF('MASTER DATA'!N386="","",'MASTER DATA'!N386)</f>
        <v>46824</v>
      </c>
      <c r="O32" s="16" t="str">
        <f>IF('MASTER DATA'!O386="","",'MASTER DATA'!O386)</f>
        <v>Synthetic QME Evaluator 26</v>
      </c>
      <c r="P32" s="16" t="str">
        <f>IF('MASTER DATA'!P386="","",'MASTER DATA'!P386)</f>
        <v>N</v>
      </c>
      <c r="Q32" s="16" t="str">
        <f>IF('MASTER DATA'!Q386="","",'MASTER DATA'!Q386)</f>
        <v/>
      </c>
      <c r="R32" s="16" t="str">
        <f>IF('MASTER DATA'!R386="","",'MASTER DATA'!R386)</f>
        <v/>
      </c>
      <c r="S32" s="16" t="str">
        <f>IF('MASTER DATA'!S386="","",'MASTER DATA'!S386)</f>
        <v>N</v>
      </c>
      <c r="T32" s="15" t="str">
        <f>IF('MASTER DATA'!T386="","",'MASTER DATA'!T386)</f>
        <v/>
      </c>
      <c r="U32" s="16" t="str">
        <f>IF('MASTER DATA'!U386="","",'MASTER DATA'!U386)</f>
        <v>N</v>
      </c>
      <c r="V32" s="16" t="str">
        <f>IF('MASTER DATA'!V386="","",'MASTER DATA'!V386)</f>
        <v>N</v>
      </c>
      <c r="W32" s="16" t="str">
        <f>IF('MASTER DATA'!W386="","",'MASTER DATA'!W386)</f>
        <v>N</v>
      </c>
      <c r="X32" s="16" t="str">
        <f>IF('MASTER DATA'!X386="","",'MASTER DATA'!X386)</f>
        <v>N</v>
      </c>
      <c r="Y32" s="16" t="str">
        <f>IF('MASTER DATA'!Y386="","",'MASTER DATA'!Y386)</f>
        <v>N</v>
      </c>
      <c r="Z32" s="16" t="str">
        <f>IF('MASTER DATA'!Z386="","",'MASTER DATA'!Z386)</f>
        <v>N</v>
      </c>
      <c r="AA32" s="16">
        <f>IF('MASTER DATA'!AA386="","",'MASTER DATA'!AA386)</f>
        <v>1</v>
      </c>
      <c r="AB32" s="16" t="str">
        <f>IF('MASTER DATA'!AB386="","",'MASTER DATA'!AB386)</f>
        <v>SINGLE-SIGNAL</v>
      </c>
      <c r="AC32" s="16" t="str">
        <f>IF('MASTER DATA'!AC386="","",'MASTER DATA'!AC386)</f>
        <v>Pending QME</v>
      </c>
    </row>
    <row r="33" spans="1:29" x14ac:dyDescent="0.45">
      <c r="A33" t="str">
        <f>IF('MASTER DATA'!A387="","",'MASTER DATA'!A387)</f>
        <v>SYN-CLM-0386</v>
      </c>
      <c r="B33" t="str">
        <f>IF('MASTER DATA'!B387="","",'MASTER DATA'!B387)</f>
        <v>Synthetic Claimant 0386</v>
      </c>
      <c r="C33" t="str">
        <f>IF('MASTER DATA'!C387="","",'MASTER DATA'!C387)</f>
        <v>Claims Analyst I</v>
      </c>
      <c r="D33" t="str">
        <f>IF('MASTER DATA'!D387="","",'MASTER DATA'!D387)</f>
        <v>Synthetic Policyholder 081, LLC</v>
      </c>
      <c r="E33" s="15">
        <f>IF('MASTER DATA'!E387="","",'MASTER DATA'!E387)</f>
        <v>44765</v>
      </c>
      <c r="F33" s="16" t="str">
        <f>IF('MASTER DATA'!F387="","",'MASTER DATA'!F387)</f>
        <v>N</v>
      </c>
      <c r="G33" s="17" t="str">
        <f>IF('MASTER DATA'!G387="","",'MASTER DATA'!G387)</f>
        <v/>
      </c>
      <c r="H33" s="16" t="str">
        <f>IF('MASTER DATA'!H387="","",'MASTER DATA'!H387)</f>
        <v/>
      </c>
      <c r="I33" s="15" t="str">
        <f>IF('MASTER DATA'!I387="","",'MASTER DATA'!I387)</f>
        <v/>
      </c>
      <c r="J33" s="16" t="str">
        <f>IF('MASTER DATA'!J387="","",'MASTER DATA'!J387)</f>
        <v>N</v>
      </c>
      <c r="K33" s="15" t="str">
        <f>IF('MASTER DATA'!K387="","",'MASTER DATA'!K387)</f>
        <v/>
      </c>
      <c r="L33" s="16" t="str">
        <f>IF('MASTER DATA'!L387="","",'MASTER DATA'!L387)</f>
        <v/>
      </c>
      <c r="M33" s="16" t="str">
        <f>IF('MASTER DATA'!M387="","",'MASTER DATA'!M387)</f>
        <v>Y</v>
      </c>
      <c r="N33" s="15">
        <f>IF('MASTER DATA'!N387="","",'MASTER DATA'!N387)</f>
        <v>45569</v>
      </c>
      <c r="O33" s="16" t="str">
        <f>IF('MASTER DATA'!O387="","",'MASTER DATA'!O387)</f>
        <v>Synthetic QME Evaluator 09</v>
      </c>
      <c r="P33" s="16" t="str">
        <f>IF('MASTER DATA'!P387="","",'MASTER DATA'!P387)</f>
        <v>N</v>
      </c>
      <c r="Q33" s="16" t="str">
        <f>IF('MASTER DATA'!Q387="","",'MASTER DATA'!Q387)</f>
        <v/>
      </c>
      <c r="R33" s="16" t="str">
        <f>IF('MASTER DATA'!R387="","",'MASTER DATA'!R387)</f>
        <v/>
      </c>
      <c r="S33" s="16" t="str">
        <f>IF('MASTER DATA'!S387="","",'MASTER DATA'!S387)</f>
        <v>Y</v>
      </c>
      <c r="T33" s="15">
        <f>IF('MASTER DATA'!T387="","",'MASTER DATA'!T387)</f>
        <v>46562</v>
      </c>
      <c r="U33" s="16" t="str">
        <f>IF('MASTER DATA'!U387="","",'MASTER DATA'!U387)</f>
        <v>N</v>
      </c>
      <c r="V33" s="16" t="str">
        <f>IF('MASTER DATA'!V387="","",'MASTER DATA'!V387)</f>
        <v>N</v>
      </c>
      <c r="W33" s="16" t="str">
        <f>IF('MASTER DATA'!W387="","",'MASTER DATA'!W387)</f>
        <v>N</v>
      </c>
      <c r="X33" s="16" t="str">
        <f>IF('MASTER DATA'!X387="","",'MASTER DATA'!X387)</f>
        <v>N</v>
      </c>
      <c r="Y33" s="16" t="str">
        <f>IF('MASTER DATA'!Y387="","",'MASTER DATA'!Y387)</f>
        <v>N</v>
      </c>
      <c r="Z33" s="16" t="str">
        <f>IF('MASTER DATA'!Z387="","",'MASTER DATA'!Z387)</f>
        <v>N</v>
      </c>
      <c r="AA33" s="16">
        <f>IF('MASTER DATA'!AA387="","",'MASTER DATA'!AA387)</f>
        <v>2</v>
      </c>
      <c r="AB33" s="16" t="str">
        <f>IF('MASTER DATA'!AB387="","",'MASTER DATA'!AB387)</f>
        <v>MULTI-SIGNAL</v>
      </c>
      <c r="AC33" s="16" t="str">
        <f>IF('MASTER DATA'!AC387="","",'MASTER DATA'!AC387)</f>
        <v>Pending QME | Inactive Customer</v>
      </c>
    </row>
    <row r="34" spans="1:29" x14ac:dyDescent="0.45">
      <c r="A34" t="str">
        <f>IF('MASTER DATA'!A388="","",'MASTER DATA'!A388)</f>
        <v>SYN-CLM-0387</v>
      </c>
      <c r="B34" t="str">
        <f>IF('MASTER DATA'!B388="","",'MASTER DATA'!B388)</f>
        <v>Synthetic Claimant 0387</v>
      </c>
      <c r="C34" t="str">
        <f>IF('MASTER DATA'!C388="","",'MASTER DATA'!C388)</f>
        <v>Claims Analyst I</v>
      </c>
      <c r="D34" t="str">
        <f>IF('MASTER DATA'!D388="","",'MASTER DATA'!D388)</f>
        <v>Synthetic Policyholder 041, LLC</v>
      </c>
      <c r="E34" s="15">
        <f>IF('MASTER DATA'!E388="","",'MASTER DATA'!E388)</f>
        <v>44978</v>
      </c>
      <c r="F34" s="16" t="str">
        <f>IF('MASTER DATA'!F388="","",'MASTER DATA'!F388)</f>
        <v>Y</v>
      </c>
      <c r="G34" s="17">
        <f>IF('MASTER DATA'!G388="","",'MASTER DATA'!G388)</f>
        <v>137250</v>
      </c>
      <c r="H34" s="16" t="str">
        <f>IF('MASTER DATA'!H388="","",'MASTER DATA'!H388)</f>
        <v>Synthetic Approver 08</v>
      </c>
      <c r="I34" s="15">
        <f>IF('MASTER DATA'!I388="","",'MASTER DATA'!I388)</f>
        <v>45039</v>
      </c>
      <c r="J34" s="16" t="str">
        <f>IF('MASTER DATA'!J388="","",'MASTER DATA'!J388)</f>
        <v>N</v>
      </c>
      <c r="K34" s="15" t="str">
        <f>IF('MASTER DATA'!K388="","",'MASTER DATA'!K388)</f>
        <v/>
      </c>
      <c r="L34" s="16" t="str">
        <f>IF('MASTER DATA'!L388="","",'MASTER DATA'!L388)</f>
        <v>N</v>
      </c>
      <c r="M34" s="16" t="str">
        <f>IF('MASTER DATA'!M388="","",'MASTER DATA'!M388)</f>
        <v>N</v>
      </c>
      <c r="N34" s="15" t="str">
        <f>IF('MASTER DATA'!N388="","",'MASTER DATA'!N388)</f>
        <v/>
      </c>
      <c r="O34" s="16" t="str">
        <f>IF('MASTER DATA'!O388="","",'MASTER DATA'!O388)</f>
        <v/>
      </c>
      <c r="P34" s="16" t="str">
        <f>IF('MASTER DATA'!P388="","",'MASTER DATA'!P388)</f>
        <v>N</v>
      </c>
      <c r="Q34" s="16" t="str">
        <f>IF('MASTER DATA'!Q388="","",'MASTER DATA'!Q388)</f>
        <v/>
      </c>
      <c r="R34" s="16" t="str">
        <f>IF('MASTER DATA'!R388="","",'MASTER DATA'!R388)</f>
        <v/>
      </c>
      <c r="S34" s="16" t="str">
        <f>IF('MASTER DATA'!S388="","",'MASTER DATA'!S388)</f>
        <v>Y</v>
      </c>
      <c r="T34" s="15">
        <f>IF('MASTER DATA'!T388="","",'MASTER DATA'!T388)</f>
        <v>45644</v>
      </c>
      <c r="U34" s="16" t="str">
        <f>IF('MASTER DATA'!U388="","",'MASTER DATA'!U388)</f>
        <v>N</v>
      </c>
      <c r="V34" s="16" t="str">
        <f>IF('MASTER DATA'!V388="","",'MASTER DATA'!V388)</f>
        <v>N</v>
      </c>
      <c r="W34" s="16" t="str">
        <f>IF('MASTER DATA'!W388="","",'MASTER DATA'!W388)</f>
        <v>N</v>
      </c>
      <c r="X34" s="16" t="str">
        <f>IF('MASTER DATA'!X388="","",'MASTER DATA'!X388)</f>
        <v>N</v>
      </c>
      <c r="Y34" s="16" t="str">
        <f>IF('MASTER DATA'!Y388="","",'MASTER DATA'!Y388)</f>
        <v>N</v>
      </c>
      <c r="Z34" s="16" t="str">
        <f>IF('MASTER DATA'!Z388="","",'MASTER DATA'!Z388)</f>
        <v>N</v>
      </c>
      <c r="AA34" s="16">
        <f>IF('MASTER DATA'!AA388="","",'MASTER DATA'!AA388)</f>
        <v>2</v>
      </c>
      <c r="AB34" s="16" t="str">
        <f>IF('MASTER DATA'!AB388="","",'MASTER DATA'!AB388)</f>
        <v>MULTI-SIGNAL</v>
      </c>
      <c r="AC34" s="16" t="str">
        <f>IF('MASTER DATA'!AC388="","",'MASTER DATA'!AC388)</f>
        <v>Settlement Authorization | Inactive Customer</v>
      </c>
    </row>
    <row r="35" spans="1:29" x14ac:dyDescent="0.45">
      <c r="A35" t="str">
        <f>IF('MASTER DATA'!A389="","",'MASTER DATA'!A389)</f>
        <v>SYN-CLM-0388</v>
      </c>
      <c r="B35" t="str">
        <f>IF('MASTER DATA'!B389="","",'MASTER DATA'!B389)</f>
        <v>Synthetic Claimant 0388</v>
      </c>
      <c r="C35" t="str">
        <f>IF('MASTER DATA'!C389="","",'MASTER DATA'!C389)</f>
        <v>Claims Analyst I</v>
      </c>
      <c r="D35" t="str">
        <f>IF('MASTER DATA'!D389="","",'MASTER DATA'!D389)</f>
        <v>Synthetic Policyholder 168, LLC</v>
      </c>
      <c r="E35" s="15">
        <f>IF('MASTER DATA'!E389="","",'MASTER DATA'!E389)</f>
        <v>44781</v>
      </c>
      <c r="F35" s="16" t="str">
        <f>IF('MASTER DATA'!F389="","",'MASTER DATA'!F389)</f>
        <v>Y</v>
      </c>
      <c r="G35" s="17">
        <f>IF('MASTER DATA'!G389="","",'MASTER DATA'!G389)</f>
        <v>109750</v>
      </c>
      <c r="H35" s="16" t="str">
        <f>IF('MASTER DATA'!H389="","",'MASTER DATA'!H389)</f>
        <v>Synthetic Approver 12</v>
      </c>
      <c r="I35" s="15">
        <f>IF('MASTER DATA'!I389="","",'MASTER DATA'!I389)</f>
        <v>46115</v>
      </c>
      <c r="J35" s="16" t="str">
        <f>IF('MASTER DATA'!J389="","",'MASTER DATA'!J389)</f>
        <v>N</v>
      </c>
      <c r="K35" s="15" t="str">
        <f>IF('MASTER DATA'!K389="","",'MASTER DATA'!K389)</f>
        <v/>
      </c>
      <c r="L35" s="16" t="str">
        <f>IF('MASTER DATA'!L389="","",'MASTER DATA'!L389)</f>
        <v>N</v>
      </c>
      <c r="M35" s="16" t="str">
        <f>IF('MASTER DATA'!M389="","",'MASTER DATA'!M389)</f>
        <v>N</v>
      </c>
      <c r="N35" s="15" t="str">
        <f>IF('MASTER DATA'!N389="","",'MASTER DATA'!N389)</f>
        <v/>
      </c>
      <c r="O35" s="16" t="str">
        <f>IF('MASTER DATA'!O389="","",'MASTER DATA'!O389)</f>
        <v/>
      </c>
      <c r="P35" s="16" t="str">
        <f>IF('MASTER DATA'!P389="","",'MASTER DATA'!P389)</f>
        <v>N</v>
      </c>
      <c r="Q35" s="16" t="str">
        <f>IF('MASTER DATA'!Q389="","",'MASTER DATA'!Q389)</f>
        <v/>
      </c>
      <c r="R35" s="16" t="str">
        <f>IF('MASTER DATA'!R389="","",'MASTER DATA'!R389)</f>
        <v/>
      </c>
      <c r="S35" s="16" t="str">
        <f>IF('MASTER DATA'!S389="","",'MASTER DATA'!S389)</f>
        <v>N</v>
      </c>
      <c r="T35" s="15" t="str">
        <f>IF('MASTER DATA'!T389="","",'MASTER DATA'!T389)</f>
        <v/>
      </c>
      <c r="U35" s="16" t="str">
        <f>IF('MASTER DATA'!U389="","",'MASTER DATA'!U389)</f>
        <v>N</v>
      </c>
      <c r="V35" s="16" t="str">
        <f>IF('MASTER DATA'!V389="","",'MASTER DATA'!V389)</f>
        <v>N</v>
      </c>
      <c r="W35" s="16" t="str">
        <f>IF('MASTER DATA'!W389="","",'MASTER DATA'!W389)</f>
        <v>N</v>
      </c>
      <c r="X35" s="16" t="str">
        <f>IF('MASTER DATA'!X389="","",'MASTER DATA'!X389)</f>
        <v>N</v>
      </c>
      <c r="Y35" s="16" t="str">
        <f>IF('MASTER DATA'!Y389="","",'MASTER DATA'!Y389)</f>
        <v>N</v>
      </c>
      <c r="Z35" s="16" t="str">
        <f>IF('MASTER DATA'!Z389="","",'MASTER DATA'!Z389)</f>
        <v>N</v>
      </c>
      <c r="AA35" s="16">
        <f>IF('MASTER DATA'!AA389="","",'MASTER DATA'!AA389)</f>
        <v>1</v>
      </c>
      <c r="AB35" s="16" t="str">
        <f>IF('MASTER DATA'!AB389="","",'MASTER DATA'!AB389)</f>
        <v>SINGLE-SIGNAL</v>
      </c>
      <c r="AC35" s="16" t="str">
        <f>IF('MASTER DATA'!AC389="","",'MASTER DATA'!AC389)</f>
        <v>Settlement Authorization</v>
      </c>
    </row>
    <row r="36" spans="1:29" x14ac:dyDescent="0.45">
      <c r="A36" t="str">
        <f>IF('MASTER DATA'!A390="","",'MASTER DATA'!A390)</f>
        <v>SYN-CLM-0389</v>
      </c>
      <c r="B36" t="str">
        <f>IF('MASTER DATA'!B390="","",'MASTER DATA'!B390)</f>
        <v>Synthetic Claimant 0389</v>
      </c>
      <c r="C36" t="str">
        <f>IF('MASTER DATA'!C390="","",'MASTER DATA'!C390)</f>
        <v>Claims Analyst I</v>
      </c>
      <c r="D36" t="str">
        <f>IF('MASTER DATA'!D390="","",'MASTER DATA'!D390)</f>
        <v>Synthetic Policyholder 102, LLC</v>
      </c>
      <c r="E36" s="15">
        <f>IF('MASTER DATA'!E390="","",'MASTER DATA'!E390)</f>
        <v>45434</v>
      </c>
      <c r="F36" s="16" t="str">
        <f>IF('MASTER DATA'!F390="","",'MASTER DATA'!F390)</f>
        <v>N</v>
      </c>
      <c r="G36" s="17" t="str">
        <f>IF('MASTER DATA'!G390="","",'MASTER DATA'!G390)</f>
        <v/>
      </c>
      <c r="H36" s="16" t="str">
        <f>IF('MASTER DATA'!H390="","",'MASTER DATA'!H390)</f>
        <v/>
      </c>
      <c r="I36" s="15" t="str">
        <f>IF('MASTER DATA'!I390="","",'MASTER DATA'!I390)</f>
        <v/>
      </c>
      <c r="J36" s="16" t="str">
        <f>IF('MASTER DATA'!J390="","",'MASTER DATA'!J390)</f>
        <v>N</v>
      </c>
      <c r="K36" s="15" t="str">
        <f>IF('MASTER DATA'!K390="","",'MASTER DATA'!K390)</f>
        <v/>
      </c>
      <c r="L36" s="16" t="str">
        <f>IF('MASTER DATA'!L390="","",'MASTER DATA'!L390)</f>
        <v/>
      </c>
      <c r="M36" s="16" t="str">
        <f>IF('MASTER DATA'!M390="","",'MASTER DATA'!M390)</f>
        <v>N</v>
      </c>
      <c r="N36" s="15" t="str">
        <f>IF('MASTER DATA'!N390="","",'MASTER DATA'!N390)</f>
        <v/>
      </c>
      <c r="O36" s="16" t="str">
        <f>IF('MASTER DATA'!O390="","",'MASTER DATA'!O390)</f>
        <v/>
      </c>
      <c r="P36" s="16" t="str">
        <f>IF('MASTER DATA'!P390="","",'MASTER DATA'!P390)</f>
        <v>N</v>
      </c>
      <c r="Q36" s="16" t="str">
        <f>IF('MASTER DATA'!Q390="","",'MASTER DATA'!Q390)</f>
        <v/>
      </c>
      <c r="R36" s="16" t="str">
        <f>IF('MASTER DATA'!R390="","",'MASTER DATA'!R390)</f>
        <v/>
      </c>
      <c r="S36" s="16" t="str">
        <f>IF('MASTER DATA'!S390="","",'MASTER DATA'!S390)</f>
        <v>Y</v>
      </c>
      <c r="T36" s="15">
        <f>IF('MASTER DATA'!T390="","",'MASTER DATA'!T390)</f>
        <v>47534</v>
      </c>
      <c r="U36" s="16" t="str">
        <f>IF('MASTER DATA'!U390="","",'MASTER DATA'!U390)</f>
        <v>N</v>
      </c>
      <c r="V36" s="16" t="str">
        <f>IF('MASTER DATA'!V390="","",'MASTER DATA'!V390)</f>
        <v>N</v>
      </c>
      <c r="W36" s="16" t="str">
        <f>IF('MASTER DATA'!W390="","",'MASTER DATA'!W390)</f>
        <v>N</v>
      </c>
      <c r="X36" s="16" t="str">
        <f>IF('MASTER DATA'!X390="","",'MASTER DATA'!X390)</f>
        <v>N</v>
      </c>
      <c r="Y36" s="16" t="str">
        <f>IF('MASTER DATA'!Y390="","",'MASTER DATA'!Y390)</f>
        <v>N</v>
      </c>
      <c r="Z36" s="16" t="str">
        <f>IF('MASTER DATA'!Z390="","",'MASTER DATA'!Z390)</f>
        <v>N</v>
      </c>
      <c r="AA36" s="16">
        <f>IF('MASTER DATA'!AA390="","",'MASTER DATA'!AA390)</f>
        <v>1</v>
      </c>
      <c r="AB36" s="16" t="str">
        <f>IF('MASTER DATA'!AB390="","",'MASTER DATA'!AB390)</f>
        <v>SINGLE-SIGNAL</v>
      </c>
      <c r="AC36" s="16" t="str">
        <f>IF('MASTER DATA'!AC390="","",'MASTER DATA'!AC390)</f>
        <v>Inactive Customer</v>
      </c>
    </row>
    <row r="37" spans="1:29" x14ac:dyDescent="0.45">
      <c r="A37" t="str">
        <f>IF('MASTER DATA'!A391="","",'MASTER DATA'!A391)</f>
        <v>SYN-CLM-0390</v>
      </c>
      <c r="B37" t="str">
        <f>IF('MASTER DATA'!B391="","",'MASTER DATA'!B391)</f>
        <v>Synthetic Claimant 0390</v>
      </c>
      <c r="C37" t="str">
        <f>IF('MASTER DATA'!C391="","",'MASTER DATA'!C391)</f>
        <v>Claims Analyst I</v>
      </c>
      <c r="D37" t="str">
        <f>IF('MASTER DATA'!D391="","",'MASTER DATA'!D391)</f>
        <v>Synthetic Policyholder 139, LLC</v>
      </c>
      <c r="E37" s="15">
        <f>IF('MASTER DATA'!E391="","",'MASTER DATA'!E391)</f>
        <v>45289</v>
      </c>
      <c r="F37" s="16" t="str">
        <f>IF('MASTER DATA'!F391="","",'MASTER DATA'!F391)</f>
        <v>Y</v>
      </c>
      <c r="G37" s="17">
        <f>IF('MASTER DATA'!G391="","",'MASTER DATA'!G391)</f>
        <v>72750</v>
      </c>
      <c r="H37" s="16" t="str">
        <f>IF('MASTER DATA'!H391="","",'MASTER DATA'!H391)</f>
        <v>Synthetic Approver 09</v>
      </c>
      <c r="I37" s="15">
        <f>IF('MASTER DATA'!I391="","",'MASTER DATA'!I391)</f>
        <v>46392</v>
      </c>
      <c r="J37" s="16" t="str">
        <f>IF('MASTER DATA'!J391="","",'MASTER DATA'!J391)</f>
        <v>N</v>
      </c>
      <c r="K37" s="15" t="str">
        <f>IF('MASTER DATA'!K391="","",'MASTER DATA'!K391)</f>
        <v/>
      </c>
      <c r="L37" s="16" t="str">
        <f>IF('MASTER DATA'!L391="","",'MASTER DATA'!L391)</f>
        <v>N</v>
      </c>
      <c r="M37" s="16" t="str">
        <f>IF('MASTER DATA'!M391="","",'MASTER DATA'!M391)</f>
        <v>Y</v>
      </c>
      <c r="N37" s="15">
        <f>IF('MASTER DATA'!N391="","",'MASTER DATA'!N391)</f>
        <v>46665</v>
      </c>
      <c r="O37" s="16" t="str">
        <f>IF('MASTER DATA'!O391="","",'MASTER DATA'!O391)</f>
        <v>Synthetic QME Evaluator 29</v>
      </c>
      <c r="P37" s="16" t="str">
        <f>IF('MASTER DATA'!P391="","",'MASTER DATA'!P391)</f>
        <v>N</v>
      </c>
      <c r="Q37" s="16" t="str">
        <f>IF('MASTER DATA'!Q391="","",'MASTER DATA'!Q391)</f>
        <v/>
      </c>
      <c r="R37" s="16" t="str">
        <f>IF('MASTER DATA'!R391="","",'MASTER DATA'!R391)</f>
        <v/>
      </c>
      <c r="S37" s="16" t="str">
        <f>IF('MASTER DATA'!S391="","",'MASTER DATA'!S391)</f>
        <v>N</v>
      </c>
      <c r="T37" s="15" t="str">
        <f>IF('MASTER DATA'!T391="","",'MASTER DATA'!T391)</f>
        <v/>
      </c>
      <c r="U37" s="16" t="str">
        <f>IF('MASTER DATA'!U391="","",'MASTER DATA'!U391)</f>
        <v>N</v>
      </c>
      <c r="V37" s="16" t="str">
        <f>IF('MASTER DATA'!V391="","",'MASTER DATA'!V391)</f>
        <v>N</v>
      </c>
      <c r="W37" s="16" t="str">
        <f>IF('MASTER DATA'!W391="","",'MASTER DATA'!W391)</f>
        <v>N</v>
      </c>
      <c r="X37" s="16" t="str">
        <f>IF('MASTER DATA'!X391="","",'MASTER DATA'!X391)</f>
        <v>N</v>
      </c>
      <c r="Y37" s="16" t="str">
        <f>IF('MASTER DATA'!Y391="","",'MASTER DATA'!Y391)</f>
        <v>N</v>
      </c>
      <c r="Z37" s="16" t="str">
        <f>IF('MASTER DATA'!Z391="","",'MASTER DATA'!Z391)</f>
        <v>N</v>
      </c>
      <c r="AA37" s="16">
        <f>IF('MASTER DATA'!AA391="","",'MASTER DATA'!AA391)</f>
        <v>2</v>
      </c>
      <c r="AB37" s="16" t="str">
        <f>IF('MASTER DATA'!AB391="","",'MASTER DATA'!AB391)</f>
        <v>MULTI-SIGNAL</v>
      </c>
      <c r="AC37" s="16" t="str">
        <f>IF('MASTER DATA'!AC391="","",'MASTER DATA'!AC391)</f>
        <v>Settlement Authorization | Pending QME</v>
      </c>
    </row>
    <row r="38" spans="1:29" x14ac:dyDescent="0.45">
      <c r="A38" t="str">
        <f>IF('MASTER DATA'!A392="","",'MASTER DATA'!A392)</f>
        <v>SYN-CLM-0391</v>
      </c>
      <c r="B38" t="str">
        <f>IF('MASTER DATA'!B392="","",'MASTER DATA'!B392)</f>
        <v>Synthetic Claimant 0391</v>
      </c>
      <c r="C38" t="str">
        <f>IF('MASTER DATA'!C392="","",'MASTER DATA'!C392)</f>
        <v>Claims Analyst I</v>
      </c>
      <c r="D38" t="str">
        <f>IF('MASTER DATA'!D392="","",'MASTER DATA'!D392)</f>
        <v>Synthetic Policyholder 106, LLC</v>
      </c>
      <c r="E38" s="15">
        <f>IF('MASTER DATA'!E392="","",'MASTER DATA'!E392)</f>
        <v>43736</v>
      </c>
      <c r="F38" s="16" t="str">
        <f>IF('MASTER DATA'!F392="","",'MASTER DATA'!F392)</f>
        <v>Y</v>
      </c>
      <c r="G38" s="17">
        <f>IF('MASTER DATA'!G392="","",'MASTER DATA'!G392)</f>
        <v>139000</v>
      </c>
      <c r="H38" s="16" t="str">
        <f>IF('MASTER DATA'!H392="","",'MASTER DATA'!H392)</f>
        <v>Synthetic Approver 02</v>
      </c>
      <c r="I38" s="15">
        <f>IF('MASTER DATA'!I392="","",'MASTER DATA'!I392)</f>
        <v>44332</v>
      </c>
      <c r="J38" s="16" t="str">
        <f>IF('MASTER DATA'!J392="","",'MASTER DATA'!J392)</f>
        <v>N</v>
      </c>
      <c r="K38" s="15" t="str">
        <f>IF('MASTER DATA'!K392="","",'MASTER DATA'!K392)</f>
        <v/>
      </c>
      <c r="L38" s="16" t="str">
        <f>IF('MASTER DATA'!L392="","",'MASTER DATA'!L392)</f>
        <v>Y</v>
      </c>
      <c r="M38" s="16" t="str">
        <f>IF('MASTER DATA'!M392="","",'MASTER DATA'!M392)</f>
        <v>N</v>
      </c>
      <c r="N38" s="15" t="str">
        <f>IF('MASTER DATA'!N392="","",'MASTER DATA'!N392)</f>
        <v/>
      </c>
      <c r="O38" s="16" t="str">
        <f>IF('MASTER DATA'!O392="","",'MASTER DATA'!O392)</f>
        <v/>
      </c>
      <c r="P38" s="16" t="str">
        <f>IF('MASTER DATA'!P392="","",'MASTER DATA'!P392)</f>
        <v>Y</v>
      </c>
      <c r="Q38" s="16" t="str">
        <f>IF('MASTER DATA'!Q392="","",'MASTER DATA'!Q392)</f>
        <v>MSA Eligible in Next 3 Years; Surgery Requested</v>
      </c>
      <c r="R38" s="16" t="str">
        <f>IF('MASTER DATA'!R392="","",'MASTER DATA'!R392)</f>
        <v/>
      </c>
      <c r="S38" s="16" t="str">
        <f>IF('MASTER DATA'!S392="","",'MASTER DATA'!S392)</f>
        <v>N</v>
      </c>
      <c r="T38" s="15" t="str">
        <f>IF('MASTER DATA'!T392="","",'MASTER DATA'!T392)</f>
        <v/>
      </c>
      <c r="U38" s="16" t="str">
        <f>IF('MASTER DATA'!U392="","",'MASTER DATA'!U392)</f>
        <v>Y</v>
      </c>
      <c r="V38" s="16" t="str">
        <f>IF('MASTER DATA'!V392="","",'MASTER DATA'!V392)</f>
        <v>N</v>
      </c>
      <c r="W38" s="16" t="str">
        <f>IF('MASTER DATA'!W392="","",'MASTER DATA'!W392)</f>
        <v>N</v>
      </c>
      <c r="X38" s="16" t="str">
        <f>IF('MASTER DATA'!X392="","",'MASTER DATA'!X392)</f>
        <v>N</v>
      </c>
      <c r="Y38" s="16" t="str">
        <f>IF('MASTER DATA'!Y392="","",'MASTER DATA'!Y392)</f>
        <v>N</v>
      </c>
      <c r="Z38" s="16" t="str">
        <f>IF('MASTER DATA'!Z392="","",'MASTER DATA'!Z392)</f>
        <v>Y</v>
      </c>
      <c r="AA38" s="16">
        <f>IF('MASTER DATA'!AA392="","",'MASTER DATA'!AA392)</f>
        <v>2</v>
      </c>
      <c r="AB38" s="16" t="str">
        <f>IF('MASTER DATA'!AB392="","",'MASTER DATA'!AB392)</f>
        <v>MULTI-SIGNAL</v>
      </c>
      <c r="AC38" s="16" t="str">
        <f>IF('MASTER DATA'!AC392="","",'MASTER DATA'!AC392)</f>
        <v>Settlement Authorization | Automated Claim Alert</v>
      </c>
    </row>
    <row r="39" spans="1:29" x14ac:dyDescent="0.45">
      <c r="A39" t="str">
        <f>IF('MASTER DATA'!A393="","",'MASTER DATA'!A393)</f>
        <v>SYN-CLM-0392</v>
      </c>
      <c r="B39" t="str">
        <f>IF('MASTER DATA'!B393="","",'MASTER DATA'!B393)</f>
        <v>Synthetic Claimant 0392</v>
      </c>
      <c r="C39" t="str">
        <f>IF('MASTER DATA'!C393="","",'MASTER DATA'!C393)</f>
        <v>Claims Analyst I</v>
      </c>
      <c r="D39" t="str">
        <f>IF('MASTER DATA'!D393="","",'MASTER DATA'!D393)</f>
        <v>Synthetic Policyholder 116, LLC</v>
      </c>
      <c r="E39" s="15">
        <f>IF('MASTER DATA'!E393="","",'MASTER DATA'!E393)</f>
        <v>43145</v>
      </c>
      <c r="F39" s="16" t="str">
        <f>IF('MASTER DATA'!F393="","",'MASTER DATA'!F393)</f>
        <v>Y</v>
      </c>
      <c r="G39" s="17">
        <f>IF('MASTER DATA'!G393="","",'MASTER DATA'!G393)</f>
        <v>163500</v>
      </c>
      <c r="H39" s="16" t="str">
        <f>IF('MASTER DATA'!H393="","",'MASTER DATA'!H393)</f>
        <v>Synthetic Approver 09</v>
      </c>
      <c r="I39" s="15">
        <f>IF('MASTER DATA'!I393="","",'MASTER DATA'!I393)</f>
        <v>43583</v>
      </c>
      <c r="J39" s="16" t="str">
        <f>IF('MASTER DATA'!J393="","",'MASTER DATA'!J393)</f>
        <v>Y</v>
      </c>
      <c r="K39" s="15">
        <f>IF('MASTER DATA'!K393="","",'MASTER DATA'!K393)</f>
        <v>44392</v>
      </c>
      <c r="L39" s="16" t="str">
        <f>IF('MASTER DATA'!L393="","",'MASTER DATA'!L393)</f>
        <v>N</v>
      </c>
      <c r="M39" s="16" t="str">
        <f>IF('MASTER DATA'!M393="","",'MASTER DATA'!M393)</f>
        <v>N</v>
      </c>
      <c r="N39" s="15" t="str">
        <f>IF('MASTER DATA'!N393="","",'MASTER DATA'!N393)</f>
        <v/>
      </c>
      <c r="O39" s="16" t="str">
        <f>IF('MASTER DATA'!O393="","",'MASTER DATA'!O393)</f>
        <v/>
      </c>
      <c r="P39" s="16" t="str">
        <f>IF('MASTER DATA'!P393="","",'MASTER DATA'!P393)</f>
        <v>N</v>
      </c>
      <c r="Q39" s="16" t="str">
        <f>IF('MASTER DATA'!Q393="","",'MASTER DATA'!Q393)</f>
        <v/>
      </c>
      <c r="R39" s="16" t="str">
        <f>IF('MASTER DATA'!R393="","",'MASTER DATA'!R393)</f>
        <v/>
      </c>
      <c r="S39" s="16" t="str">
        <f>IF('MASTER DATA'!S393="","",'MASTER DATA'!S393)</f>
        <v>Y</v>
      </c>
      <c r="T39" s="15">
        <f>IF('MASTER DATA'!T393="","",'MASTER DATA'!T393)</f>
        <v>43972</v>
      </c>
      <c r="U39" s="16" t="str">
        <f>IF('MASTER DATA'!U393="","",'MASTER DATA'!U393)</f>
        <v>N</v>
      </c>
      <c r="V39" s="16" t="str">
        <f>IF('MASTER DATA'!V393="","",'MASTER DATA'!V393)</f>
        <v>N</v>
      </c>
      <c r="W39" s="16" t="str">
        <f>IF('MASTER DATA'!W393="","",'MASTER DATA'!W393)</f>
        <v>N</v>
      </c>
      <c r="X39" s="16" t="str">
        <f>IF('MASTER DATA'!X393="","",'MASTER DATA'!X393)</f>
        <v>N</v>
      </c>
      <c r="Y39" s="16" t="str">
        <f>IF('MASTER DATA'!Y393="","",'MASTER DATA'!Y393)</f>
        <v>N</v>
      </c>
      <c r="Z39" s="16" t="str">
        <f>IF('MASTER DATA'!Z393="","",'MASTER DATA'!Z393)</f>
        <v>N</v>
      </c>
      <c r="AA39" s="16">
        <f>IF('MASTER DATA'!AA393="","",'MASTER DATA'!AA393)</f>
        <v>3</v>
      </c>
      <c r="AB39" s="16" t="str">
        <f>IF('MASTER DATA'!AB393="","",'MASTER DATA'!AB393)</f>
        <v>ELEVATED MULTI-SIGNAL</v>
      </c>
      <c r="AC39" s="16" t="str">
        <f>IF('MASTER DATA'!AC393="","",'MASTER DATA'!AC393)</f>
        <v>Settlement Authorization | Open Stipulation | Inactive Customer</v>
      </c>
    </row>
    <row r="40" spans="1:29" x14ac:dyDescent="0.45">
      <c r="A40" t="str">
        <f>IF('MASTER DATA'!A394="","",'MASTER DATA'!A394)</f>
        <v>SYN-CLM-0393</v>
      </c>
      <c r="B40" t="str">
        <f>IF('MASTER DATA'!B394="","",'MASTER DATA'!B394)</f>
        <v>Synthetic Claimant 0393</v>
      </c>
      <c r="C40" t="str">
        <f>IF('MASTER DATA'!C394="","",'MASTER DATA'!C394)</f>
        <v>Claims Analyst I</v>
      </c>
      <c r="D40" t="str">
        <f>IF('MASTER DATA'!D394="","",'MASTER DATA'!D394)</f>
        <v>Synthetic Policyholder 005, LLC</v>
      </c>
      <c r="E40" s="15">
        <f>IF('MASTER DATA'!E394="","",'MASTER DATA'!E394)</f>
        <v>46013</v>
      </c>
      <c r="F40" s="16" t="str">
        <f>IF('MASTER DATA'!F394="","",'MASTER DATA'!F394)</f>
        <v>N</v>
      </c>
      <c r="G40" s="17" t="str">
        <f>IF('MASTER DATA'!G394="","",'MASTER DATA'!G394)</f>
        <v/>
      </c>
      <c r="H40" s="16" t="str">
        <f>IF('MASTER DATA'!H394="","",'MASTER DATA'!H394)</f>
        <v/>
      </c>
      <c r="I40" s="15" t="str">
        <f>IF('MASTER DATA'!I394="","",'MASTER DATA'!I394)</f>
        <v/>
      </c>
      <c r="J40" s="16" t="str">
        <f>IF('MASTER DATA'!J394="","",'MASTER DATA'!J394)</f>
        <v>N</v>
      </c>
      <c r="K40" s="15" t="str">
        <f>IF('MASTER DATA'!K394="","",'MASTER DATA'!K394)</f>
        <v/>
      </c>
      <c r="L40" s="16" t="str">
        <f>IF('MASTER DATA'!L394="","",'MASTER DATA'!L394)</f>
        <v/>
      </c>
      <c r="M40" s="16" t="str">
        <f>IF('MASTER DATA'!M394="","",'MASTER DATA'!M394)</f>
        <v>Y</v>
      </c>
      <c r="N40" s="15">
        <f>IF('MASTER DATA'!N394="","",'MASTER DATA'!N394)</f>
        <v>47184</v>
      </c>
      <c r="O40" s="16" t="str">
        <f>IF('MASTER DATA'!O394="","",'MASTER DATA'!O394)</f>
        <v>Synthetic QME Evaluator 26</v>
      </c>
      <c r="P40" s="16" t="str">
        <f>IF('MASTER DATA'!P394="","",'MASTER DATA'!P394)</f>
        <v>N</v>
      </c>
      <c r="Q40" s="16" t="str">
        <f>IF('MASTER DATA'!Q394="","",'MASTER DATA'!Q394)</f>
        <v/>
      </c>
      <c r="R40" s="16" t="str">
        <f>IF('MASTER DATA'!R394="","",'MASTER DATA'!R394)</f>
        <v/>
      </c>
      <c r="S40" s="16" t="str">
        <f>IF('MASTER DATA'!S394="","",'MASTER DATA'!S394)</f>
        <v>N</v>
      </c>
      <c r="T40" s="15" t="str">
        <f>IF('MASTER DATA'!T394="","",'MASTER DATA'!T394)</f>
        <v/>
      </c>
      <c r="U40" s="16" t="str">
        <f>IF('MASTER DATA'!U394="","",'MASTER DATA'!U394)</f>
        <v>N</v>
      </c>
      <c r="V40" s="16" t="str">
        <f>IF('MASTER DATA'!V394="","",'MASTER DATA'!V394)</f>
        <v>N</v>
      </c>
      <c r="W40" s="16" t="str">
        <f>IF('MASTER DATA'!W394="","",'MASTER DATA'!W394)</f>
        <v>N</v>
      </c>
      <c r="X40" s="16" t="str">
        <f>IF('MASTER DATA'!X394="","",'MASTER DATA'!X394)</f>
        <v>N</v>
      </c>
      <c r="Y40" s="16" t="str">
        <f>IF('MASTER DATA'!Y394="","",'MASTER DATA'!Y394)</f>
        <v>N</v>
      </c>
      <c r="Z40" s="16" t="str">
        <f>IF('MASTER DATA'!Z394="","",'MASTER DATA'!Z394)</f>
        <v>N</v>
      </c>
      <c r="AA40" s="16">
        <f>IF('MASTER DATA'!AA394="","",'MASTER DATA'!AA394)</f>
        <v>1</v>
      </c>
      <c r="AB40" s="16" t="str">
        <f>IF('MASTER DATA'!AB394="","",'MASTER DATA'!AB394)</f>
        <v>SINGLE-SIGNAL</v>
      </c>
      <c r="AC40" s="16" t="str">
        <f>IF('MASTER DATA'!AC394="","",'MASTER DATA'!AC394)</f>
        <v>Pending QME</v>
      </c>
    </row>
    <row r="41" spans="1:29" x14ac:dyDescent="0.45">
      <c r="A41" t="str">
        <f>IF('MASTER DATA'!A395="","",'MASTER DATA'!A395)</f>
        <v>SYN-CLM-0394</v>
      </c>
      <c r="B41" t="str">
        <f>IF('MASTER DATA'!B395="","",'MASTER DATA'!B395)</f>
        <v>Synthetic Claimant 0394</v>
      </c>
      <c r="C41" t="str">
        <f>IF('MASTER DATA'!C395="","",'MASTER DATA'!C395)</f>
        <v>Claims Analyst I</v>
      </c>
      <c r="D41" t="str">
        <f>IF('MASTER DATA'!D395="","",'MASTER DATA'!D395)</f>
        <v>Synthetic Policyholder 168, LLC</v>
      </c>
      <c r="E41" s="15">
        <f>IF('MASTER DATA'!E395="","",'MASTER DATA'!E395)</f>
        <v>43550</v>
      </c>
      <c r="F41" s="16" t="str">
        <f>IF('MASTER DATA'!F395="","",'MASTER DATA'!F395)</f>
        <v>N</v>
      </c>
      <c r="G41" s="17" t="str">
        <f>IF('MASTER DATA'!G395="","",'MASTER DATA'!G395)</f>
        <v/>
      </c>
      <c r="H41" s="16" t="str">
        <f>IF('MASTER DATA'!H395="","",'MASTER DATA'!H395)</f>
        <v/>
      </c>
      <c r="I41" s="15" t="str">
        <f>IF('MASTER DATA'!I395="","",'MASTER DATA'!I395)</f>
        <v/>
      </c>
      <c r="J41" s="16" t="str">
        <f>IF('MASTER DATA'!J395="","",'MASTER DATA'!J395)</f>
        <v>N</v>
      </c>
      <c r="K41" s="15" t="str">
        <f>IF('MASTER DATA'!K395="","",'MASTER DATA'!K395)</f>
        <v/>
      </c>
      <c r="L41" s="16" t="str">
        <f>IF('MASTER DATA'!L395="","",'MASTER DATA'!L395)</f>
        <v/>
      </c>
      <c r="M41" s="16" t="str">
        <f>IF('MASTER DATA'!M395="","",'MASTER DATA'!M395)</f>
        <v>N</v>
      </c>
      <c r="N41" s="15" t="str">
        <f>IF('MASTER DATA'!N395="","",'MASTER DATA'!N395)</f>
        <v/>
      </c>
      <c r="O41" s="16" t="str">
        <f>IF('MASTER DATA'!O395="","",'MASTER DATA'!O395)</f>
        <v/>
      </c>
      <c r="P41" s="16" t="str">
        <f>IF('MASTER DATA'!P395="","",'MASTER DATA'!P395)</f>
        <v>Y</v>
      </c>
      <c r="Q41" s="16" t="str">
        <f>IF('MASTER DATA'!Q395="","",'MASTER DATA'!Q395)</f>
        <v>Non-Renewed Account; MMI Date Reported; MSA Eligible in Next 3 Years</v>
      </c>
      <c r="R41" s="16" t="str">
        <f>IF('MASTER DATA'!R395="","",'MASTER DATA'!R395)</f>
        <v>Surgery Requested; Denied Treatment Requests</v>
      </c>
      <c r="S41" s="16" t="str">
        <f>IF('MASTER DATA'!S395="","",'MASTER DATA'!S395)</f>
        <v>N</v>
      </c>
      <c r="T41" s="15" t="str">
        <f>IF('MASTER DATA'!T395="","",'MASTER DATA'!T395)</f>
        <v/>
      </c>
      <c r="U41" s="16" t="str">
        <f>IF('MASTER DATA'!U395="","",'MASTER DATA'!U395)</f>
        <v>Y</v>
      </c>
      <c r="V41" s="16" t="str">
        <f>IF('MASTER DATA'!V395="","",'MASTER DATA'!V395)</f>
        <v>Y</v>
      </c>
      <c r="W41" s="16" t="str">
        <f>IF('MASTER DATA'!W395="","",'MASTER DATA'!W395)</f>
        <v>Y</v>
      </c>
      <c r="X41" s="16" t="str">
        <f>IF('MASTER DATA'!X395="","",'MASTER DATA'!X395)</f>
        <v>N</v>
      </c>
      <c r="Y41" s="16" t="str">
        <f>IF('MASTER DATA'!Y395="","",'MASTER DATA'!Y395)</f>
        <v>Y</v>
      </c>
      <c r="Z41" s="16" t="str">
        <f>IF('MASTER DATA'!Z395="","",'MASTER DATA'!Z395)</f>
        <v>Y</v>
      </c>
      <c r="AA41" s="16">
        <f>IF('MASTER DATA'!AA395="","",'MASTER DATA'!AA395)</f>
        <v>1</v>
      </c>
      <c r="AB41" s="16" t="str">
        <f>IF('MASTER DATA'!AB395="","",'MASTER DATA'!AB395)</f>
        <v>SINGLE-SIGNAL</v>
      </c>
      <c r="AC41" s="16" t="str">
        <f>IF('MASTER DATA'!AC395="","",'MASTER DATA'!AC395)</f>
        <v>Automated Claim Alert</v>
      </c>
    </row>
    <row r="42" spans="1:29" x14ac:dyDescent="0.45">
      <c r="A42" t="str">
        <f>IF('MASTER DATA'!A396="","",'MASTER DATA'!A396)</f>
        <v>SYN-CLM-0395</v>
      </c>
      <c r="B42" t="str">
        <f>IF('MASTER DATA'!B396="","",'MASTER DATA'!B396)</f>
        <v>Synthetic Claimant 0395</v>
      </c>
      <c r="C42" t="str">
        <f>IF('MASTER DATA'!C396="","",'MASTER DATA'!C396)</f>
        <v>Claims Analyst I</v>
      </c>
      <c r="D42" t="str">
        <f>IF('MASTER DATA'!D396="","",'MASTER DATA'!D396)</f>
        <v>Synthetic Policyholder 147, LLC</v>
      </c>
      <c r="E42" s="15">
        <f>IF('MASTER DATA'!E396="","",'MASTER DATA'!E396)</f>
        <v>45109</v>
      </c>
      <c r="F42" s="16" t="str">
        <f>IF('MASTER DATA'!F396="","",'MASTER DATA'!F396)</f>
        <v>Y</v>
      </c>
      <c r="G42" s="17">
        <f>IF('MASTER DATA'!G396="","",'MASTER DATA'!G396)</f>
        <v>71500</v>
      </c>
      <c r="H42" s="16" t="str">
        <f>IF('MASTER DATA'!H396="","",'MASTER DATA'!H396)</f>
        <v>Synthetic Approver 09</v>
      </c>
      <c r="I42" s="15">
        <f>IF('MASTER DATA'!I396="","",'MASTER DATA'!I396)</f>
        <v>45892</v>
      </c>
      <c r="J42" s="16" t="str">
        <f>IF('MASTER DATA'!J396="","",'MASTER DATA'!J396)</f>
        <v>N</v>
      </c>
      <c r="K42" s="15" t="str">
        <f>IF('MASTER DATA'!K396="","",'MASTER DATA'!K396)</f>
        <v/>
      </c>
      <c r="L42" s="16" t="str">
        <f>IF('MASTER DATA'!L396="","",'MASTER DATA'!L396)</f>
        <v>Y</v>
      </c>
      <c r="M42" s="16" t="str">
        <f>IF('MASTER DATA'!M396="","",'MASTER DATA'!M396)</f>
        <v>Y</v>
      </c>
      <c r="N42" s="15">
        <f>IF('MASTER DATA'!N396="","",'MASTER DATA'!N396)</f>
        <v>46146</v>
      </c>
      <c r="O42" s="16" t="str">
        <f>IF('MASTER DATA'!O396="","",'MASTER DATA'!O396)</f>
        <v>Synthetic QME Evaluator 16</v>
      </c>
      <c r="P42" s="16" t="str">
        <f>IF('MASTER DATA'!P396="","",'MASTER DATA'!P396)</f>
        <v>Y</v>
      </c>
      <c r="Q42" s="16" t="str">
        <f>IF('MASTER DATA'!Q396="","",'MASTER DATA'!Q396)</f>
        <v>Surgery Requested; Denied Treatment Requests; Non-Renewed Account</v>
      </c>
      <c r="R42" s="16" t="str">
        <f>IF('MASTER DATA'!R396="","",'MASTER DATA'!R396)</f>
        <v>MSA Eligible in Next 3 Years; Specialist Consultation Requested</v>
      </c>
      <c r="S42" s="16" t="str">
        <f>IF('MASTER DATA'!S396="","",'MASTER DATA'!S396)</f>
        <v>N</v>
      </c>
      <c r="T42" s="15" t="str">
        <f>IF('MASTER DATA'!T396="","",'MASTER DATA'!T396)</f>
        <v/>
      </c>
      <c r="U42" s="16" t="str">
        <f>IF('MASTER DATA'!U396="","",'MASTER DATA'!U396)</f>
        <v>Y</v>
      </c>
      <c r="V42" s="16" t="str">
        <f>IF('MASTER DATA'!V396="","",'MASTER DATA'!V396)</f>
        <v>N</v>
      </c>
      <c r="W42" s="16" t="str">
        <f>IF('MASTER DATA'!W396="","",'MASTER DATA'!W396)</f>
        <v>Y</v>
      </c>
      <c r="X42" s="16" t="str">
        <f>IF('MASTER DATA'!X396="","",'MASTER DATA'!X396)</f>
        <v>Y</v>
      </c>
      <c r="Y42" s="16" t="str">
        <f>IF('MASTER DATA'!Y396="","",'MASTER DATA'!Y396)</f>
        <v>Y</v>
      </c>
      <c r="Z42" s="16" t="str">
        <f>IF('MASTER DATA'!Z396="","",'MASTER DATA'!Z396)</f>
        <v>Y</v>
      </c>
      <c r="AA42" s="16">
        <f>IF('MASTER DATA'!AA396="","",'MASTER DATA'!AA396)</f>
        <v>3</v>
      </c>
      <c r="AB42" s="16" t="str">
        <f>IF('MASTER DATA'!AB396="","",'MASTER DATA'!AB396)</f>
        <v>ELEVATED MULTI-SIGNAL</v>
      </c>
      <c r="AC42" s="16" t="str">
        <f>IF('MASTER DATA'!AC396="","",'MASTER DATA'!AC396)</f>
        <v>Settlement Authorization | Pending QME | Automated Claim Alert</v>
      </c>
    </row>
    <row r="43" spans="1:29" x14ac:dyDescent="0.45">
      <c r="A43" t="str">
        <f>IF('MASTER DATA'!A397="","",'MASTER DATA'!A397)</f>
        <v>SYN-CLM-0396</v>
      </c>
      <c r="B43" t="str">
        <f>IF('MASTER DATA'!B397="","",'MASTER DATA'!B397)</f>
        <v>Synthetic Claimant 0396</v>
      </c>
      <c r="C43" t="str">
        <f>IF('MASTER DATA'!C397="","",'MASTER DATA'!C397)</f>
        <v>Claims Analyst I</v>
      </c>
      <c r="D43" t="str">
        <f>IF('MASTER DATA'!D397="","",'MASTER DATA'!D397)</f>
        <v>Synthetic Policyholder 171, LLC</v>
      </c>
      <c r="E43" s="15">
        <f>IF('MASTER DATA'!E397="","",'MASTER DATA'!E397)</f>
        <v>44689</v>
      </c>
      <c r="F43" s="16" t="str">
        <f>IF('MASTER DATA'!F397="","",'MASTER DATA'!F397)</f>
        <v>N</v>
      </c>
      <c r="G43" s="17" t="str">
        <f>IF('MASTER DATA'!G397="","",'MASTER DATA'!G397)</f>
        <v/>
      </c>
      <c r="H43" s="16" t="str">
        <f>IF('MASTER DATA'!H397="","",'MASTER DATA'!H397)</f>
        <v/>
      </c>
      <c r="I43" s="15" t="str">
        <f>IF('MASTER DATA'!I397="","",'MASTER DATA'!I397)</f>
        <v/>
      </c>
      <c r="J43" s="16" t="str">
        <f>IF('MASTER DATA'!J397="","",'MASTER DATA'!J397)</f>
        <v>N</v>
      </c>
      <c r="K43" s="15" t="str">
        <f>IF('MASTER DATA'!K397="","",'MASTER DATA'!K397)</f>
        <v/>
      </c>
      <c r="L43" s="16" t="str">
        <f>IF('MASTER DATA'!L397="","",'MASTER DATA'!L397)</f>
        <v/>
      </c>
      <c r="M43" s="16" t="str">
        <f>IF('MASTER DATA'!M397="","",'MASTER DATA'!M397)</f>
        <v>N</v>
      </c>
      <c r="N43" s="15" t="str">
        <f>IF('MASTER DATA'!N397="","",'MASTER DATA'!N397)</f>
        <v/>
      </c>
      <c r="O43" s="16" t="str">
        <f>IF('MASTER DATA'!O397="","",'MASTER DATA'!O397)</f>
        <v/>
      </c>
      <c r="P43" s="16" t="str">
        <f>IF('MASTER DATA'!P397="","",'MASTER DATA'!P397)</f>
        <v>N</v>
      </c>
      <c r="Q43" s="16" t="str">
        <f>IF('MASTER DATA'!Q397="","",'MASTER DATA'!Q397)</f>
        <v/>
      </c>
      <c r="R43" s="16" t="str">
        <f>IF('MASTER DATA'!R397="","",'MASTER DATA'!R397)</f>
        <v/>
      </c>
      <c r="S43" s="16" t="str">
        <f>IF('MASTER DATA'!S397="","",'MASTER DATA'!S397)</f>
        <v>Y</v>
      </c>
      <c r="T43" s="15">
        <f>IF('MASTER DATA'!T397="","",'MASTER DATA'!T397)</f>
        <v>46111</v>
      </c>
      <c r="U43" s="16" t="str">
        <f>IF('MASTER DATA'!U397="","",'MASTER DATA'!U397)</f>
        <v>N</v>
      </c>
      <c r="V43" s="16" t="str">
        <f>IF('MASTER DATA'!V397="","",'MASTER DATA'!V397)</f>
        <v>N</v>
      </c>
      <c r="W43" s="16" t="str">
        <f>IF('MASTER DATA'!W397="","",'MASTER DATA'!W397)</f>
        <v>N</v>
      </c>
      <c r="X43" s="16" t="str">
        <f>IF('MASTER DATA'!X397="","",'MASTER DATA'!X397)</f>
        <v>N</v>
      </c>
      <c r="Y43" s="16" t="str">
        <f>IF('MASTER DATA'!Y397="","",'MASTER DATA'!Y397)</f>
        <v>N</v>
      </c>
      <c r="Z43" s="16" t="str">
        <f>IF('MASTER DATA'!Z397="","",'MASTER DATA'!Z397)</f>
        <v>N</v>
      </c>
      <c r="AA43" s="16">
        <f>IF('MASTER DATA'!AA397="","",'MASTER DATA'!AA397)</f>
        <v>1</v>
      </c>
      <c r="AB43" s="16" t="str">
        <f>IF('MASTER DATA'!AB397="","",'MASTER DATA'!AB397)</f>
        <v>SINGLE-SIGNAL</v>
      </c>
      <c r="AC43" s="16" t="str">
        <f>IF('MASTER DATA'!AC397="","",'MASTER DATA'!AC397)</f>
        <v>Inactive Customer</v>
      </c>
    </row>
    <row r="44" spans="1:29" x14ac:dyDescent="0.45">
      <c r="A44" t="str">
        <f>IF('MASTER DATA'!A398="","",'MASTER DATA'!A398)</f>
        <v>SYN-CLM-0397</v>
      </c>
      <c r="B44" t="str">
        <f>IF('MASTER DATA'!B398="","",'MASTER DATA'!B398)</f>
        <v>Synthetic Claimant 0397</v>
      </c>
      <c r="C44" t="str">
        <f>IF('MASTER DATA'!C398="","",'MASTER DATA'!C398)</f>
        <v>Claims Analyst I</v>
      </c>
      <c r="D44" t="str">
        <f>IF('MASTER DATA'!D398="","",'MASTER DATA'!D398)</f>
        <v>Synthetic Policyholder 162, LLC</v>
      </c>
      <c r="E44" s="15">
        <f>IF('MASTER DATA'!E398="","",'MASTER DATA'!E398)</f>
        <v>44974</v>
      </c>
      <c r="F44" s="16" t="str">
        <f>IF('MASTER DATA'!F398="","",'MASTER DATA'!F398)</f>
        <v>Y</v>
      </c>
      <c r="G44" s="17">
        <f>IF('MASTER DATA'!G398="","",'MASTER DATA'!G398)</f>
        <v>65250</v>
      </c>
      <c r="H44" s="16" t="str">
        <f>IF('MASTER DATA'!H398="","",'MASTER DATA'!H398)</f>
        <v>Synthetic Approver 11</v>
      </c>
      <c r="I44" s="15">
        <f>IF('MASTER DATA'!I398="","",'MASTER DATA'!I398)</f>
        <v>46232</v>
      </c>
      <c r="J44" s="16" t="str">
        <f>IF('MASTER DATA'!J398="","",'MASTER DATA'!J398)</f>
        <v>N</v>
      </c>
      <c r="K44" s="15" t="str">
        <f>IF('MASTER DATA'!K398="","",'MASTER DATA'!K398)</f>
        <v/>
      </c>
      <c r="L44" s="16" t="str">
        <f>IF('MASTER DATA'!L398="","",'MASTER DATA'!L398)</f>
        <v>N</v>
      </c>
      <c r="M44" s="16" t="str">
        <f>IF('MASTER DATA'!M398="","",'MASTER DATA'!M398)</f>
        <v>N</v>
      </c>
      <c r="N44" s="15" t="str">
        <f>IF('MASTER DATA'!N398="","",'MASTER DATA'!N398)</f>
        <v/>
      </c>
      <c r="O44" s="16" t="str">
        <f>IF('MASTER DATA'!O398="","",'MASTER DATA'!O398)</f>
        <v/>
      </c>
      <c r="P44" s="16" t="str">
        <f>IF('MASTER DATA'!P398="","",'MASTER DATA'!P398)</f>
        <v>N</v>
      </c>
      <c r="Q44" s="16" t="str">
        <f>IF('MASTER DATA'!Q398="","",'MASTER DATA'!Q398)</f>
        <v/>
      </c>
      <c r="R44" s="16" t="str">
        <f>IF('MASTER DATA'!R398="","",'MASTER DATA'!R398)</f>
        <v/>
      </c>
      <c r="S44" s="16" t="str">
        <f>IF('MASTER DATA'!S398="","",'MASTER DATA'!S398)</f>
        <v>N</v>
      </c>
      <c r="T44" s="15" t="str">
        <f>IF('MASTER DATA'!T398="","",'MASTER DATA'!T398)</f>
        <v/>
      </c>
      <c r="U44" s="16" t="str">
        <f>IF('MASTER DATA'!U398="","",'MASTER DATA'!U398)</f>
        <v>N</v>
      </c>
      <c r="V44" s="16" t="str">
        <f>IF('MASTER DATA'!V398="","",'MASTER DATA'!V398)</f>
        <v>N</v>
      </c>
      <c r="W44" s="16" t="str">
        <f>IF('MASTER DATA'!W398="","",'MASTER DATA'!W398)</f>
        <v>N</v>
      </c>
      <c r="X44" s="16" t="str">
        <f>IF('MASTER DATA'!X398="","",'MASTER DATA'!X398)</f>
        <v>N</v>
      </c>
      <c r="Y44" s="16" t="str">
        <f>IF('MASTER DATA'!Y398="","",'MASTER DATA'!Y398)</f>
        <v>N</v>
      </c>
      <c r="Z44" s="16" t="str">
        <f>IF('MASTER DATA'!Z398="","",'MASTER DATA'!Z398)</f>
        <v>N</v>
      </c>
      <c r="AA44" s="16">
        <f>IF('MASTER DATA'!AA398="","",'MASTER DATA'!AA398)</f>
        <v>1</v>
      </c>
      <c r="AB44" s="16" t="str">
        <f>IF('MASTER DATA'!AB398="","",'MASTER DATA'!AB398)</f>
        <v>SINGLE-SIGNAL</v>
      </c>
      <c r="AC44" s="16" t="str">
        <f>IF('MASTER DATA'!AC398="","",'MASTER DATA'!AC398)</f>
        <v>Settlement Authorization</v>
      </c>
    </row>
    <row r="45" spans="1:29" x14ac:dyDescent="0.45">
      <c r="A45" t="str">
        <f>IF('MASTER DATA'!A399="","",'MASTER DATA'!A399)</f>
        <v>SYN-CLM-0398</v>
      </c>
      <c r="B45" t="str">
        <f>IF('MASTER DATA'!B399="","",'MASTER DATA'!B399)</f>
        <v>Synthetic Claimant 0398</v>
      </c>
      <c r="C45" t="str">
        <f>IF('MASTER DATA'!C399="","",'MASTER DATA'!C399)</f>
        <v>Claims Analyst I</v>
      </c>
      <c r="D45" t="str">
        <f>IF('MASTER DATA'!D399="","",'MASTER DATA'!D399)</f>
        <v>Synthetic Policyholder 045, LLC</v>
      </c>
      <c r="E45" s="15">
        <f>IF('MASTER DATA'!E399="","",'MASTER DATA'!E399)</f>
        <v>43720</v>
      </c>
      <c r="F45" s="16" t="str">
        <f>IF('MASTER DATA'!F399="","",'MASTER DATA'!F399)</f>
        <v>Y</v>
      </c>
      <c r="G45" s="17">
        <f>IF('MASTER DATA'!G399="","",'MASTER DATA'!G399)</f>
        <v>135750</v>
      </c>
      <c r="H45" s="16" t="str">
        <f>IF('MASTER DATA'!H399="","",'MASTER DATA'!H399)</f>
        <v>Synthetic Approver 09</v>
      </c>
      <c r="I45" s="15">
        <f>IF('MASTER DATA'!I399="","",'MASTER DATA'!I399)</f>
        <v>44766</v>
      </c>
      <c r="J45" s="16" t="str">
        <f>IF('MASTER DATA'!J399="","",'MASTER DATA'!J399)</f>
        <v>Y</v>
      </c>
      <c r="K45" s="15">
        <f>IF('MASTER DATA'!K399="","",'MASTER DATA'!K399)</f>
        <v>44062</v>
      </c>
      <c r="L45" s="16" t="str">
        <f>IF('MASTER DATA'!L399="","",'MASTER DATA'!L399)</f>
        <v>Y</v>
      </c>
      <c r="M45" s="16" t="str">
        <f>IF('MASTER DATA'!M399="","",'MASTER DATA'!M399)</f>
        <v>N</v>
      </c>
      <c r="N45" s="15" t="str">
        <f>IF('MASTER DATA'!N399="","",'MASTER DATA'!N399)</f>
        <v/>
      </c>
      <c r="O45" s="16" t="str">
        <f>IF('MASTER DATA'!O399="","",'MASTER DATA'!O399)</f>
        <v/>
      </c>
      <c r="P45" s="16" t="str">
        <f>IF('MASTER DATA'!P399="","",'MASTER DATA'!P399)</f>
        <v>N</v>
      </c>
      <c r="Q45" s="16" t="str">
        <f>IF('MASTER DATA'!Q399="","",'MASTER DATA'!Q399)</f>
        <v/>
      </c>
      <c r="R45" s="16" t="str">
        <f>IF('MASTER DATA'!R399="","",'MASTER DATA'!R399)</f>
        <v/>
      </c>
      <c r="S45" s="16" t="str">
        <f>IF('MASTER DATA'!S399="","",'MASTER DATA'!S399)</f>
        <v>N</v>
      </c>
      <c r="T45" s="15" t="str">
        <f>IF('MASTER DATA'!T399="","",'MASTER DATA'!T399)</f>
        <v/>
      </c>
      <c r="U45" s="16" t="str">
        <f>IF('MASTER DATA'!U399="","",'MASTER DATA'!U399)</f>
        <v>N</v>
      </c>
      <c r="V45" s="16" t="str">
        <f>IF('MASTER DATA'!V399="","",'MASTER DATA'!V399)</f>
        <v>N</v>
      </c>
      <c r="W45" s="16" t="str">
        <f>IF('MASTER DATA'!W399="","",'MASTER DATA'!W399)</f>
        <v>N</v>
      </c>
      <c r="X45" s="16" t="str">
        <f>IF('MASTER DATA'!X399="","",'MASTER DATA'!X399)</f>
        <v>N</v>
      </c>
      <c r="Y45" s="16" t="str">
        <f>IF('MASTER DATA'!Y399="","",'MASTER DATA'!Y399)</f>
        <v>N</v>
      </c>
      <c r="Z45" s="16" t="str">
        <f>IF('MASTER DATA'!Z399="","",'MASTER DATA'!Z399)</f>
        <v>N</v>
      </c>
      <c r="AA45" s="16">
        <f>IF('MASTER DATA'!AA399="","",'MASTER DATA'!AA399)</f>
        <v>2</v>
      </c>
      <c r="AB45" s="16" t="str">
        <f>IF('MASTER DATA'!AB399="","",'MASTER DATA'!AB399)</f>
        <v>MULTI-SIGNAL</v>
      </c>
      <c r="AC45" s="16" t="str">
        <f>IF('MASTER DATA'!AC399="","",'MASTER DATA'!AC399)</f>
        <v>Settlement Authorization | Open Stipulation</v>
      </c>
    </row>
  </sheetData>
  <conditionalFormatting sqref="A2:AC45">
    <cfRule type="expression" dxfId="3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C64"/>
  <sheetViews>
    <sheetView showGridLines="0" zoomScaleNormal="100" workbookViewId="0">
      <pane ySplit="1" topLeftCell="A2" activePane="bottomLeft" state="frozen"/>
      <selection pane="bottomLeft" activeCell="G1" sqref="G1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74.1328125" bestFit="1" customWidth="1"/>
    <col min="18" max="18" width="46.19921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72.39843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DATA'!A5="","",'MASTER DATA'!A5)</f>
        <v>SYN-CLM-0004</v>
      </c>
      <c r="B2" t="str">
        <f>IF('MASTER DATA'!B5="","",'MASTER DATA'!B5)</f>
        <v>Synthetic Claimant 0004</v>
      </c>
      <c r="C2" t="str">
        <f>IF('MASTER DATA'!C5="","",'MASTER DATA'!C5)</f>
        <v>Claims Analyst J</v>
      </c>
      <c r="D2" t="str">
        <f>IF('MASTER DATA'!D5="","",'MASTER DATA'!D5)</f>
        <v>Synthetic Policyholder 118, LLC</v>
      </c>
      <c r="E2" s="15">
        <f>IF('MASTER DATA'!E5="","",'MASTER DATA'!E5)</f>
        <v>45285</v>
      </c>
      <c r="F2" s="16" t="str">
        <f>IF('MASTER DATA'!F5="","",'MASTER DATA'!F5)</f>
        <v>Y</v>
      </c>
      <c r="G2" s="17">
        <f>IF('MASTER DATA'!G5="","",'MASTER DATA'!G5)</f>
        <v>109000</v>
      </c>
      <c r="H2" s="16" t="str">
        <f>IF('MASTER DATA'!H5="","",'MASTER DATA'!H5)</f>
        <v>Synthetic Approver 01</v>
      </c>
      <c r="I2" s="15">
        <f>IF('MASTER DATA'!I5="","",'MASTER DATA'!I5)</f>
        <v>45783</v>
      </c>
      <c r="J2" s="16" t="str">
        <f>IF('MASTER DATA'!J5="","",'MASTER DATA'!J5)</f>
        <v>N</v>
      </c>
      <c r="K2" s="15" t="str">
        <f>IF('MASTER DATA'!K5="","",'MASTER DATA'!K5)</f>
        <v/>
      </c>
      <c r="L2" s="16" t="str">
        <f>IF('MASTER DATA'!L5="","",'MASTER DATA'!L5)</f>
        <v>Y</v>
      </c>
      <c r="M2" s="16" t="str">
        <f>IF('MASTER DATA'!M5="","",'MASTER DATA'!M5)</f>
        <v>N</v>
      </c>
      <c r="N2" s="15" t="str">
        <f>IF('MASTER DATA'!N5="","",'MASTER DATA'!N5)</f>
        <v/>
      </c>
      <c r="O2" s="16" t="str">
        <f>IF('MASTER DATA'!O5="","",'MASTER DATA'!O5)</f>
        <v/>
      </c>
      <c r="P2" s="16" t="str">
        <f>IF('MASTER DATA'!P5="","",'MASTER DATA'!P5)</f>
        <v>N</v>
      </c>
      <c r="Q2" s="16" t="str">
        <f>IF('MASTER DATA'!Q5="","",'MASTER DATA'!Q5)</f>
        <v/>
      </c>
      <c r="R2" s="16" t="str">
        <f>IF('MASTER DATA'!R5="","",'MASTER DATA'!R5)</f>
        <v/>
      </c>
      <c r="S2" s="16" t="str">
        <f>IF('MASTER DATA'!S5="","",'MASTER DATA'!S5)</f>
        <v>N</v>
      </c>
      <c r="T2" s="15" t="str">
        <f>IF('MASTER DATA'!T5="","",'MASTER DATA'!T5)</f>
        <v/>
      </c>
      <c r="U2" s="16" t="str">
        <f>IF('MASTER DATA'!U5="","",'MASTER DATA'!U5)</f>
        <v>N</v>
      </c>
      <c r="V2" s="16" t="str">
        <f>IF('MASTER DATA'!V5="","",'MASTER DATA'!V5)</f>
        <v>N</v>
      </c>
      <c r="W2" s="16" t="str">
        <f>IF('MASTER DATA'!W5="","",'MASTER DATA'!W5)</f>
        <v>N</v>
      </c>
      <c r="X2" s="16" t="str">
        <f>IF('MASTER DATA'!X5="","",'MASTER DATA'!X5)</f>
        <v>N</v>
      </c>
      <c r="Y2" s="16" t="str">
        <f>IF('MASTER DATA'!Y5="","",'MASTER DATA'!Y5)</f>
        <v>N</v>
      </c>
      <c r="Z2" s="16" t="str">
        <f>IF('MASTER DATA'!Z5="","",'MASTER DATA'!Z5)</f>
        <v>N</v>
      </c>
      <c r="AA2" s="16">
        <f>IF('MASTER DATA'!AA5="","",'MASTER DATA'!AA5)</f>
        <v>1</v>
      </c>
      <c r="AB2" s="16" t="str">
        <f>IF('MASTER DATA'!AB5="","",'MASTER DATA'!AB5)</f>
        <v>SINGLE-SIGNAL</v>
      </c>
      <c r="AC2" s="16" t="str">
        <f>IF('MASTER DATA'!AC5="","",'MASTER DATA'!AC5)</f>
        <v>Settlement Authorization</v>
      </c>
    </row>
    <row r="3" spans="1:29" x14ac:dyDescent="0.45">
      <c r="A3" t="str">
        <f>IF('MASTER DATA'!A73="","",'MASTER DATA'!A73)</f>
        <v>SYN-CLM-0072</v>
      </c>
      <c r="B3" t="str">
        <f>IF('MASTER DATA'!B73="","",'MASTER DATA'!B73)</f>
        <v>Synthetic Claimant 0072</v>
      </c>
      <c r="C3" t="str">
        <f>IF('MASTER DATA'!C73="","",'MASTER DATA'!C73)</f>
        <v>Claims Analyst J</v>
      </c>
      <c r="D3" t="str">
        <f>IF('MASTER DATA'!D73="","",'MASTER DATA'!D73)</f>
        <v>Synthetic Policyholder 138, LLC</v>
      </c>
      <c r="E3" s="15">
        <f>IF('MASTER DATA'!E73="","",'MASTER DATA'!E73)</f>
        <v>45270</v>
      </c>
      <c r="F3" s="16" t="str">
        <f>IF('MASTER DATA'!F73="","",'MASTER DATA'!F73)</f>
        <v>Y</v>
      </c>
      <c r="G3" s="17">
        <f>IF('MASTER DATA'!G73="","",'MASTER DATA'!G73)</f>
        <v>125250</v>
      </c>
      <c r="H3" s="16" t="str">
        <f>IF('MASTER DATA'!H73="","",'MASTER DATA'!H73)</f>
        <v>Synthetic Approver 07</v>
      </c>
      <c r="I3" s="15">
        <f>IF('MASTER DATA'!I73="","",'MASTER DATA'!I73)</f>
        <v>45944</v>
      </c>
      <c r="J3" s="16" t="str">
        <f>IF('MASTER DATA'!J73="","",'MASTER DATA'!J73)</f>
        <v>N</v>
      </c>
      <c r="K3" s="15" t="str">
        <f>IF('MASTER DATA'!K73="","",'MASTER DATA'!K73)</f>
        <v/>
      </c>
      <c r="L3" s="16" t="str">
        <f>IF('MASTER DATA'!L73="","",'MASTER DATA'!L73)</f>
        <v>Y</v>
      </c>
      <c r="M3" s="16" t="str">
        <f>IF('MASTER DATA'!M73="","",'MASTER DATA'!M73)</f>
        <v>N</v>
      </c>
      <c r="N3" s="15" t="str">
        <f>IF('MASTER DATA'!N73="","",'MASTER DATA'!N73)</f>
        <v/>
      </c>
      <c r="O3" s="16" t="str">
        <f>IF('MASTER DATA'!O73="","",'MASTER DATA'!O73)</f>
        <v/>
      </c>
      <c r="P3" s="16" t="str">
        <f>IF('MASTER DATA'!P73="","",'MASTER DATA'!P73)</f>
        <v>N</v>
      </c>
      <c r="Q3" s="16" t="str">
        <f>IF('MASTER DATA'!Q73="","",'MASTER DATA'!Q73)</f>
        <v/>
      </c>
      <c r="R3" s="16" t="str">
        <f>IF('MASTER DATA'!R73="","",'MASTER DATA'!R73)</f>
        <v/>
      </c>
      <c r="S3" s="16" t="str">
        <f>IF('MASTER DATA'!S73="","",'MASTER DATA'!S73)</f>
        <v>N</v>
      </c>
      <c r="T3" s="15" t="str">
        <f>IF('MASTER DATA'!T73="","",'MASTER DATA'!T73)</f>
        <v/>
      </c>
      <c r="U3" s="16" t="str">
        <f>IF('MASTER DATA'!U73="","",'MASTER DATA'!U73)</f>
        <v>N</v>
      </c>
      <c r="V3" s="16" t="str">
        <f>IF('MASTER DATA'!V73="","",'MASTER DATA'!V73)</f>
        <v>N</v>
      </c>
      <c r="W3" s="16" t="str">
        <f>IF('MASTER DATA'!W73="","",'MASTER DATA'!W73)</f>
        <v>N</v>
      </c>
      <c r="X3" s="16" t="str">
        <f>IF('MASTER DATA'!X73="","",'MASTER DATA'!X73)</f>
        <v>N</v>
      </c>
      <c r="Y3" s="16" t="str">
        <f>IF('MASTER DATA'!Y73="","",'MASTER DATA'!Y73)</f>
        <v>N</v>
      </c>
      <c r="Z3" s="16" t="str">
        <f>IF('MASTER DATA'!Z73="","",'MASTER DATA'!Z73)</f>
        <v>N</v>
      </c>
      <c r="AA3" s="16">
        <f>IF('MASTER DATA'!AA73="","",'MASTER DATA'!AA73)</f>
        <v>1</v>
      </c>
      <c r="AB3" s="16" t="str">
        <f>IF('MASTER DATA'!AB73="","",'MASTER DATA'!AB73)</f>
        <v>SINGLE-SIGNAL</v>
      </c>
      <c r="AC3" s="16" t="str">
        <f>IF('MASTER DATA'!AC73="","",'MASTER DATA'!AC73)</f>
        <v>Settlement Authorization</v>
      </c>
    </row>
    <row r="4" spans="1:29" x14ac:dyDescent="0.45">
      <c r="A4" t="str">
        <f>IF('MASTER DATA'!A74="","",'MASTER DATA'!A74)</f>
        <v>SYN-CLM-0073</v>
      </c>
      <c r="B4" t="str">
        <f>IF('MASTER DATA'!B74="","",'MASTER DATA'!B74)</f>
        <v>Synthetic Claimant 0073</v>
      </c>
      <c r="C4" t="str">
        <f>IF('MASTER DATA'!C74="","",'MASTER DATA'!C74)</f>
        <v>Claims Analyst J</v>
      </c>
      <c r="D4" t="str">
        <f>IF('MASTER DATA'!D74="","",'MASTER DATA'!D74)</f>
        <v>Synthetic Policyholder 058, LLC</v>
      </c>
      <c r="E4" s="15">
        <f>IF('MASTER DATA'!E74="","",'MASTER DATA'!E74)</f>
        <v>43364</v>
      </c>
      <c r="F4" s="16" t="str">
        <f>IF('MASTER DATA'!F74="","",'MASTER DATA'!F74)</f>
        <v>Y</v>
      </c>
      <c r="G4" s="17">
        <f>IF('MASTER DATA'!G74="","",'MASTER DATA'!G74)</f>
        <v>10750</v>
      </c>
      <c r="H4" s="16" t="str">
        <f>IF('MASTER DATA'!H74="","",'MASTER DATA'!H74)</f>
        <v>Synthetic Approver 12</v>
      </c>
      <c r="I4" s="15">
        <f>IF('MASTER DATA'!I74="","",'MASTER DATA'!I74)</f>
        <v>45144</v>
      </c>
      <c r="J4" s="16" t="str">
        <f>IF('MASTER DATA'!J74="","",'MASTER DATA'!J74)</f>
        <v>N</v>
      </c>
      <c r="K4" s="15" t="str">
        <f>IF('MASTER DATA'!K74="","",'MASTER DATA'!K74)</f>
        <v/>
      </c>
      <c r="L4" s="16" t="str">
        <f>IF('MASTER DATA'!L74="","",'MASTER DATA'!L74)</f>
        <v>N</v>
      </c>
      <c r="M4" s="16" t="str">
        <f>IF('MASTER DATA'!M74="","",'MASTER DATA'!M74)</f>
        <v>N</v>
      </c>
      <c r="N4" s="15" t="str">
        <f>IF('MASTER DATA'!N74="","",'MASTER DATA'!N74)</f>
        <v/>
      </c>
      <c r="O4" s="16" t="str">
        <f>IF('MASTER DATA'!O74="","",'MASTER DATA'!O74)</f>
        <v/>
      </c>
      <c r="P4" s="16" t="str">
        <f>IF('MASTER DATA'!P74="","",'MASTER DATA'!P74)</f>
        <v>Y</v>
      </c>
      <c r="Q4" s="16" t="str">
        <f>IF('MASTER DATA'!Q74="","",'MASTER DATA'!Q74)</f>
        <v>MMI Date Reported</v>
      </c>
      <c r="R4" s="16" t="str">
        <f>IF('MASTER DATA'!R74="","",'MASTER DATA'!R74)</f>
        <v>MSA Eligible in Next 3 Years; Denied Treatment Requests</v>
      </c>
      <c r="S4" s="16" t="str">
        <f>IF('MASTER DATA'!S74="","",'MASTER DATA'!S74)</f>
        <v>N</v>
      </c>
      <c r="T4" s="15" t="str">
        <f>IF('MASTER DATA'!T74="","",'MASTER DATA'!T74)</f>
        <v/>
      </c>
      <c r="U4" s="16" t="str">
        <f>IF('MASTER DATA'!U74="","",'MASTER DATA'!U74)</f>
        <v>N</v>
      </c>
      <c r="V4" s="16" t="str">
        <f>IF('MASTER DATA'!V74="","",'MASTER DATA'!V74)</f>
        <v>Y</v>
      </c>
      <c r="W4" s="16" t="str">
        <f>IF('MASTER DATA'!W74="","",'MASTER DATA'!W74)</f>
        <v>Y</v>
      </c>
      <c r="X4" s="16" t="str">
        <f>IF('MASTER DATA'!X74="","",'MASTER DATA'!X74)</f>
        <v>N</v>
      </c>
      <c r="Y4" s="16" t="str">
        <f>IF('MASTER DATA'!Y74="","",'MASTER DATA'!Y74)</f>
        <v>N</v>
      </c>
      <c r="Z4" s="16" t="str">
        <f>IF('MASTER DATA'!Z74="","",'MASTER DATA'!Z74)</f>
        <v>Y</v>
      </c>
      <c r="AA4" s="16">
        <f>IF('MASTER DATA'!AA74="","",'MASTER DATA'!AA74)</f>
        <v>2</v>
      </c>
      <c r="AB4" s="16" t="str">
        <f>IF('MASTER DATA'!AB74="","",'MASTER DATA'!AB74)</f>
        <v>MULTI-SIGNAL</v>
      </c>
      <c r="AC4" s="16" t="str">
        <f>IF('MASTER DATA'!AC74="","",'MASTER DATA'!AC74)</f>
        <v>Settlement Authorization | Automated Claim Alert</v>
      </c>
    </row>
    <row r="5" spans="1:29" x14ac:dyDescent="0.45">
      <c r="A5" t="str">
        <f>IF('MASTER DATA'!A75="","",'MASTER DATA'!A75)</f>
        <v>SYN-CLM-0074</v>
      </c>
      <c r="B5" t="str">
        <f>IF('MASTER DATA'!B75="","",'MASTER DATA'!B75)</f>
        <v>Synthetic Claimant 0074</v>
      </c>
      <c r="C5" t="str">
        <f>IF('MASTER DATA'!C75="","",'MASTER DATA'!C75)</f>
        <v>Claims Analyst J</v>
      </c>
      <c r="D5" t="str">
        <f>IF('MASTER DATA'!D75="","",'MASTER DATA'!D75)</f>
        <v>Synthetic Policyholder 172, LLC</v>
      </c>
      <c r="E5" s="15">
        <f>IF('MASTER DATA'!E75="","",'MASTER DATA'!E75)</f>
        <v>45976</v>
      </c>
      <c r="F5" s="16" t="str">
        <f>IF('MASTER DATA'!F75="","",'MASTER DATA'!F75)</f>
        <v>Y</v>
      </c>
      <c r="G5" s="17">
        <f>IF('MASTER DATA'!G75="","",'MASTER DATA'!G75)</f>
        <v>112750</v>
      </c>
      <c r="H5" s="16" t="str">
        <f>IF('MASTER DATA'!H75="","",'MASTER DATA'!H75)</f>
        <v>Synthetic Approver 08</v>
      </c>
      <c r="I5" s="15">
        <f>IF('MASTER DATA'!I75="","",'MASTER DATA'!I75)</f>
        <v>47358</v>
      </c>
      <c r="J5" s="16" t="str">
        <f>IF('MASTER DATA'!J75="","",'MASTER DATA'!J75)</f>
        <v>Y</v>
      </c>
      <c r="K5" s="15">
        <f>IF('MASTER DATA'!K75="","",'MASTER DATA'!K75)</f>
        <v>46730</v>
      </c>
      <c r="L5" s="16" t="str">
        <f>IF('MASTER DATA'!L75="","",'MASTER DATA'!L75)</f>
        <v>Y</v>
      </c>
      <c r="M5" s="16" t="str">
        <f>IF('MASTER DATA'!M75="","",'MASTER DATA'!M75)</f>
        <v>N</v>
      </c>
      <c r="N5" s="15" t="str">
        <f>IF('MASTER DATA'!N75="","",'MASTER DATA'!N75)</f>
        <v/>
      </c>
      <c r="O5" s="16" t="str">
        <f>IF('MASTER DATA'!O75="","",'MASTER DATA'!O75)</f>
        <v/>
      </c>
      <c r="P5" s="16" t="str">
        <f>IF('MASTER DATA'!P75="","",'MASTER DATA'!P75)</f>
        <v>Y</v>
      </c>
      <c r="Q5" s="16" t="str">
        <f>IF('MASTER DATA'!Q75="","",'MASTER DATA'!Q75)</f>
        <v>Specialist Consultation Requested</v>
      </c>
      <c r="R5" s="16" t="str">
        <f>IF('MASTER DATA'!R75="","",'MASTER DATA'!R75)</f>
        <v>MSA Eligible in Next 3 Years</v>
      </c>
      <c r="S5" s="16" t="str">
        <f>IF('MASTER DATA'!S75="","",'MASTER DATA'!S75)</f>
        <v>Y</v>
      </c>
      <c r="T5" s="15">
        <f>IF('MASTER DATA'!T75="","",'MASTER DATA'!T75)</f>
        <v>46653</v>
      </c>
      <c r="U5" s="16" t="str">
        <f>IF('MASTER DATA'!U75="","",'MASTER DATA'!U75)</f>
        <v>N</v>
      </c>
      <c r="V5" s="16" t="str">
        <f>IF('MASTER DATA'!V75="","",'MASTER DATA'!V75)</f>
        <v>N</v>
      </c>
      <c r="W5" s="16" t="str">
        <f>IF('MASTER DATA'!W75="","",'MASTER DATA'!W75)</f>
        <v>N</v>
      </c>
      <c r="X5" s="16" t="str">
        <f>IF('MASTER DATA'!X75="","",'MASTER DATA'!X75)</f>
        <v>Y</v>
      </c>
      <c r="Y5" s="16" t="str">
        <f>IF('MASTER DATA'!Y75="","",'MASTER DATA'!Y75)</f>
        <v>N</v>
      </c>
      <c r="Z5" s="16" t="str">
        <f>IF('MASTER DATA'!Z75="","",'MASTER DATA'!Z75)</f>
        <v>Y</v>
      </c>
      <c r="AA5" s="16">
        <f>IF('MASTER DATA'!AA75="","",'MASTER DATA'!AA75)</f>
        <v>4</v>
      </c>
      <c r="AB5" s="16" t="str">
        <f>IF('MASTER DATA'!AB75="","",'MASTER DATA'!AB75)</f>
        <v>HIGH MULTI-SIGNAL</v>
      </c>
      <c r="AC5" s="16" t="str">
        <f>IF('MASTER DATA'!AC75="","",'MASTER DATA'!AC75)</f>
        <v>Settlement Authorization | Open Stipulation | Automated Claim Alert | Inactive Customer</v>
      </c>
    </row>
    <row r="6" spans="1:29" x14ac:dyDescent="0.45">
      <c r="A6" t="str">
        <f>IF('MASTER DATA'!A76="","",'MASTER DATA'!A76)</f>
        <v>SYN-CLM-0075</v>
      </c>
      <c r="B6" t="str">
        <f>IF('MASTER DATA'!B76="","",'MASTER DATA'!B76)</f>
        <v>Synthetic Claimant 0075</v>
      </c>
      <c r="C6" t="str">
        <f>IF('MASTER DATA'!C76="","",'MASTER DATA'!C76)</f>
        <v>Claims Analyst J</v>
      </c>
      <c r="D6" t="str">
        <f>IF('MASTER DATA'!D76="","",'MASTER DATA'!D76)</f>
        <v>Synthetic Policyholder 090, LLC</v>
      </c>
      <c r="E6" s="15">
        <f>IF('MASTER DATA'!E76="","",'MASTER DATA'!E76)</f>
        <v>44771</v>
      </c>
      <c r="F6" s="16" t="str">
        <f>IF('MASTER DATA'!F76="","",'MASTER DATA'!F76)</f>
        <v>Y</v>
      </c>
      <c r="G6" s="17">
        <f>IF('MASTER DATA'!G76="","",'MASTER DATA'!G76)</f>
        <v>11500</v>
      </c>
      <c r="H6" s="16" t="str">
        <f>IF('MASTER DATA'!H76="","",'MASTER DATA'!H76)</f>
        <v>Synthetic Approver 07</v>
      </c>
      <c r="I6" s="15">
        <f>IF('MASTER DATA'!I76="","",'MASTER DATA'!I76)</f>
        <v>45674</v>
      </c>
      <c r="J6" s="16" t="str">
        <f>IF('MASTER DATA'!J76="","",'MASTER DATA'!J76)</f>
        <v>N</v>
      </c>
      <c r="K6" s="15" t="str">
        <f>IF('MASTER DATA'!K76="","",'MASTER DATA'!K76)</f>
        <v/>
      </c>
      <c r="L6" s="16" t="str">
        <f>IF('MASTER DATA'!L76="","",'MASTER DATA'!L76)</f>
        <v>N</v>
      </c>
      <c r="M6" s="16" t="str">
        <f>IF('MASTER DATA'!M76="","",'MASTER DATA'!M76)</f>
        <v>N</v>
      </c>
      <c r="N6" s="15" t="str">
        <f>IF('MASTER DATA'!N76="","",'MASTER DATA'!N76)</f>
        <v/>
      </c>
      <c r="O6" s="16" t="str">
        <f>IF('MASTER DATA'!O76="","",'MASTER DATA'!O76)</f>
        <v/>
      </c>
      <c r="P6" s="16" t="str">
        <f>IF('MASTER DATA'!P76="","",'MASTER DATA'!P76)</f>
        <v>Y</v>
      </c>
      <c r="Q6" s="16" t="str">
        <f>IF('MASTER DATA'!Q76="","",'MASTER DATA'!Q76)</f>
        <v>Denied Treatment Requests</v>
      </c>
      <c r="R6" s="16" t="str">
        <f>IF('MASTER DATA'!R76="","",'MASTER DATA'!R76)</f>
        <v>MMI Date Reported</v>
      </c>
      <c r="S6" s="16" t="str">
        <f>IF('MASTER DATA'!S76="","",'MASTER DATA'!S76)</f>
        <v>N</v>
      </c>
      <c r="T6" s="15" t="str">
        <f>IF('MASTER DATA'!T76="","",'MASTER DATA'!T76)</f>
        <v/>
      </c>
      <c r="U6" s="16" t="str">
        <f>IF('MASTER DATA'!U76="","",'MASTER DATA'!U76)</f>
        <v>N</v>
      </c>
      <c r="V6" s="16" t="str">
        <f>IF('MASTER DATA'!V76="","",'MASTER DATA'!V76)</f>
        <v>Y</v>
      </c>
      <c r="W6" s="16" t="str">
        <f>IF('MASTER DATA'!W76="","",'MASTER DATA'!W76)</f>
        <v>Y</v>
      </c>
      <c r="X6" s="16" t="str">
        <f>IF('MASTER DATA'!X76="","",'MASTER DATA'!X76)</f>
        <v>N</v>
      </c>
      <c r="Y6" s="16" t="str">
        <f>IF('MASTER DATA'!Y76="","",'MASTER DATA'!Y76)</f>
        <v>N</v>
      </c>
      <c r="Z6" s="16" t="str">
        <f>IF('MASTER DATA'!Z76="","",'MASTER DATA'!Z76)</f>
        <v>N</v>
      </c>
      <c r="AA6" s="16">
        <f>IF('MASTER DATA'!AA76="","",'MASTER DATA'!AA76)</f>
        <v>2</v>
      </c>
      <c r="AB6" s="16" t="str">
        <f>IF('MASTER DATA'!AB76="","",'MASTER DATA'!AB76)</f>
        <v>MULTI-SIGNAL</v>
      </c>
      <c r="AC6" s="16" t="str">
        <f>IF('MASTER DATA'!AC76="","",'MASTER DATA'!AC76)</f>
        <v>Settlement Authorization | Automated Claim Alert</v>
      </c>
    </row>
    <row r="7" spans="1:29" x14ac:dyDescent="0.45">
      <c r="A7" t="str">
        <f>IF('MASTER DATA'!A77="","",'MASTER DATA'!A77)</f>
        <v>SYN-CLM-0076</v>
      </c>
      <c r="B7" t="str">
        <f>IF('MASTER DATA'!B77="","",'MASTER DATA'!B77)</f>
        <v>Synthetic Claimant 0076</v>
      </c>
      <c r="C7" t="str">
        <f>IF('MASTER DATA'!C77="","",'MASTER DATA'!C77)</f>
        <v>Claims Analyst J</v>
      </c>
      <c r="D7" t="str">
        <f>IF('MASTER DATA'!D77="","",'MASTER DATA'!D77)</f>
        <v>Synthetic Policyholder 059, LLC</v>
      </c>
      <c r="E7" s="15">
        <f>IF('MASTER DATA'!E77="","",'MASTER DATA'!E77)</f>
        <v>45225</v>
      </c>
      <c r="F7" s="16" t="str">
        <f>IF('MASTER DATA'!F77="","",'MASTER DATA'!F77)</f>
        <v>N</v>
      </c>
      <c r="G7" s="17" t="str">
        <f>IF('MASTER DATA'!G77="","",'MASTER DATA'!G77)</f>
        <v/>
      </c>
      <c r="H7" s="16" t="str">
        <f>IF('MASTER DATA'!H77="","",'MASTER DATA'!H77)</f>
        <v/>
      </c>
      <c r="I7" s="15" t="str">
        <f>IF('MASTER DATA'!I77="","",'MASTER DATA'!I77)</f>
        <v/>
      </c>
      <c r="J7" s="16" t="str">
        <f>IF('MASTER DATA'!J77="","",'MASTER DATA'!J77)</f>
        <v>N</v>
      </c>
      <c r="K7" s="15" t="str">
        <f>IF('MASTER DATA'!K77="","",'MASTER DATA'!K77)</f>
        <v/>
      </c>
      <c r="L7" s="16" t="str">
        <f>IF('MASTER DATA'!L77="","",'MASTER DATA'!L77)</f>
        <v/>
      </c>
      <c r="M7" s="16" t="str">
        <f>IF('MASTER DATA'!M77="","",'MASTER DATA'!M77)</f>
        <v>N</v>
      </c>
      <c r="N7" s="15" t="str">
        <f>IF('MASTER DATA'!N77="","",'MASTER DATA'!N77)</f>
        <v/>
      </c>
      <c r="O7" s="16" t="str">
        <f>IF('MASTER DATA'!O77="","",'MASTER DATA'!O77)</f>
        <v/>
      </c>
      <c r="P7" s="16" t="str">
        <f>IF('MASTER DATA'!P77="","",'MASTER DATA'!P77)</f>
        <v>N</v>
      </c>
      <c r="Q7" s="16" t="str">
        <f>IF('MASTER DATA'!Q77="","",'MASTER DATA'!Q77)</f>
        <v/>
      </c>
      <c r="R7" s="16" t="str">
        <f>IF('MASTER DATA'!R77="","",'MASTER DATA'!R77)</f>
        <v/>
      </c>
      <c r="S7" s="16" t="str">
        <f>IF('MASTER DATA'!S77="","",'MASTER DATA'!S77)</f>
        <v>Y</v>
      </c>
      <c r="T7" s="15">
        <f>IF('MASTER DATA'!T77="","",'MASTER DATA'!T77)</f>
        <v>47134</v>
      </c>
      <c r="U7" s="16" t="str">
        <f>IF('MASTER DATA'!U77="","",'MASTER DATA'!U77)</f>
        <v>N</v>
      </c>
      <c r="V7" s="16" t="str">
        <f>IF('MASTER DATA'!V77="","",'MASTER DATA'!V77)</f>
        <v>N</v>
      </c>
      <c r="W7" s="16" t="str">
        <f>IF('MASTER DATA'!W77="","",'MASTER DATA'!W77)</f>
        <v>N</v>
      </c>
      <c r="X7" s="16" t="str">
        <f>IF('MASTER DATA'!X77="","",'MASTER DATA'!X77)</f>
        <v>N</v>
      </c>
      <c r="Y7" s="16" t="str">
        <f>IF('MASTER DATA'!Y77="","",'MASTER DATA'!Y77)</f>
        <v>N</v>
      </c>
      <c r="Z7" s="16" t="str">
        <f>IF('MASTER DATA'!Z77="","",'MASTER DATA'!Z77)</f>
        <v>N</v>
      </c>
      <c r="AA7" s="16">
        <f>IF('MASTER DATA'!AA77="","",'MASTER DATA'!AA77)</f>
        <v>1</v>
      </c>
      <c r="AB7" s="16" t="str">
        <f>IF('MASTER DATA'!AB77="","",'MASTER DATA'!AB77)</f>
        <v>SINGLE-SIGNAL</v>
      </c>
      <c r="AC7" s="16" t="str">
        <f>IF('MASTER DATA'!AC77="","",'MASTER DATA'!AC77)</f>
        <v>Inactive Customer</v>
      </c>
    </row>
    <row r="8" spans="1:29" x14ac:dyDescent="0.45">
      <c r="A8" t="str">
        <f>IF('MASTER DATA'!A78="","",'MASTER DATA'!A78)</f>
        <v>SYN-CLM-0077</v>
      </c>
      <c r="B8" t="str">
        <f>IF('MASTER DATA'!B78="","",'MASTER DATA'!B78)</f>
        <v>Synthetic Claimant 0077</v>
      </c>
      <c r="C8" t="str">
        <f>IF('MASTER DATA'!C78="","",'MASTER DATA'!C78)</f>
        <v>Claims Analyst J</v>
      </c>
      <c r="D8" t="str">
        <f>IF('MASTER DATA'!D78="","",'MASTER DATA'!D78)</f>
        <v>Synthetic Policyholder 044, LLC</v>
      </c>
      <c r="E8" s="15">
        <f>IF('MASTER DATA'!E78="","",'MASTER DATA'!E78)</f>
        <v>45090</v>
      </c>
      <c r="F8" s="16" t="str">
        <f>IF('MASTER DATA'!F78="","",'MASTER DATA'!F78)</f>
        <v>Y</v>
      </c>
      <c r="G8" s="17">
        <f>IF('MASTER DATA'!G78="","",'MASTER DATA'!G78)</f>
        <v>95250</v>
      </c>
      <c r="H8" s="16" t="str">
        <f>IF('MASTER DATA'!H78="","",'MASTER DATA'!H78)</f>
        <v>Synthetic Approver 09</v>
      </c>
      <c r="I8" s="15">
        <f>IF('MASTER DATA'!I78="","",'MASTER DATA'!I78)</f>
        <v>46835</v>
      </c>
      <c r="J8" s="16" t="str">
        <f>IF('MASTER DATA'!J78="","",'MASTER DATA'!J78)</f>
        <v>N</v>
      </c>
      <c r="K8" s="15" t="str">
        <f>IF('MASTER DATA'!K78="","",'MASTER DATA'!K78)</f>
        <v/>
      </c>
      <c r="L8" s="16" t="str">
        <f>IF('MASTER DATA'!L78="","",'MASTER DATA'!L78)</f>
        <v>Y</v>
      </c>
      <c r="M8" s="16" t="str">
        <f>IF('MASTER DATA'!M78="","",'MASTER DATA'!M78)</f>
        <v>Y</v>
      </c>
      <c r="N8" s="15">
        <f>IF('MASTER DATA'!N78="","",'MASTER DATA'!N78)</f>
        <v>45972</v>
      </c>
      <c r="O8" s="16" t="str">
        <f>IF('MASTER DATA'!O78="","",'MASTER DATA'!O78)</f>
        <v>Synthetic QME Evaluator 13</v>
      </c>
      <c r="P8" s="16" t="str">
        <f>IF('MASTER DATA'!P78="","",'MASTER DATA'!P78)</f>
        <v>N</v>
      </c>
      <c r="Q8" s="16" t="str">
        <f>IF('MASTER DATA'!Q78="","",'MASTER DATA'!Q78)</f>
        <v/>
      </c>
      <c r="R8" s="16" t="str">
        <f>IF('MASTER DATA'!R78="","",'MASTER DATA'!R78)</f>
        <v/>
      </c>
      <c r="S8" s="16" t="str">
        <f>IF('MASTER DATA'!S78="","",'MASTER DATA'!S78)</f>
        <v>N</v>
      </c>
      <c r="T8" s="15" t="str">
        <f>IF('MASTER DATA'!T78="","",'MASTER DATA'!T78)</f>
        <v/>
      </c>
      <c r="U8" s="16" t="str">
        <f>IF('MASTER DATA'!U78="","",'MASTER DATA'!U78)</f>
        <v>N</v>
      </c>
      <c r="V8" s="16" t="str">
        <f>IF('MASTER DATA'!V78="","",'MASTER DATA'!V78)</f>
        <v>N</v>
      </c>
      <c r="W8" s="16" t="str">
        <f>IF('MASTER DATA'!W78="","",'MASTER DATA'!W78)</f>
        <v>N</v>
      </c>
      <c r="X8" s="16" t="str">
        <f>IF('MASTER DATA'!X78="","",'MASTER DATA'!X78)</f>
        <v>N</v>
      </c>
      <c r="Y8" s="16" t="str">
        <f>IF('MASTER DATA'!Y78="","",'MASTER DATA'!Y78)</f>
        <v>N</v>
      </c>
      <c r="Z8" s="16" t="str">
        <f>IF('MASTER DATA'!Z78="","",'MASTER DATA'!Z78)</f>
        <v>N</v>
      </c>
      <c r="AA8" s="16">
        <f>IF('MASTER DATA'!AA78="","",'MASTER DATA'!AA78)</f>
        <v>2</v>
      </c>
      <c r="AB8" s="16" t="str">
        <f>IF('MASTER DATA'!AB78="","",'MASTER DATA'!AB78)</f>
        <v>MULTI-SIGNAL</v>
      </c>
      <c r="AC8" s="16" t="str">
        <f>IF('MASTER DATA'!AC78="","",'MASTER DATA'!AC78)</f>
        <v>Settlement Authorization | Pending QME</v>
      </c>
    </row>
    <row r="9" spans="1:29" x14ac:dyDescent="0.45">
      <c r="A9" t="str">
        <f>IF('MASTER DATA'!A400="","",'MASTER DATA'!A400)</f>
        <v>SYN-CLM-0399</v>
      </c>
      <c r="B9" t="str">
        <f>IF('MASTER DATA'!B400="","",'MASTER DATA'!B400)</f>
        <v>Synthetic Claimant 0399</v>
      </c>
      <c r="C9" t="str">
        <f>IF('MASTER DATA'!C400="","",'MASTER DATA'!C400)</f>
        <v>Claims Analyst J</v>
      </c>
      <c r="D9" t="str">
        <f>IF('MASTER DATA'!D400="","",'MASTER DATA'!D400)</f>
        <v>Synthetic Policyholder 061, LLC</v>
      </c>
      <c r="E9" s="15">
        <f>IF('MASTER DATA'!E400="","",'MASTER DATA'!E400)</f>
        <v>43850</v>
      </c>
      <c r="F9" s="16" t="str">
        <f>IF('MASTER DATA'!F400="","",'MASTER DATA'!F400)</f>
        <v>Y</v>
      </c>
      <c r="G9" s="17">
        <f>IF('MASTER DATA'!G400="","",'MASTER DATA'!G400)</f>
        <v>77250</v>
      </c>
      <c r="H9" s="16" t="str">
        <f>IF('MASTER DATA'!H400="","",'MASTER DATA'!H400)</f>
        <v>Synthetic Approver 09</v>
      </c>
      <c r="I9" s="15">
        <f>IF('MASTER DATA'!I400="","",'MASTER DATA'!I400)</f>
        <v>45373</v>
      </c>
      <c r="J9" s="16" t="str">
        <f>IF('MASTER DATA'!J400="","",'MASTER DATA'!J400)</f>
        <v>N</v>
      </c>
      <c r="K9" s="15" t="str">
        <f>IF('MASTER DATA'!K400="","",'MASTER DATA'!K400)</f>
        <v/>
      </c>
      <c r="L9" s="16" t="str">
        <f>IF('MASTER DATA'!L400="","",'MASTER DATA'!L400)</f>
        <v>Y</v>
      </c>
      <c r="M9" s="16" t="str">
        <f>IF('MASTER DATA'!M400="","",'MASTER DATA'!M400)</f>
        <v>N</v>
      </c>
      <c r="N9" s="15" t="str">
        <f>IF('MASTER DATA'!N400="","",'MASTER DATA'!N400)</f>
        <v/>
      </c>
      <c r="O9" s="16" t="str">
        <f>IF('MASTER DATA'!O400="","",'MASTER DATA'!O400)</f>
        <v/>
      </c>
      <c r="P9" s="16" t="str">
        <f>IF('MASTER DATA'!P400="","",'MASTER DATA'!P400)</f>
        <v>N</v>
      </c>
      <c r="Q9" s="16" t="str">
        <f>IF('MASTER DATA'!Q400="","",'MASTER DATA'!Q400)</f>
        <v/>
      </c>
      <c r="R9" s="16" t="str">
        <f>IF('MASTER DATA'!R400="","",'MASTER DATA'!R400)</f>
        <v/>
      </c>
      <c r="S9" s="16" t="str">
        <f>IF('MASTER DATA'!S400="","",'MASTER DATA'!S400)</f>
        <v>N</v>
      </c>
      <c r="T9" s="15" t="str">
        <f>IF('MASTER DATA'!T400="","",'MASTER DATA'!T400)</f>
        <v/>
      </c>
      <c r="U9" s="16" t="str">
        <f>IF('MASTER DATA'!U400="","",'MASTER DATA'!U400)</f>
        <v>N</v>
      </c>
      <c r="V9" s="16" t="str">
        <f>IF('MASTER DATA'!V400="","",'MASTER DATA'!V400)</f>
        <v>N</v>
      </c>
      <c r="W9" s="16" t="str">
        <f>IF('MASTER DATA'!W400="","",'MASTER DATA'!W400)</f>
        <v>N</v>
      </c>
      <c r="X9" s="16" t="str">
        <f>IF('MASTER DATA'!X400="","",'MASTER DATA'!X400)</f>
        <v>N</v>
      </c>
      <c r="Y9" s="16" t="str">
        <f>IF('MASTER DATA'!Y400="","",'MASTER DATA'!Y400)</f>
        <v>N</v>
      </c>
      <c r="Z9" s="16" t="str">
        <f>IF('MASTER DATA'!Z400="","",'MASTER DATA'!Z400)</f>
        <v>N</v>
      </c>
      <c r="AA9" s="16">
        <f>IF('MASTER DATA'!AA400="","",'MASTER DATA'!AA400)</f>
        <v>1</v>
      </c>
      <c r="AB9" s="16" t="str">
        <f>IF('MASTER DATA'!AB400="","",'MASTER DATA'!AB400)</f>
        <v>SINGLE-SIGNAL</v>
      </c>
      <c r="AC9" s="16" t="str">
        <f>IF('MASTER DATA'!AC400="","",'MASTER DATA'!AC400)</f>
        <v>Settlement Authorization</v>
      </c>
    </row>
    <row r="10" spans="1:29" x14ac:dyDescent="0.45">
      <c r="A10" t="str">
        <f>IF('MASTER DATA'!A401="","",'MASTER DATA'!A401)</f>
        <v>SYN-CLM-0400</v>
      </c>
      <c r="B10" t="str">
        <f>IF('MASTER DATA'!B401="","",'MASTER DATA'!B401)</f>
        <v>Synthetic Claimant 0400</v>
      </c>
      <c r="C10" t="str">
        <f>IF('MASTER DATA'!C401="","",'MASTER DATA'!C401)</f>
        <v>Claims Analyst J</v>
      </c>
      <c r="D10" t="str">
        <f>IF('MASTER DATA'!D401="","",'MASTER DATA'!D401)</f>
        <v>Synthetic Policyholder 069, LLC</v>
      </c>
      <c r="E10" s="15">
        <f>IF('MASTER DATA'!E401="","",'MASTER DATA'!E401)</f>
        <v>43431</v>
      </c>
      <c r="F10" s="16" t="str">
        <f>IF('MASTER DATA'!F401="","",'MASTER DATA'!F401)</f>
        <v>N</v>
      </c>
      <c r="G10" s="17" t="str">
        <f>IF('MASTER DATA'!G401="","",'MASTER DATA'!G401)</f>
        <v/>
      </c>
      <c r="H10" s="16" t="str">
        <f>IF('MASTER DATA'!H401="","",'MASTER DATA'!H401)</f>
        <v/>
      </c>
      <c r="I10" s="15" t="str">
        <f>IF('MASTER DATA'!I401="","",'MASTER DATA'!I401)</f>
        <v/>
      </c>
      <c r="J10" s="16" t="str">
        <f>IF('MASTER DATA'!J401="","",'MASTER DATA'!J401)</f>
        <v>N</v>
      </c>
      <c r="K10" s="15" t="str">
        <f>IF('MASTER DATA'!K401="","",'MASTER DATA'!K401)</f>
        <v/>
      </c>
      <c r="L10" s="16" t="str">
        <f>IF('MASTER DATA'!L401="","",'MASTER DATA'!L401)</f>
        <v/>
      </c>
      <c r="M10" s="16" t="str">
        <f>IF('MASTER DATA'!M401="","",'MASTER DATA'!M401)</f>
        <v>N</v>
      </c>
      <c r="N10" s="15" t="str">
        <f>IF('MASTER DATA'!N401="","",'MASTER DATA'!N401)</f>
        <v/>
      </c>
      <c r="O10" s="16" t="str">
        <f>IF('MASTER DATA'!O401="","",'MASTER DATA'!O401)</f>
        <v/>
      </c>
      <c r="P10" s="16" t="str">
        <f>IF('MASTER DATA'!P401="","",'MASTER DATA'!P401)</f>
        <v>Y</v>
      </c>
      <c r="Q10" s="16" t="str">
        <f>IF('MASTER DATA'!Q401="","",'MASTER DATA'!Q401)</f>
        <v>Denied Treatment Requests</v>
      </c>
      <c r="R10" s="16" t="str">
        <f>IF('MASTER DATA'!R401="","",'MASTER DATA'!R401)</f>
        <v>Surgery Requested</v>
      </c>
      <c r="S10" s="16" t="str">
        <f>IF('MASTER DATA'!S401="","",'MASTER DATA'!S401)</f>
        <v>N</v>
      </c>
      <c r="T10" s="15" t="str">
        <f>IF('MASTER DATA'!T401="","",'MASTER DATA'!T401)</f>
        <v/>
      </c>
      <c r="U10" s="16" t="str">
        <f>IF('MASTER DATA'!U401="","",'MASTER DATA'!U401)</f>
        <v>Y</v>
      </c>
      <c r="V10" s="16" t="str">
        <f>IF('MASTER DATA'!V401="","",'MASTER DATA'!V401)</f>
        <v>N</v>
      </c>
      <c r="W10" s="16" t="str">
        <f>IF('MASTER DATA'!W401="","",'MASTER DATA'!W401)</f>
        <v>Y</v>
      </c>
      <c r="X10" s="16" t="str">
        <f>IF('MASTER DATA'!X401="","",'MASTER DATA'!X401)</f>
        <v>N</v>
      </c>
      <c r="Y10" s="16" t="str">
        <f>IF('MASTER DATA'!Y401="","",'MASTER DATA'!Y401)</f>
        <v>N</v>
      </c>
      <c r="Z10" s="16" t="str">
        <f>IF('MASTER DATA'!Z401="","",'MASTER DATA'!Z401)</f>
        <v>N</v>
      </c>
      <c r="AA10" s="16">
        <f>IF('MASTER DATA'!AA401="","",'MASTER DATA'!AA401)</f>
        <v>1</v>
      </c>
      <c r="AB10" s="16" t="str">
        <f>IF('MASTER DATA'!AB401="","",'MASTER DATA'!AB401)</f>
        <v>SINGLE-SIGNAL</v>
      </c>
      <c r="AC10" s="16" t="str">
        <f>IF('MASTER DATA'!AC401="","",'MASTER DATA'!AC401)</f>
        <v>Automated Claim Alert</v>
      </c>
    </row>
    <row r="11" spans="1:29" x14ac:dyDescent="0.45">
      <c r="A11" t="str">
        <f>IF('MASTER DATA'!A402="","",'MASTER DATA'!A402)</f>
        <v>SYN-CLM-0401</v>
      </c>
      <c r="B11" t="str">
        <f>IF('MASTER DATA'!B402="","",'MASTER DATA'!B402)</f>
        <v>Synthetic Claimant 0401</v>
      </c>
      <c r="C11" t="str">
        <f>IF('MASTER DATA'!C402="","",'MASTER DATA'!C402)</f>
        <v>Claims Analyst J</v>
      </c>
      <c r="D11" t="str">
        <f>IF('MASTER DATA'!D402="","",'MASTER DATA'!D402)</f>
        <v>Synthetic Policyholder 108, LLC</v>
      </c>
      <c r="E11" s="15">
        <f>IF('MASTER DATA'!E402="","",'MASTER DATA'!E402)</f>
        <v>45991</v>
      </c>
      <c r="F11" s="16" t="str">
        <f>IF('MASTER DATA'!F402="","",'MASTER DATA'!F402)</f>
        <v>Y</v>
      </c>
      <c r="G11" s="17">
        <f>IF('MASTER DATA'!G402="","",'MASTER DATA'!G402)</f>
        <v>171000</v>
      </c>
      <c r="H11" s="16" t="str">
        <f>IF('MASTER DATA'!H402="","",'MASTER DATA'!H402)</f>
        <v>Synthetic Approver 07</v>
      </c>
      <c r="I11" s="15">
        <f>IF('MASTER DATA'!I402="","",'MASTER DATA'!I402)</f>
        <v>47183</v>
      </c>
      <c r="J11" s="16" t="str">
        <f>IF('MASTER DATA'!J402="","",'MASTER DATA'!J402)</f>
        <v>N</v>
      </c>
      <c r="K11" s="15" t="str">
        <f>IF('MASTER DATA'!K402="","",'MASTER DATA'!K402)</f>
        <v/>
      </c>
      <c r="L11" s="16" t="str">
        <f>IF('MASTER DATA'!L402="","",'MASTER DATA'!L402)</f>
        <v>Y</v>
      </c>
      <c r="M11" s="16" t="str">
        <f>IF('MASTER DATA'!M402="","",'MASTER DATA'!M402)</f>
        <v>N</v>
      </c>
      <c r="N11" s="15" t="str">
        <f>IF('MASTER DATA'!N402="","",'MASTER DATA'!N402)</f>
        <v/>
      </c>
      <c r="O11" s="16" t="str">
        <f>IF('MASTER DATA'!O402="","",'MASTER DATA'!O402)</f>
        <v/>
      </c>
      <c r="P11" s="16" t="str">
        <f>IF('MASTER DATA'!P402="","",'MASTER DATA'!P402)</f>
        <v>Y</v>
      </c>
      <c r="Q11" s="16" t="str">
        <f>IF('MASTER DATA'!Q402="","",'MASTER DATA'!Q402)</f>
        <v>Surgery Requested; Non-Renewed Account; Denied Treatment Requests</v>
      </c>
      <c r="R11" s="16" t="str">
        <f>IF('MASTER DATA'!R402="","",'MASTER DATA'!R402)</f>
        <v/>
      </c>
      <c r="S11" s="16" t="str">
        <f>IF('MASTER DATA'!S402="","",'MASTER DATA'!S402)</f>
        <v>N</v>
      </c>
      <c r="T11" s="15" t="str">
        <f>IF('MASTER DATA'!T402="","",'MASTER DATA'!T402)</f>
        <v/>
      </c>
      <c r="U11" s="16" t="str">
        <f>IF('MASTER DATA'!U402="","",'MASTER DATA'!U402)</f>
        <v>Y</v>
      </c>
      <c r="V11" s="16" t="str">
        <f>IF('MASTER DATA'!V402="","",'MASTER DATA'!V402)</f>
        <v>N</v>
      </c>
      <c r="W11" s="16" t="str">
        <f>IF('MASTER DATA'!W402="","",'MASTER DATA'!W402)</f>
        <v>Y</v>
      </c>
      <c r="X11" s="16" t="str">
        <f>IF('MASTER DATA'!X402="","",'MASTER DATA'!X402)</f>
        <v>N</v>
      </c>
      <c r="Y11" s="16" t="str">
        <f>IF('MASTER DATA'!Y402="","",'MASTER DATA'!Y402)</f>
        <v>Y</v>
      </c>
      <c r="Z11" s="16" t="str">
        <f>IF('MASTER DATA'!Z402="","",'MASTER DATA'!Z402)</f>
        <v>N</v>
      </c>
      <c r="AA11" s="16">
        <f>IF('MASTER DATA'!AA402="","",'MASTER DATA'!AA402)</f>
        <v>2</v>
      </c>
      <c r="AB11" s="16" t="str">
        <f>IF('MASTER DATA'!AB402="","",'MASTER DATA'!AB402)</f>
        <v>MULTI-SIGNAL</v>
      </c>
      <c r="AC11" s="16" t="str">
        <f>IF('MASTER DATA'!AC402="","",'MASTER DATA'!AC402)</f>
        <v>Settlement Authorization | Automated Claim Alert</v>
      </c>
    </row>
    <row r="12" spans="1:29" x14ac:dyDescent="0.45">
      <c r="A12" t="str">
        <f>IF('MASTER DATA'!A403="","",'MASTER DATA'!A403)</f>
        <v>SYN-CLM-0402</v>
      </c>
      <c r="B12" t="str">
        <f>IF('MASTER DATA'!B403="","",'MASTER DATA'!B403)</f>
        <v>Synthetic Claimant 0402</v>
      </c>
      <c r="C12" t="str">
        <f>IF('MASTER DATA'!C403="","",'MASTER DATA'!C403)</f>
        <v>Claims Analyst J</v>
      </c>
      <c r="D12" t="str">
        <f>IF('MASTER DATA'!D403="","",'MASTER DATA'!D403)</f>
        <v>Synthetic Policyholder 131, LLC</v>
      </c>
      <c r="E12" s="15">
        <f>IF('MASTER DATA'!E403="","",'MASTER DATA'!E403)</f>
        <v>45136</v>
      </c>
      <c r="F12" s="16" t="str">
        <f>IF('MASTER DATA'!F403="","",'MASTER DATA'!F403)</f>
        <v>Y</v>
      </c>
      <c r="G12" s="17">
        <f>IF('MASTER DATA'!G403="","",'MASTER DATA'!G403)</f>
        <v>51000</v>
      </c>
      <c r="H12" s="16" t="str">
        <f>IF('MASTER DATA'!H403="","",'MASTER DATA'!H403)</f>
        <v>Synthetic Approver 04</v>
      </c>
      <c r="I12" s="15">
        <f>IF('MASTER DATA'!I403="","",'MASTER DATA'!I403)</f>
        <v>46018</v>
      </c>
      <c r="J12" s="16" t="str">
        <f>IF('MASTER DATA'!J403="","",'MASTER DATA'!J403)</f>
        <v>Y</v>
      </c>
      <c r="K12" s="15">
        <f>IF('MASTER DATA'!K403="","",'MASTER DATA'!K403)</f>
        <v>45938</v>
      </c>
      <c r="L12" s="16" t="str">
        <f>IF('MASTER DATA'!L403="","",'MASTER DATA'!L403)</f>
        <v>Y</v>
      </c>
      <c r="M12" s="16" t="str">
        <f>IF('MASTER DATA'!M403="","",'MASTER DATA'!M403)</f>
        <v>N</v>
      </c>
      <c r="N12" s="15" t="str">
        <f>IF('MASTER DATA'!N403="","",'MASTER DATA'!N403)</f>
        <v/>
      </c>
      <c r="O12" s="16" t="str">
        <f>IF('MASTER DATA'!O403="","",'MASTER DATA'!O403)</f>
        <v/>
      </c>
      <c r="P12" s="16" t="str">
        <f>IF('MASTER DATA'!P403="","",'MASTER DATA'!P403)</f>
        <v>N</v>
      </c>
      <c r="Q12" s="16" t="str">
        <f>IF('MASTER DATA'!Q403="","",'MASTER DATA'!Q403)</f>
        <v/>
      </c>
      <c r="R12" s="16" t="str">
        <f>IF('MASTER DATA'!R403="","",'MASTER DATA'!R403)</f>
        <v/>
      </c>
      <c r="S12" s="16" t="str">
        <f>IF('MASTER DATA'!S403="","",'MASTER DATA'!S403)</f>
        <v>N</v>
      </c>
      <c r="T12" s="15" t="str">
        <f>IF('MASTER DATA'!T403="","",'MASTER DATA'!T403)</f>
        <v/>
      </c>
      <c r="U12" s="16" t="str">
        <f>IF('MASTER DATA'!U403="","",'MASTER DATA'!U403)</f>
        <v>N</v>
      </c>
      <c r="V12" s="16" t="str">
        <f>IF('MASTER DATA'!V403="","",'MASTER DATA'!V403)</f>
        <v>N</v>
      </c>
      <c r="W12" s="16" t="str">
        <f>IF('MASTER DATA'!W403="","",'MASTER DATA'!W403)</f>
        <v>N</v>
      </c>
      <c r="X12" s="16" t="str">
        <f>IF('MASTER DATA'!X403="","",'MASTER DATA'!X403)</f>
        <v>N</v>
      </c>
      <c r="Y12" s="16" t="str">
        <f>IF('MASTER DATA'!Y403="","",'MASTER DATA'!Y403)</f>
        <v>N</v>
      </c>
      <c r="Z12" s="16" t="str">
        <f>IF('MASTER DATA'!Z403="","",'MASTER DATA'!Z403)</f>
        <v>N</v>
      </c>
      <c r="AA12" s="16">
        <f>IF('MASTER DATA'!AA403="","",'MASTER DATA'!AA403)</f>
        <v>2</v>
      </c>
      <c r="AB12" s="16" t="str">
        <f>IF('MASTER DATA'!AB403="","",'MASTER DATA'!AB403)</f>
        <v>MULTI-SIGNAL</v>
      </c>
      <c r="AC12" s="16" t="str">
        <f>IF('MASTER DATA'!AC403="","",'MASTER DATA'!AC403)</f>
        <v>Settlement Authorization | Open Stipulation</v>
      </c>
    </row>
    <row r="13" spans="1:29" x14ac:dyDescent="0.45">
      <c r="A13" t="str">
        <f>IF('MASTER DATA'!A404="","",'MASTER DATA'!A404)</f>
        <v>SYN-CLM-0403</v>
      </c>
      <c r="B13" t="str">
        <f>IF('MASTER DATA'!B404="","",'MASTER DATA'!B404)</f>
        <v>Synthetic Claimant 0403</v>
      </c>
      <c r="C13" t="str">
        <f>IF('MASTER DATA'!C404="","",'MASTER DATA'!C404)</f>
        <v>Claims Analyst J</v>
      </c>
      <c r="D13" t="str">
        <f>IF('MASTER DATA'!D404="","",'MASTER DATA'!D404)</f>
        <v>Synthetic Policyholder 173, LLC</v>
      </c>
      <c r="E13" s="15">
        <f>IF('MASTER DATA'!E404="","",'MASTER DATA'!E404)</f>
        <v>44759</v>
      </c>
      <c r="F13" s="16" t="str">
        <f>IF('MASTER DATA'!F404="","",'MASTER DATA'!F404)</f>
        <v>N</v>
      </c>
      <c r="G13" s="17" t="str">
        <f>IF('MASTER DATA'!G404="","",'MASTER DATA'!G404)</f>
        <v/>
      </c>
      <c r="H13" s="16" t="str">
        <f>IF('MASTER DATA'!H404="","",'MASTER DATA'!H404)</f>
        <v/>
      </c>
      <c r="I13" s="15" t="str">
        <f>IF('MASTER DATA'!I404="","",'MASTER DATA'!I404)</f>
        <v/>
      </c>
      <c r="J13" s="16" t="str">
        <f>IF('MASTER DATA'!J404="","",'MASTER DATA'!J404)</f>
        <v>N</v>
      </c>
      <c r="K13" s="15" t="str">
        <f>IF('MASTER DATA'!K404="","",'MASTER DATA'!K404)</f>
        <v/>
      </c>
      <c r="L13" s="16" t="str">
        <f>IF('MASTER DATA'!L404="","",'MASTER DATA'!L404)</f>
        <v/>
      </c>
      <c r="M13" s="16" t="str">
        <f>IF('MASTER DATA'!M404="","",'MASTER DATA'!M404)</f>
        <v>N</v>
      </c>
      <c r="N13" s="15" t="str">
        <f>IF('MASTER DATA'!N404="","",'MASTER DATA'!N404)</f>
        <v/>
      </c>
      <c r="O13" s="16" t="str">
        <f>IF('MASTER DATA'!O404="","",'MASTER DATA'!O404)</f>
        <v/>
      </c>
      <c r="P13" s="16" t="str">
        <f>IF('MASTER DATA'!P404="","",'MASTER DATA'!P404)</f>
        <v>N</v>
      </c>
      <c r="Q13" s="16" t="str">
        <f>IF('MASTER DATA'!Q404="","",'MASTER DATA'!Q404)</f>
        <v/>
      </c>
      <c r="R13" s="16" t="str">
        <f>IF('MASTER DATA'!R404="","",'MASTER DATA'!R404)</f>
        <v/>
      </c>
      <c r="S13" s="16" t="str">
        <f>IF('MASTER DATA'!S404="","",'MASTER DATA'!S404)</f>
        <v>Y</v>
      </c>
      <c r="T13" s="15">
        <f>IF('MASTER DATA'!T404="","",'MASTER DATA'!T404)</f>
        <v>45534</v>
      </c>
      <c r="U13" s="16" t="str">
        <f>IF('MASTER DATA'!U404="","",'MASTER DATA'!U404)</f>
        <v>N</v>
      </c>
      <c r="V13" s="16" t="str">
        <f>IF('MASTER DATA'!V404="","",'MASTER DATA'!V404)</f>
        <v>N</v>
      </c>
      <c r="W13" s="16" t="str">
        <f>IF('MASTER DATA'!W404="","",'MASTER DATA'!W404)</f>
        <v>N</v>
      </c>
      <c r="X13" s="16" t="str">
        <f>IF('MASTER DATA'!X404="","",'MASTER DATA'!X404)</f>
        <v>N</v>
      </c>
      <c r="Y13" s="16" t="str">
        <f>IF('MASTER DATA'!Y404="","",'MASTER DATA'!Y404)</f>
        <v>N</v>
      </c>
      <c r="Z13" s="16" t="str">
        <f>IF('MASTER DATA'!Z404="","",'MASTER DATA'!Z404)</f>
        <v>N</v>
      </c>
      <c r="AA13" s="16">
        <f>IF('MASTER DATA'!AA404="","",'MASTER DATA'!AA404)</f>
        <v>1</v>
      </c>
      <c r="AB13" s="16" t="str">
        <f>IF('MASTER DATA'!AB404="","",'MASTER DATA'!AB404)</f>
        <v>SINGLE-SIGNAL</v>
      </c>
      <c r="AC13" s="16" t="str">
        <f>IF('MASTER DATA'!AC404="","",'MASTER DATA'!AC404)</f>
        <v>Inactive Customer</v>
      </c>
    </row>
    <row r="14" spans="1:29" x14ac:dyDescent="0.45">
      <c r="A14" t="str">
        <f>IF('MASTER DATA'!A405="","",'MASTER DATA'!A405)</f>
        <v>SYN-CLM-0404</v>
      </c>
      <c r="B14" t="str">
        <f>IF('MASTER DATA'!B405="","",'MASTER DATA'!B405)</f>
        <v>Synthetic Claimant 0404</v>
      </c>
      <c r="C14" t="str">
        <f>IF('MASTER DATA'!C405="","",'MASTER DATA'!C405)</f>
        <v>Claims Analyst J</v>
      </c>
      <c r="D14" t="str">
        <f>IF('MASTER DATA'!D405="","",'MASTER DATA'!D405)</f>
        <v>Synthetic Policyholder 113, LLC</v>
      </c>
      <c r="E14" s="15">
        <f>IF('MASTER DATA'!E405="","",'MASTER DATA'!E405)</f>
        <v>44748</v>
      </c>
      <c r="F14" s="16" t="str">
        <f>IF('MASTER DATA'!F405="","",'MASTER DATA'!F405)</f>
        <v>N</v>
      </c>
      <c r="G14" s="17" t="str">
        <f>IF('MASTER DATA'!G405="","",'MASTER DATA'!G405)</f>
        <v/>
      </c>
      <c r="H14" s="16" t="str">
        <f>IF('MASTER DATA'!H405="","",'MASTER DATA'!H405)</f>
        <v/>
      </c>
      <c r="I14" s="15" t="str">
        <f>IF('MASTER DATA'!I405="","",'MASTER DATA'!I405)</f>
        <v/>
      </c>
      <c r="J14" s="16" t="str">
        <f>IF('MASTER DATA'!J405="","",'MASTER DATA'!J405)</f>
        <v>N</v>
      </c>
      <c r="K14" s="15" t="str">
        <f>IF('MASTER DATA'!K405="","",'MASTER DATA'!K405)</f>
        <v/>
      </c>
      <c r="L14" s="16" t="str">
        <f>IF('MASTER DATA'!L405="","",'MASTER DATA'!L405)</f>
        <v/>
      </c>
      <c r="M14" s="16" t="str">
        <f>IF('MASTER DATA'!M405="","",'MASTER DATA'!M405)</f>
        <v>Y</v>
      </c>
      <c r="N14" s="15">
        <f>IF('MASTER DATA'!N405="","",'MASTER DATA'!N405)</f>
        <v>45617</v>
      </c>
      <c r="O14" s="16" t="str">
        <f>IF('MASTER DATA'!O405="","",'MASTER DATA'!O405)</f>
        <v>Synthetic QME Evaluator 35</v>
      </c>
      <c r="P14" s="16" t="str">
        <f>IF('MASTER DATA'!P405="","",'MASTER DATA'!P405)</f>
        <v>Y</v>
      </c>
      <c r="Q14" s="16" t="str">
        <f>IF('MASTER DATA'!Q405="","",'MASTER DATA'!Q405)</f>
        <v>MSA Eligible in Next 3 Years</v>
      </c>
      <c r="R14" s="16" t="str">
        <f>IF('MASTER DATA'!R405="","",'MASTER DATA'!R405)</f>
        <v>Denied Treatment Requests; MMI Date Reported</v>
      </c>
      <c r="S14" s="16" t="str">
        <f>IF('MASTER DATA'!S405="","",'MASTER DATA'!S405)</f>
        <v>N</v>
      </c>
      <c r="T14" s="15" t="str">
        <f>IF('MASTER DATA'!T405="","",'MASTER DATA'!T405)</f>
        <v/>
      </c>
      <c r="U14" s="16" t="str">
        <f>IF('MASTER DATA'!U405="","",'MASTER DATA'!U405)</f>
        <v>N</v>
      </c>
      <c r="V14" s="16" t="str">
        <f>IF('MASTER DATA'!V405="","",'MASTER DATA'!V405)</f>
        <v>Y</v>
      </c>
      <c r="W14" s="16" t="str">
        <f>IF('MASTER DATA'!W405="","",'MASTER DATA'!W405)</f>
        <v>Y</v>
      </c>
      <c r="X14" s="16" t="str">
        <f>IF('MASTER DATA'!X405="","",'MASTER DATA'!X405)</f>
        <v>N</v>
      </c>
      <c r="Y14" s="16" t="str">
        <f>IF('MASTER DATA'!Y405="","",'MASTER DATA'!Y405)</f>
        <v>N</v>
      </c>
      <c r="Z14" s="16" t="str">
        <f>IF('MASTER DATA'!Z405="","",'MASTER DATA'!Z405)</f>
        <v>Y</v>
      </c>
      <c r="AA14" s="16">
        <f>IF('MASTER DATA'!AA405="","",'MASTER DATA'!AA405)</f>
        <v>2</v>
      </c>
      <c r="AB14" s="16" t="str">
        <f>IF('MASTER DATA'!AB405="","",'MASTER DATA'!AB405)</f>
        <v>MULTI-SIGNAL</v>
      </c>
      <c r="AC14" s="16" t="str">
        <f>IF('MASTER DATA'!AC405="","",'MASTER DATA'!AC405)</f>
        <v>Pending QME | Automated Claim Alert</v>
      </c>
    </row>
    <row r="15" spans="1:29" x14ac:dyDescent="0.45">
      <c r="A15" t="str">
        <f>IF('MASTER DATA'!A406="","",'MASTER DATA'!A406)</f>
        <v>SYN-CLM-0405</v>
      </c>
      <c r="B15" t="str">
        <f>IF('MASTER DATA'!B406="","",'MASTER DATA'!B406)</f>
        <v>Synthetic Claimant 0405</v>
      </c>
      <c r="C15" t="str">
        <f>IF('MASTER DATA'!C406="","",'MASTER DATA'!C406)</f>
        <v>Claims Analyst J</v>
      </c>
      <c r="D15" t="str">
        <f>IF('MASTER DATA'!D406="","",'MASTER DATA'!D406)</f>
        <v>Synthetic Policyholder 095, LLC</v>
      </c>
      <c r="E15" s="15">
        <f>IF('MASTER DATA'!E406="","",'MASTER DATA'!E406)</f>
        <v>44149</v>
      </c>
      <c r="F15" s="16" t="str">
        <f>IF('MASTER DATA'!F406="","",'MASTER DATA'!F406)</f>
        <v>Y</v>
      </c>
      <c r="G15" s="17">
        <f>IF('MASTER DATA'!G406="","",'MASTER DATA'!G406)</f>
        <v>36250</v>
      </c>
      <c r="H15" s="16" t="str">
        <f>IF('MASTER DATA'!H406="","",'MASTER DATA'!H406)</f>
        <v>Synthetic Approver 09</v>
      </c>
      <c r="I15" s="15">
        <f>IF('MASTER DATA'!I406="","",'MASTER DATA'!I406)</f>
        <v>45088</v>
      </c>
      <c r="J15" s="16" t="str">
        <f>IF('MASTER DATA'!J406="","",'MASTER DATA'!J406)</f>
        <v>N</v>
      </c>
      <c r="K15" s="15" t="str">
        <f>IF('MASTER DATA'!K406="","",'MASTER DATA'!K406)</f>
        <v/>
      </c>
      <c r="L15" s="16" t="str">
        <f>IF('MASTER DATA'!L406="","",'MASTER DATA'!L406)</f>
        <v>N</v>
      </c>
      <c r="M15" s="16" t="str">
        <f>IF('MASTER DATA'!M406="","",'MASTER DATA'!M406)</f>
        <v>N</v>
      </c>
      <c r="N15" s="15" t="str">
        <f>IF('MASTER DATA'!N406="","",'MASTER DATA'!N406)</f>
        <v/>
      </c>
      <c r="O15" s="16" t="str">
        <f>IF('MASTER DATA'!O406="","",'MASTER DATA'!O406)</f>
        <v/>
      </c>
      <c r="P15" s="16" t="str">
        <f>IF('MASTER DATA'!P406="","",'MASTER DATA'!P406)</f>
        <v>Y</v>
      </c>
      <c r="Q15" s="16" t="str">
        <f>IF('MASTER DATA'!Q406="","",'MASTER DATA'!Q406)</f>
        <v>MSA Eligible in Next 3 Years; Denied Treatment Requests; Specialist Consultation Requested</v>
      </c>
      <c r="R15" s="16" t="str">
        <f>IF('MASTER DATA'!R406="","",'MASTER DATA'!R406)</f>
        <v/>
      </c>
      <c r="S15" s="16" t="str">
        <f>IF('MASTER DATA'!S406="","",'MASTER DATA'!S406)</f>
        <v>N</v>
      </c>
      <c r="T15" s="15" t="str">
        <f>IF('MASTER DATA'!T406="","",'MASTER DATA'!T406)</f>
        <v/>
      </c>
      <c r="U15" s="16" t="str">
        <f>IF('MASTER DATA'!U406="","",'MASTER DATA'!U406)</f>
        <v>N</v>
      </c>
      <c r="V15" s="16" t="str">
        <f>IF('MASTER DATA'!V406="","",'MASTER DATA'!V406)</f>
        <v>N</v>
      </c>
      <c r="W15" s="16" t="str">
        <f>IF('MASTER DATA'!W406="","",'MASTER DATA'!W406)</f>
        <v>Y</v>
      </c>
      <c r="X15" s="16" t="str">
        <f>IF('MASTER DATA'!X406="","",'MASTER DATA'!X406)</f>
        <v>Y</v>
      </c>
      <c r="Y15" s="16" t="str">
        <f>IF('MASTER DATA'!Y406="","",'MASTER DATA'!Y406)</f>
        <v>N</v>
      </c>
      <c r="Z15" s="16" t="str">
        <f>IF('MASTER DATA'!Z406="","",'MASTER DATA'!Z406)</f>
        <v>Y</v>
      </c>
      <c r="AA15" s="16">
        <f>IF('MASTER DATA'!AA406="","",'MASTER DATA'!AA406)</f>
        <v>2</v>
      </c>
      <c r="AB15" s="16" t="str">
        <f>IF('MASTER DATA'!AB406="","",'MASTER DATA'!AB406)</f>
        <v>MULTI-SIGNAL</v>
      </c>
      <c r="AC15" s="16" t="str">
        <f>IF('MASTER DATA'!AC406="","",'MASTER DATA'!AC406)</f>
        <v>Settlement Authorization | Automated Claim Alert</v>
      </c>
    </row>
    <row r="16" spans="1:29" x14ac:dyDescent="0.45">
      <c r="A16" t="str">
        <f>IF('MASTER DATA'!A407="","",'MASTER DATA'!A407)</f>
        <v>SYN-CLM-0406</v>
      </c>
      <c r="B16" t="str">
        <f>IF('MASTER DATA'!B407="","",'MASTER DATA'!B407)</f>
        <v>Synthetic Claimant 0406</v>
      </c>
      <c r="C16" t="str">
        <f>IF('MASTER DATA'!C407="","",'MASTER DATA'!C407)</f>
        <v>Claims Analyst J</v>
      </c>
      <c r="D16" t="str">
        <f>IF('MASTER DATA'!D407="","",'MASTER DATA'!D407)</f>
        <v>Synthetic Policyholder 052, LLC</v>
      </c>
      <c r="E16" s="15">
        <f>IF('MASTER DATA'!E407="","",'MASTER DATA'!E407)</f>
        <v>45982</v>
      </c>
      <c r="F16" s="16" t="str">
        <f>IF('MASTER DATA'!F407="","",'MASTER DATA'!F407)</f>
        <v>Y</v>
      </c>
      <c r="G16" s="17">
        <f>IF('MASTER DATA'!G407="","",'MASTER DATA'!G407)</f>
        <v>39500</v>
      </c>
      <c r="H16" s="16" t="str">
        <f>IF('MASTER DATA'!H407="","",'MASTER DATA'!H407)</f>
        <v>Synthetic Approver 01</v>
      </c>
      <c r="I16" s="15">
        <f>IF('MASTER DATA'!I407="","",'MASTER DATA'!I407)</f>
        <v>46378</v>
      </c>
      <c r="J16" s="16" t="str">
        <f>IF('MASTER DATA'!J407="","",'MASTER DATA'!J407)</f>
        <v>N</v>
      </c>
      <c r="K16" s="15" t="str">
        <f>IF('MASTER DATA'!K407="","",'MASTER DATA'!K407)</f>
        <v/>
      </c>
      <c r="L16" s="16" t="str">
        <f>IF('MASTER DATA'!L407="","",'MASTER DATA'!L407)</f>
        <v>N</v>
      </c>
      <c r="M16" s="16" t="str">
        <f>IF('MASTER DATA'!M407="","",'MASTER DATA'!M407)</f>
        <v>N</v>
      </c>
      <c r="N16" s="15" t="str">
        <f>IF('MASTER DATA'!N407="","",'MASTER DATA'!N407)</f>
        <v/>
      </c>
      <c r="O16" s="16" t="str">
        <f>IF('MASTER DATA'!O407="","",'MASTER DATA'!O407)</f>
        <v/>
      </c>
      <c r="P16" s="16" t="str">
        <f>IF('MASTER DATA'!P407="","",'MASTER DATA'!P407)</f>
        <v>Y</v>
      </c>
      <c r="Q16" s="16" t="str">
        <f>IF('MASTER DATA'!Q407="","",'MASTER DATA'!Q407)</f>
        <v>Surgery Requested; Non-Renewed Account; Specialist Consultation Requested</v>
      </c>
      <c r="R16" s="16" t="str">
        <f>IF('MASTER DATA'!R407="","",'MASTER DATA'!R407)</f>
        <v/>
      </c>
      <c r="S16" s="16" t="str">
        <f>IF('MASTER DATA'!S407="","",'MASTER DATA'!S407)</f>
        <v>N</v>
      </c>
      <c r="T16" s="15" t="str">
        <f>IF('MASTER DATA'!T407="","",'MASTER DATA'!T407)</f>
        <v/>
      </c>
      <c r="U16" s="16" t="str">
        <f>IF('MASTER DATA'!U407="","",'MASTER DATA'!U407)</f>
        <v>Y</v>
      </c>
      <c r="V16" s="16" t="str">
        <f>IF('MASTER DATA'!V407="","",'MASTER DATA'!V407)</f>
        <v>N</v>
      </c>
      <c r="W16" s="16" t="str">
        <f>IF('MASTER DATA'!W407="","",'MASTER DATA'!W407)</f>
        <v>N</v>
      </c>
      <c r="X16" s="16" t="str">
        <f>IF('MASTER DATA'!X407="","",'MASTER DATA'!X407)</f>
        <v>Y</v>
      </c>
      <c r="Y16" s="16" t="str">
        <f>IF('MASTER DATA'!Y407="","",'MASTER DATA'!Y407)</f>
        <v>Y</v>
      </c>
      <c r="Z16" s="16" t="str">
        <f>IF('MASTER DATA'!Z407="","",'MASTER DATA'!Z407)</f>
        <v>N</v>
      </c>
      <c r="AA16" s="16">
        <f>IF('MASTER DATA'!AA407="","",'MASTER DATA'!AA407)</f>
        <v>2</v>
      </c>
      <c r="AB16" s="16" t="str">
        <f>IF('MASTER DATA'!AB407="","",'MASTER DATA'!AB407)</f>
        <v>MULTI-SIGNAL</v>
      </c>
      <c r="AC16" s="16" t="str">
        <f>IF('MASTER DATA'!AC407="","",'MASTER DATA'!AC407)</f>
        <v>Settlement Authorization | Automated Claim Alert</v>
      </c>
    </row>
    <row r="17" spans="1:29" x14ac:dyDescent="0.45">
      <c r="A17" t="str">
        <f>IF('MASTER DATA'!A408="","",'MASTER DATA'!A408)</f>
        <v>SYN-CLM-0407</v>
      </c>
      <c r="B17" t="str">
        <f>IF('MASTER DATA'!B408="","",'MASTER DATA'!B408)</f>
        <v>Synthetic Claimant 0407</v>
      </c>
      <c r="C17" t="str">
        <f>IF('MASTER DATA'!C408="","",'MASTER DATA'!C408)</f>
        <v>Claims Analyst J</v>
      </c>
      <c r="D17" t="str">
        <f>IF('MASTER DATA'!D408="","",'MASTER DATA'!D408)</f>
        <v>Synthetic Policyholder 005, LLC</v>
      </c>
      <c r="E17" s="15">
        <f>IF('MASTER DATA'!E408="","",'MASTER DATA'!E408)</f>
        <v>45107</v>
      </c>
      <c r="F17" s="16" t="str">
        <f>IF('MASTER DATA'!F408="","",'MASTER DATA'!F408)</f>
        <v>Y</v>
      </c>
      <c r="G17" s="17">
        <f>IF('MASTER DATA'!G408="","",'MASTER DATA'!G408)</f>
        <v>107500</v>
      </c>
      <c r="H17" s="16" t="str">
        <f>IF('MASTER DATA'!H408="","",'MASTER DATA'!H408)</f>
        <v>Synthetic Approver 01</v>
      </c>
      <c r="I17" s="15">
        <f>IF('MASTER DATA'!I408="","",'MASTER DATA'!I408)</f>
        <v>46010</v>
      </c>
      <c r="J17" s="16" t="str">
        <f>IF('MASTER DATA'!J408="","",'MASTER DATA'!J408)</f>
        <v>N</v>
      </c>
      <c r="K17" s="15" t="str">
        <f>IF('MASTER DATA'!K408="","",'MASTER DATA'!K408)</f>
        <v/>
      </c>
      <c r="L17" s="16" t="str">
        <f>IF('MASTER DATA'!L408="","",'MASTER DATA'!L408)</f>
        <v>Y</v>
      </c>
      <c r="M17" s="16" t="str">
        <f>IF('MASTER DATA'!M408="","",'MASTER DATA'!M408)</f>
        <v>N</v>
      </c>
      <c r="N17" s="15" t="str">
        <f>IF('MASTER DATA'!N408="","",'MASTER DATA'!N408)</f>
        <v/>
      </c>
      <c r="O17" s="16" t="str">
        <f>IF('MASTER DATA'!O408="","",'MASTER DATA'!O408)</f>
        <v/>
      </c>
      <c r="P17" s="16" t="str">
        <f>IF('MASTER DATA'!P408="","",'MASTER DATA'!P408)</f>
        <v>N</v>
      </c>
      <c r="Q17" s="16" t="str">
        <f>IF('MASTER DATA'!Q408="","",'MASTER DATA'!Q408)</f>
        <v/>
      </c>
      <c r="R17" s="16" t="str">
        <f>IF('MASTER DATA'!R408="","",'MASTER DATA'!R408)</f>
        <v/>
      </c>
      <c r="S17" s="16" t="str">
        <f>IF('MASTER DATA'!S408="","",'MASTER DATA'!S408)</f>
        <v>Y</v>
      </c>
      <c r="T17" s="15">
        <f>IF('MASTER DATA'!T408="","",'MASTER DATA'!T408)</f>
        <v>47047</v>
      </c>
      <c r="U17" s="16" t="str">
        <f>IF('MASTER DATA'!U408="","",'MASTER DATA'!U408)</f>
        <v>N</v>
      </c>
      <c r="V17" s="16" t="str">
        <f>IF('MASTER DATA'!V408="","",'MASTER DATA'!V408)</f>
        <v>N</v>
      </c>
      <c r="W17" s="16" t="str">
        <f>IF('MASTER DATA'!W408="","",'MASTER DATA'!W408)</f>
        <v>N</v>
      </c>
      <c r="X17" s="16" t="str">
        <f>IF('MASTER DATA'!X408="","",'MASTER DATA'!X408)</f>
        <v>N</v>
      </c>
      <c r="Y17" s="16" t="str">
        <f>IF('MASTER DATA'!Y408="","",'MASTER DATA'!Y408)</f>
        <v>N</v>
      </c>
      <c r="Z17" s="16" t="str">
        <f>IF('MASTER DATA'!Z408="","",'MASTER DATA'!Z408)</f>
        <v>N</v>
      </c>
      <c r="AA17" s="16">
        <f>IF('MASTER DATA'!AA408="","",'MASTER DATA'!AA408)</f>
        <v>2</v>
      </c>
      <c r="AB17" s="16" t="str">
        <f>IF('MASTER DATA'!AB408="","",'MASTER DATA'!AB408)</f>
        <v>MULTI-SIGNAL</v>
      </c>
      <c r="AC17" s="16" t="str">
        <f>IF('MASTER DATA'!AC408="","",'MASTER DATA'!AC408)</f>
        <v>Settlement Authorization | Inactive Customer</v>
      </c>
    </row>
    <row r="18" spans="1:29" x14ac:dyDescent="0.45">
      <c r="A18" t="str">
        <f>IF('MASTER DATA'!A409="","",'MASTER DATA'!A409)</f>
        <v>SYN-CLM-0408</v>
      </c>
      <c r="B18" t="str">
        <f>IF('MASTER DATA'!B409="","",'MASTER DATA'!B409)</f>
        <v>Synthetic Claimant 0408</v>
      </c>
      <c r="C18" t="str">
        <f>IF('MASTER DATA'!C409="","",'MASTER DATA'!C409)</f>
        <v>Claims Analyst J</v>
      </c>
      <c r="D18" t="str">
        <f>IF('MASTER DATA'!D409="","",'MASTER DATA'!D409)</f>
        <v>Synthetic Policyholder 113, LLC</v>
      </c>
      <c r="E18" s="15">
        <f>IF('MASTER DATA'!E409="","",'MASTER DATA'!E409)</f>
        <v>44311</v>
      </c>
      <c r="F18" s="16" t="str">
        <f>IF('MASTER DATA'!F409="","",'MASTER DATA'!F409)</f>
        <v>N</v>
      </c>
      <c r="G18" s="17" t="str">
        <f>IF('MASTER DATA'!G409="","",'MASTER DATA'!G409)</f>
        <v/>
      </c>
      <c r="H18" s="16" t="str">
        <f>IF('MASTER DATA'!H409="","",'MASTER DATA'!H409)</f>
        <v/>
      </c>
      <c r="I18" s="15" t="str">
        <f>IF('MASTER DATA'!I409="","",'MASTER DATA'!I409)</f>
        <v/>
      </c>
      <c r="J18" s="16" t="str">
        <f>IF('MASTER DATA'!J409="","",'MASTER DATA'!J409)</f>
        <v>Y</v>
      </c>
      <c r="K18" s="15">
        <f>IF('MASTER DATA'!K409="","",'MASTER DATA'!K409)</f>
        <v>45081</v>
      </c>
      <c r="L18" s="16" t="str">
        <f>IF('MASTER DATA'!L409="","",'MASTER DATA'!L409)</f>
        <v>N</v>
      </c>
      <c r="M18" s="16" t="str">
        <f>IF('MASTER DATA'!M409="","",'MASTER DATA'!M409)</f>
        <v>N</v>
      </c>
      <c r="N18" s="15" t="str">
        <f>IF('MASTER DATA'!N409="","",'MASTER DATA'!N409)</f>
        <v/>
      </c>
      <c r="O18" s="16" t="str">
        <f>IF('MASTER DATA'!O409="","",'MASTER DATA'!O409)</f>
        <v/>
      </c>
      <c r="P18" s="16" t="str">
        <f>IF('MASTER DATA'!P409="","",'MASTER DATA'!P409)</f>
        <v>N</v>
      </c>
      <c r="Q18" s="16" t="str">
        <f>IF('MASTER DATA'!Q409="","",'MASTER DATA'!Q409)</f>
        <v/>
      </c>
      <c r="R18" s="16" t="str">
        <f>IF('MASTER DATA'!R409="","",'MASTER DATA'!R409)</f>
        <v/>
      </c>
      <c r="S18" s="16" t="str">
        <f>IF('MASTER DATA'!S409="","",'MASTER DATA'!S409)</f>
        <v>N</v>
      </c>
      <c r="T18" s="15" t="str">
        <f>IF('MASTER DATA'!T409="","",'MASTER DATA'!T409)</f>
        <v/>
      </c>
      <c r="U18" s="16" t="str">
        <f>IF('MASTER DATA'!U409="","",'MASTER DATA'!U409)</f>
        <v>N</v>
      </c>
      <c r="V18" s="16" t="str">
        <f>IF('MASTER DATA'!V409="","",'MASTER DATA'!V409)</f>
        <v>N</v>
      </c>
      <c r="W18" s="16" t="str">
        <f>IF('MASTER DATA'!W409="","",'MASTER DATA'!W409)</f>
        <v>N</v>
      </c>
      <c r="X18" s="16" t="str">
        <f>IF('MASTER DATA'!X409="","",'MASTER DATA'!X409)</f>
        <v>N</v>
      </c>
      <c r="Y18" s="16" t="str">
        <f>IF('MASTER DATA'!Y409="","",'MASTER DATA'!Y409)</f>
        <v>N</v>
      </c>
      <c r="Z18" s="16" t="str">
        <f>IF('MASTER DATA'!Z409="","",'MASTER DATA'!Z409)</f>
        <v>N</v>
      </c>
      <c r="AA18" s="16">
        <f>IF('MASTER DATA'!AA409="","",'MASTER DATA'!AA409)</f>
        <v>1</v>
      </c>
      <c r="AB18" s="16" t="str">
        <f>IF('MASTER DATA'!AB409="","",'MASTER DATA'!AB409)</f>
        <v>SINGLE-SIGNAL</v>
      </c>
      <c r="AC18" s="16" t="str">
        <f>IF('MASTER DATA'!AC409="","",'MASTER DATA'!AC409)</f>
        <v>Open Stipulation</v>
      </c>
    </row>
    <row r="19" spans="1:29" x14ac:dyDescent="0.45">
      <c r="A19" t="str">
        <f>IF('MASTER DATA'!A410="","",'MASTER DATA'!A410)</f>
        <v>SYN-CLM-0409</v>
      </c>
      <c r="B19" t="str">
        <f>IF('MASTER DATA'!B410="","",'MASTER DATA'!B410)</f>
        <v>Synthetic Claimant 0409</v>
      </c>
      <c r="C19" t="str">
        <f>IF('MASTER DATA'!C410="","",'MASTER DATA'!C410)</f>
        <v>Claims Analyst J</v>
      </c>
      <c r="D19" t="str">
        <f>IF('MASTER DATA'!D410="","",'MASTER DATA'!D410)</f>
        <v>Synthetic Policyholder 158, LLC</v>
      </c>
      <c r="E19" s="15">
        <f>IF('MASTER DATA'!E410="","",'MASTER DATA'!E410)</f>
        <v>43154</v>
      </c>
      <c r="F19" s="16" t="str">
        <f>IF('MASTER DATA'!F410="","",'MASTER DATA'!F410)</f>
        <v>Y</v>
      </c>
      <c r="G19" s="17">
        <f>IF('MASTER DATA'!G410="","",'MASTER DATA'!G410)</f>
        <v>141750</v>
      </c>
      <c r="H19" s="16" t="str">
        <f>IF('MASTER DATA'!H410="","",'MASTER DATA'!H410)</f>
        <v>Synthetic Approver 08</v>
      </c>
      <c r="I19" s="15">
        <f>IF('MASTER DATA'!I410="","",'MASTER DATA'!I410)</f>
        <v>43702</v>
      </c>
      <c r="J19" s="16" t="str">
        <f>IF('MASTER DATA'!J410="","",'MASTER DATA'!J410)</f>
        <v>N</v>
      </c>
      <c r="K19" s="15" t="str">
        <f>IF('MASTER DATA'!K410="","",'MASTER DATA'!K410)</f>
        <v/>
      </c>
      <c r="L19" s="16" t="str">
        <f>IF('MASTER DATA'!L410="","",'MASTER DATA'!L410)</f>
        <v>N</v>
      </c>
      <c r="M19" s="16" t="str">
        <f>IF('MASTER DATA'!M410="","",'MASTER DATA'!M410)</f>
        <v>N</v>
      </c>
      <c r="N19" s="15" t="str">
        <f>IF('MASTER DATA'!N410="","",'MASTER DATA'!N410)</f>
        <v/>
      </c>
      <c r="O19" s="16" t="str">
        <f>IF('MASTER DATA'!O410="","",'MASTER DATA'!O410)</f>
        <v/>
      </c>
      <c r="P19" s="16" t="str">
        <f>IF('MASTER DATA'!P410="","",'MASTER DATA'!P410)</f>
        <v>N</v>
      </c>
      <c r="Q19" s="16" t="str">
        <f>IF('MASTER DATA'!Q410="","",'MASTER DATA'!Q410)</f>
        <v/>
      </c>
      <c r="R19" s="16" t="str">
        <f>IF('MASTER DATA'!R410="","",'MASTER DATA'!R410)</f>
        <v/>
      </c>
      <c r="S19" s="16" t="str">
        <f>IF('MASTER DATA'!S410="","",'MASTER DATA'!S410)</f>
        <v>N</v>
      </c>
      <c r="T19" s="15" t="str">
        <f>IF('MASTER DATA'!T410="","",'MASTER DATA'!T410)</f>
        <v/>
      </c>
      <c r="U19" s="16" t="str">
        <f>IF('MASTER DATA'!U410="","",'MASTER DATA'!U410)</f>
        <v>N</v>
      </c>
      <c r="V19" s="16" t="str">
        <f>IF('MASTER DATA'!V410="","",'MASTER DATA'!V410)</f>
        <v>N</v>
      </c>
      <c r="W19" s="16" t="str">
        <f>IF('MASTER DATA'!W410="","",'MASTER DATA'!W410)</f>
        <v>N</v>
      </c>
      <c r="X19" s="16" t="str">
        <f>IF('MASTER DATA'!X410="","",'MASTER DATA'!X410)</f>
        <v>N</v>
      </c>
      <c r="Y19" s="16" t="str">
        <f>IF('MASTER DATA'!Y410="","",'MASTER DATA'!Y410)</f>
        <v>N</v>
      </c>
      <c r="Z19" s="16" t="str">
        <f>IF('MASTER DATA'!Z410="","",'MASTER DATA'!Z410)</f>
        <v>N</v>
      </c>
      <c r="AA19" s="16">
        <f>IF('MASTER DATA'!AA410="","",'MASTER DATA'!AA410)</f>
        <v>1</v>
      </c>
      <c r="AB19" s="16" t="str">
        <f>IF('MASTER DATA'!AB410="","",'MASTER DATA'!AB410)</f>
        <v>SINGLE-SIGNAL</v>
      </c>
      <c r="AC19" s="16" t="str">
        <f>IF('MASTER DATA'!AC410="","",'MASTER DATA'!AC410)</f>
        <v>Settlement Authorization</v>
      </c>
    </row>
    <row r="20" spans="1:29" x14ac:dyDescent="0.45">
      <c r="A20" t="str">
        <f>IF('MASTER DATA'!A411="","",'MASTER DATA'!A411)</f>
        <v>SYN-CLM-0410</v>
      </c>
      <c r="B20" t="str">
        <f>IF('MASTER DATA'!B411="","",'MASTER DATA'!B411)</f>
        <v>Synthetic Claimant 0410</v>
      </c>
      <c r="C20" t="str">
        <f>IF('MASTER DATA'!C411="","",'MASTER DATA'!C411)</f>
        <v>Claims Analyst J</v>
      </c>
      <c r="D20" t="str">
        <f>IF('MASTER DATA'!D411="","",'MASTER DATA'!D411)</f>
        <v>Synthetic Policyholder 109, LLC</v>
      </c>
      <c r="E20" s="15">
        <f>IF('MASTER DATA'!E411="","",'MASTER DATA'!E411)</f>
        <v>45649</v>
      </c>
      <c r="F20" s="16" t="str">
        <f>IF('MASTER DATA'!F411="","",'MASTER DATA'!F411)</f>
        <v>Y</v>
      </c>
      <c r="G20" s="17">
        <f>IF('MASTER DATA'!G411="","",'MASTER DATA'!G411)</f>
        <v>81500</v>
      </c>
      <c r="H20" s="16" t="str">
        <f>IF('MASTER DATA'!H411="","",'MASTER DATA'!H411)</f>
        <v>Synthetic Approver 02</v>
      </c>
      <c r="I20" s="15">
        <f>IF('MASTER DATA'!I411="","",'MASTER DATA'!I411)</f>
        <v>46601</v>
      </c>
      <c r="J20" s="16" t="str">
        <f>IF('MASTER DATA'!J411="","",'MASTER DATA'!J411)</f>
        <v>N</v>
      </c>
      <c r="K20" s="15" t="str">
        <f>IF('MASTER DATA'!K411="","",'MASTER DATA'!K411)</f>
        <v/>
      </c>
      <c r="L20" s="16" t="str">
        <f>IF('MASTER DATA'!L411="","",'MASTER DATA'!L411)</f>
        <v>N</v>
      </c>
      <c r="M20" s="16" t="str">
        <f>IF('MASTER DATA'!M411="","",'MASTER DATA'!M411)</f>
        <v>N</v>
      </c>
      <c r="N20" s="15" t="str">
        <f>IF('MASTER DATA'!N411="","",'MASTER DATA'!N411)</f>
        <v/>
      </c>
      <c r="O20" s="16" t="str">
        <f>IF('MASTER DATA'!O411="","",'MASTER DATA'!O411)</f>
        <v/>
      </c>
      <c r="P20" s="16" t="str">
        <f>IF('MASTER DATA'!P411="","",'MASTER DATA'!P411)</f>
        <v>N</v>
      </c>
      <c r="Q20" s="16" t="str">
        <f>IF('MASTER DATA'!Q411="","",'MASTER DATA'!Q411)</f>
        <v/>
      </c>
      <c r="R20" s="16" t="str">
        <f>IF('MASTER DATA'!R411="","",'MASTER DATA'!R411)</f>
        <v/>
      </c>
      <c r="S20" s="16" t="str">
        <f>IF('MASTER DATA'!S411="","",'MASTER DATA'!S411)</f>
        <v>N</v>
      </c>
      <c r="T20" s="15" t="str">
        <f>IF('MASTER DATA'!T411="","",'MASTER DATA'!T411)</f>
        <v/>
      </c>
      <c r="U20" s="16" t="str">
        <f>IF('MASTER DATA'!U411="","",'MASTER DATA'!U411)</f>
        <v>N</v>
      </c>
      <c r="V20" s="16" t="str">
        <f>IF('MASTER DATA'!V411="","",'MASTER DATA'!V411)</f>
        <v>N</v>
      </c>
      <c r="W20" s="16" t="str">
        <f>IF('MASTER DATA'!W411="","",'MASTER DATA'!W411)</f>
        <v>N</v>
      </c>
      <c r="X20" s="16" t="str">
        <f>IF('MASTER DATA'!X411="","",'MASTER DATA'!X411)</f>
        <v>N</v>
      </c>
      <c r="Y20" s="16" t="str">
        <f>IF('MASTER DATA'!Y411="","",'MASTER DATA'!Y411)</f>
        <v>N</v>
      </c>
      <c r="Z20" s="16" t="str">
        <f>IF('MASTER DATA'!Z411="","",'MASTER DATA'!Z411)</f>
        <v>N</v>
      </c>
      <c r="AA20" s="16">
        <f>IF('MASTER DATA'!AA411="","",'MASTER DATA'!AA411)</f>
        <v>1</v>
      </c>
      <c r="AB20" s="16" t="str">
        <f>IF('MASTER DATA'!AB411="","",'MASTER DATA'!AB411)</f>
        <v>SINGLE-SIGNAL</v>
      </c>
      <c r="AC20" s="16" t="str">
        <f>IF('MASTER DATA'!AC411="","",'MASTER DATA'!AC411)</f>
        <v>Settlement Authorization</v>
      </c>
    </row>
    <row r="21" spans="1:29" x14ac:dyDescent="0.45">
      <c r="A21" t="str">
        <f>IF('MASTER DATA'!A412="","",'MASTER DATA'!A412)</f>
        <v>SYN-CLM-0411</v>
      </c>
      <c r="B21" t="str">
        <f>IF('MASTER DATA'!B412="","",'MASTER DATA'!B412)</f>
        <v>Synthetic Claimant 0411</v>
      </c>
      <c r="C21" t="str">
        <f>IF('MASTER DATA'!C412="","",'MASTER DATA'!C412)</f>
        <v>Claims Analyst J</v>
      </c>
      <c r="D21" t="str">
        <f>IF('MASTER DATA'!D412="","",'MASTER DATA'!D412)</f>
        <v>Synthetic Policyholder 149, LLC</v>
      </c>
      <c r="E21" s="15">
        <f>IF('MASTER DATA'!E412="","",'MASTER DATA'!E412)</f>
        <v>45103</v>
      </c>
      <c r="F21" s="16" t="str">
        <f>IF('MASTER DATA'!F412="","",'MASTER DATA'!F412)</f>
        <v>Y</v>
      </c>
      <c r="G21" s="17">
        <f>IF('MASTER DATA'!G412="","",'MASTER DATA'!G412)</f>
        <v>37750</v>
      </c>
      <c r="H21" s="16" t="str">
        <f>IF('MASTER DATA'!H412="","",'MASTER DATA'!H412)</f>
        <v>Synthetic Approver 11</v>
      </c>
      <c r="I21" s="15">
        <f>IF('MASTER DATA'!I412="","",'MASTER DATA'!I412)</f>
        <v>46618</v>
      </c>
      <c r="J21" s="16" t="str">
        <f>IF('MASTER DATA'!J412="","",'MASTER DATA'!J412)</f>
        <v>N</v>
      </c>
      <c r="K21" s="15" t="str">
        <f>IF('MASTER DATA'!K412="","",'MASTER DATA'!K412)</f>
        <v/>
      </c>
      <c r="L21" s="16" t="str">
        <f>IF('MASTER DATA'!L412="","",'MASTER DATA'!L412)</f>
        <v>Y</v>
      </c>
      <c r="M21" s="16" t="str">
        <f>IF('MASTER DATA'!M412="","",'MASTER DATA'!M412)</f>
        <v>N</v>
      </c>
      <c r="N21" s="15" t="str">
        <f>IF('MASTER DATA'!N412="","",'MASTER DATA'!N412)</f>
        <v/>
      </c>
      <c r="O21" s="16" t="str">
        <f>IF('MASTER DATA'!O412="","",'MASTER DATA'!O412)</f>
        <v/>
      </c>
      <c r="P21" s="16" t="str">
        <f>IF('MASTER DATA'!P412="","",'MASTER DATA'!P412)</f>
        <v>N</v>
      </c>
      <c r="Q21" s="16" t="str">
        <f>IF('MASTER DATA'!Q412="","",'MASTER DATA'!Q412)</f>
        <v/>
      </c>
      <c r="R21" s="16" t="str">
        <f>IF('MASTER DATA'!R412="","",'MASTER DATA'!R412)</f>
        <v/>
      </c>
      <c r="S21" s="16" t="str">
        <f>IF('MASTER DATA'!S412="","",'MASTER DATA'!S412)</f>
        <v>Y</v>
      </c>
      <c r="T21" s="15">
        <f>IF('MASTER DATA'!T412="","",'MASTER DATA'!T412)</f>
        <v>45940</v>
      </c>
      <c r="U21" s="16" t="str">
        <f>IF('MASTER DATA'!U412="","",'MASTER DATA'!U412)</f>
        <v>N</v>
      </c>
      <c r="V21" s="16" t="str">
        <f>IF('MASTER DATA'!V412="","",'MASTER DATA'!V412)</f>
        <v>N</v>
      </c>
      <c r="W21" s="16" t="str">
        <f>IF('MASTER DATA'!W412="","",'MASTER DATA'!W412)</f>
        <v>N</v>
      </c>
      <c r="X21" s="16" t="str">
        <f>IF('MASTER DATA'!X412="","",'MASTER DATA'!X412)</f>
        <v>N</v>
      </c>
      <c r="Y21" s="16" t="str">
        <f>IF('MASTER DATA'!Y412="","",'MASTER DATA'!Y412)</f>
        <v>N</v>
      </c>
      <c r="Z21" s="16" t="str">
        <f>IF('MASTER DATA'!Z412="","",'MASTER DATA'!Z412)</f>
        <v>N</v>
      </c>
      <c r="AA21" s="16">
        <f>IF('MASTER DATA'!AA412="","",'MASTER DATA'!AA412)</f>
        <v>2</v>
      </c>
      <c r="AB21" s="16" t="str">
        <f>IF('MASTER DATA'!AB412="","",'MASTER DATA'!AB412)</f>
        <v>MULTI-SIGNAL</v>
      </c>
      <c r="AC21" s="16" t="str">
        <f>IF('MASTER DATA'!AC412="","",'MASTER DATA'!AC412)</f>
        <v>Settlement Authorization | Inactive Customer</v>
      </c>
    </row>
    <row r="22" spans="1:29" x14ac:dyDescent="0.45">
      <c r="A22" t="str">
        <f>IF('MASTER DATA'!A413="","",'MASTER DATA'!A413)</f>
        <v>SYN-CLM-0412</v>
      </c>
      <c r="B22" t="str">
        <f>IF('MASTER DATA'!B413="","",'MASTER DATA'!B413)</f>
        <v>Synthetic Claimant 0412</v>
      </c>
      <c r="C22" t="str">
        <f>IF('MASTER DATA'!C413="","",'MASTER DATA'!C413)</f>
        <v>Claims Analyst J</v>
      </c>
      <c r="D22" t="str">
        <f>IF('MASTER DATA'!D413="","",'MASTER DATA'!D413)</f>
        <v>Synthetic Policyholder 127, LLC</v>
      </c>
      <c r="E22" s="15">
        <f>IF('MASTER DATA'!E413="","",'MASTER DATA'!E413)</f>
        <v>43486</v>
      </c>
      <c r="F22" s="16" t="str">
        <f>IF('MASTER DATA'!F413="","",'MASTER DATA'!F413)</f>
        <v>N</v>
      </c>
      <c r="G22" s="17" t="str">
        <f>IF('MASTER DATA'!G413="","",'MASTER DATA'!G413)</f>
        <v/>
      </c>
      <c r="H22" s="16" t="str">
        <f>IF('MASTER DATA'!H413="","",'MASTER DATA'!H413)</f>
        <v/>
      </c>
      <c r="I22" s="15" t="str">
        <f>IF('MASTER DATA'!I413="","",'MASTER DATA'!I413)</f>
        <v/>
      </c>
      <c r="J22" s="16" t="str">
        <f>IF('MASTER DATA'!J413="","",'MASTER DATA'!J413)</f>
        <v>N</v>
      </c>
      <c r="K22" s="15" t="str">
        <f>IF('MASTER DATA'!K413="","",'MASTER DATA'!K413)</f>
        <v/>
      </c>
      <c r="L22" s="16" t="str">
        <f>IF('MASTER DATA'!L413="","",'MASTER DATA'!L413)</f>
        <v/>
      </c>
      <c r="M22" s="16" t="str">
        <f>IF('MASTER DATA'!M413="","",'MASTER DATA'!M413)</f>
        <v>N</v>
      </c>
      <c r="N22" s="15" t="str">
        <f>IF('MASTER DATA'!N413="","",'MASTER DATA'!N413)</f>
        <v/>
      </c>
      <c r="O22" s="16" t="str">
        <f>IF('MASTER DATA'!O413="","",'MASTER DATA'!O413)</f>
        <v/>
      </c>
      <c r="P22" s="16" t="str">
        <f>IF('MASTER DATA'!P413="","",'MASTER DATA'!P413)</f>
        <v>Y</v>
      </c>
      <c r="Q22" s="16" t="str">
        <f>IF('MASTER DATA'!Q413="","",'MASTER DATA'!Q413)</f>
        <v>Surgery Requested; MMI Date Reported; Specialist Consultation Requested</v>
      </c>
      <c r="R22" s="16" t="str">
        <f>IF('MASTER DATA'!R413="","",'MASTER DATA'!R413)</f>
        <v>Denied Treatment Requests</v>
      </c>
      <c r="S22" s="16" t="str">
        <f>IF('MASTER DATA'!S413="","",'MASTER DATA'!S413)</f>
        <v>N</v>
      </c>
      <c r="T22" s="15" t="str">
        <f>IF('MASTER DATA'!T413="","",'MASTER DATA'!T413)</f>
        <v/>
      </c>
      <c r="U22" s="16" t="str">
        <f>IF('MASTER DATA'!U413="","",'MASTER DATA'!U413)</f>
        <v>Y</v>
      </c>
      <c r="V22" s="16" t="str">
        <f>IF('MASTER DATA'!V413="","",'MASTER DATA'!V413)</f>
        <v>Y</v>
      </c>
      <c r="W22" s="16" t="str">
        <f>IF('MASTER DATA'!W413="","",'MASTER DATA'!W413)</f>
        <v>Y</v>
      </c>
      <c r="X22" s="16" t="str">
        <f>IF('MASTER DATA'!X413="","",'MASTER DATA'!X413)</f>
        <v>Y</v>
      </c>
      <c r="Y22" s="16" t="str">
        <f>IF('MASTER DATA'!Y413="","",'MASTER DATA'!Y413)</f>
        <v>N</v>
      </c>
      <c r="Z22" s="16" t="str">
        <f>IF('MASTER DATA'!Z413="","",'MASTER DATA'!Z413)</f>
        <v>N</v>
      </c>
      <c r="AA22" s="16">
        <f>IF('MASTER DATA'!AA413="","",'MASTER DATA'!AA413)</f>
        <v>1</v>
      </c>
      <c r="AB22" s="16" t="str">
        <f>IF('MASTER DATA'!AB413="","",'MASTER DATA'!AB413)</f>
        <v>SINGLE-SIGNAL</v>
      </c>
      <c r="AC22" s="16" t="str">
        <f>IF('MASTER DATA'!AC413="","",'MASTER DATA'!AC413)</f>
        <v>Automated Claim Alert</v>
      </c>
    </row>
    <row r="23" spans="1:29" x14ac:dyDescent="0.45">
      <c r="A23" t="str">
        <f>IF('MASTER DATA'!A414="","",'MASTER DATA'!A414)</f>
        <v>SYN-CLM-0413</v>
      </c>
      <c r="B23" t="str">
        <f>IF('MASTER DATA'!B414="","",'MASTER DATA'!B414)</f>
        <v>Synthetic Claimant 0413</v>
      </c>
      <c r="C23" t="str">
        <f>IF('MASTER DATA'!C414="","",'MASTER DATA'!C414)</f>
        <v>Claims Analyst J</v>
      </c>
      <c r="D23" t="str">
        <f>IF('MASTER DATA'!D414="","",'MASTER DATA'!D414)</f>
        <v>Synthetic Policyholder 044, LLC</v>
      </c>
      <c r="E23" s="15">
        <f>IF('MASTER DATA'!E414="","",'MASTER DATA'!E414)</f>
        <v>45042</v>
      </c>
      <c r="F23" s="16" t="str">
        <f>IF('MASTER DATA'!F414="","",'MASTER DATA'!F414)</f>
        <v>Y</v>
      </c>
      <c r="G23" s="17">
        <f>IF('MASTER DATA'!G414="","",'MASTER DATA'!G414)</f>
        <v>75250</v>
      </c>
      <c r="H23" s="16" t="str">
        <f>IF('MASTER DATA'!H414="","",'MASTER DATA'!H414)</f>
        <v>Synthetic Approver 11</v>
      </c>
      <c r="I23" s="15">
        <f>IF('MASTER DATA'!I414="","",'MASTER DATA'!I414)</f>
        <v>45972</v>
      </c>
      <c r="J23" s="16" t="str">
        <f>IF('MASTER DATA'!J414="","",'MASTER DATA'!J414)</f>
        <v>Y</v>
      </c>
      <c r="K23" s="15">
        <f>IF('MASTER DATA'!K414="","",'MASTER DATA'!K414)</f>
        <v>46428</v>
      </c>
      <c r="L23" s="16" t="str">
        <f>IF('MASTER DATA'!L414="","",'MASTER DATA'!L414)</f>
        <v>Y</v>
      </c>
      <c r="M23" s="16" t="str">
        <f>IF('MASTER DATA'!M414="","",'MASTER DATA'!M414)</f>
        <v>N</v>
      </c>
      <c r="N23" s="15" t="str">
        <f>IF('MASTER DATA'!N414="","",'MASTER DATA'!N414)</f>
        <v/>
      </c>
      <c r="O23" s="16" t="str">
        <f>IF('MASTER DATA'!O414="","",'MASTER DATA'!O414)</f>
        <v/>
      </c>
      <c r="P23" s="16" t="str">
        <f>IF('MASTER DATA'!P414="","",'MASTER DATA'!P414)</f>
        <v>N</v>
      </c>
      <c r="Q23" s="16" t="str">
        <f>IF('MASTER DATA'!Q414="","",'MASTER DATA'!Q414)</f>
        <v/>
      </c>
      <c r="R23" s="16" t="str">
        <f>IF('MASTER DATA'!R414="","",'MASTER DATA'!R414)</f>
        <v/>
      </c>
      <c r="S23" s="16" t="str">
        <f>IF('MASTER DATA'!S414="","",'MASTER DATA'!S414)</f>
        <v>N</v>
      </c>
      <c r="T23" s="15" t="str">
        <f>IF('MASTER DATA'!T414="","",'MASTER DATA'!T414)</f>
        <v/>
      </c>
      <c r="U23" s="16" t="str">
        <f>IF('MASTER DATA'!U414="","",'MASTER DATA'!U414)</f>
        <v>N</v>
      </c>
      <c r="V23" s="16" t="str">
        <f>IF('MASTER DATA'!V414="","",'MASTER DATA'!V414)</f>
        <v>N</v>
      </c>
      <c r="W23" s="16" t="str">
        <f>IF('MASTER DATA'!W414="","",'MASTER DATA'!W414)</f>
        <v>N</v>
      </c>
      <c r="X23" s="16" t="str">
        <f>IF('MASTER DATA'!X414="","",'MASTER DATA'!X414)</f>
        <v>N</v>
      </c>
      <c r="Y23" s="16" t="str">
        <f>IF('MASTER DATA'!Y414="","",'MASTER DATA'!Y414)</f>
        <v>N</v>
      </c>
      <c r="Z23" s="16" t="str">
        <f>IF('MASTER DATA'!Z414="","",'MASTER DATA'!Z414)</f>
        <v>N</v>
      </c>
      <c r="AA23" s="16">
        <f>IF('MASTER DATA'!AA414="","",'MASTER DATA'!AA414)</f>
        <v>2</v>
      </c>
      <c r="AB23" s="16" t="str">
        <f>IF('MASTER DATA'!AB414="","",'MASTER DATA'!AB414)</f>
        <v>MULTI-SIGNAL</v>
      </c>
      <c r="AC23" s="16" t="str">
        <f>IF('MASTER DATA'!AC414="","",'MASTER DATA'!AC414)</f>
        <v>Settlement Authorization | Open Stipulation</v>
      </c>
    </row>
    <row r="24" spans="1:29" x14ac:dyDescent="0.45">
      <c r="A24" t="str">
        <f>IF('MASTER DATA'!A415="","",'MASTER DATA'!A415)</f>
        <v>SYN-CLM-0414</v>
      </c>
      <c r="B24" t="str">
        <f>IF('MASTER DATA'!B415="","",'MASTER DATA'!B415)</f>
        <v>Synthetic Claimant 0414</v>
      </c>
      <c r="C24" t="str">
        <f>IF('MASTER DATA'!C415="","",'MASTER DATA'!C415)</f>
        <v>Claims Analyst J</v>
      </c>
      <c r="D24" t="str">
        <f>IF('MASTER DATA'!D415="","",'MASTER DATA'!D415)</f>
        <v>Synthetic Policyholder 110, LLC</v>
      </c>
      <c r="E24" s="15">
        <f>IF('MASTER DATA'!E415="","",'MASTER DATA'!E415)</f>
        <v>43797</v>
      </c>
      <c r="F24" s="16" t="str">
        <f>IF('MASTER DATA'!F415="","",'MASTER DATA'!F415)</f>
        <v>Y</v>
      </c>
      <c r="G24" s="17">
        <f>IF('MASTER DATA'!G415="","",'MASTER DATA'!G415)</f>
        <v>98000</v>
      </c>
      <c r="H24" s="16" t="str">
        <f>IF('MASTER DATA'!H415="","",'MASTER DATA'!H415)</f>
        <v>Synthetic Approver 04</v>
      </c>
      <c r="I24" s="15">
        <f>IF('MASTER DATA'!I415="","",'MASTER DATA'!I415)</f>
        <v>45282</v>
      </c>
      <c r="J24" s="16" t="str">
        <f>IF('MASTER DATA'!J415="","",'MASTER DATA'!J415)</f>
        <v>N</v>
      </c>
      <c r="K24" s="15" t="str">
        <f>IF('MASTER DATA'!K415="","",'MASTER DATA'!K415)</f>
        <v/>
      </c>
      <c r="L24" s="16" t="str">
        <f>IF('MASTER DATA'!L415="","",'MASTER DATA'!L415)</f>
        <v>N</v>
      </c>
      <c r="M24" s="16" t="str">
        <f>IF('MASTER DATA'!M415="","",'MASTER DATA'!M415)</f>
        <v>N</v>
      </c>
      <c r="N24" s="15" t="str">
        <f>IF('MASTER DATA'!N415="","",'MASTER DATA'!N415)</f>
        <v/>
      </c>
      <c r="O24" s="16" t="str">
        <f>IF('MASTER DATA'!O415="","",'MASTER DATA'!O415)</f>
        <v/>
      </c>
      <c r="P24" s="16" t="str">
        <f>IF('MASTER DATA'!P415="","",'MASTER DATA'!P415)</f>
        <v>Y</v>
      </c>
      <c r="Q24" s="16" t="str">
        <f>IF('MASTER DATA'!Q415="","",'MASTER DATA'!Q415)</f>
        <v>Denied Treatment Requests</v>
      </c>
      <c r="R24" s="16" t="str">
        <f>IF('MASTER DATA'!R415="","",'MASTER DATA'!R415)</f>
        <v/>
      </c>
      <c r="S24" s="16" t="str">
        <f>IF('MASTER DATA'!S415="","",'MASTER DATA'!S415)</f>
        <v>N</v>
      </c>
      <c r="T24" s="15" t="str">
        <f>IF('MASTER DATA'!T415="","",'MASTER DATA'!T415)</f>
        <v/>
      </c>
      <c r="U24" s="16" t="str">
        <f>IF('MASTER DATA'!U415="","",'MASTER DATA'!U415)</f>
        <v>N</v>
      </c>
      <c r="V24" s="16" t="str">
        <f>IF('MASTER DATA'!V415="","",'MASTER DATA'!V415)</f>
        <v>N</v>
      </c>
      <c r="W24" s="16" t="str">
        <f>IF('MASTER DATA'!W415="","",'MASTER DATA'!W415)</f>
        <v>Y</v>
      </c>
      <c r="X24" s="16" t="str">
        <f>IF('MASTER DATA'!X415="","",'MASTER DATA'!X415)</f>
        <v>N</v>
      </c>
      <c r="Y24" s="16" t="str">
        <f>IF('MASTER DATA'!Y415="","",'MASTER DATA'!Y415)</f>
        <v>N</v>
      </c>
      <c r="Z24" s="16" t="str">
        <f>IF('MASTER DATA'!Z415="","",'MASTER DATA'!Z415)</f>
        <v>N</v>
      </c>
      <c r="AA24" s="16">
        <f>IF('MASTER DATA'!AA415="","",'MASTER DATA'!AA415)</f>
        <v>2</v>
      </c>
      <c r="AB24" s="16" t="str">
        <f>IF('MASTER DATA'!AB415="","",'MASTER DATA'!AB415)</f>
        <v>MULTI-SIGNAL</v>
      </c>
      <c r="AC24" s="16" t="str">
        <f>IF('MASTER DATA'!AC415="","",'MASTER DATA'!AC415)</f>
        <v>Settlement Authorization | Automated Claim Alert</v>
      </c>
    </row>
    <row r="25" spans="1:29" x14ac:dyDescent="0.45">
      <c r="A25" t="str">
        <f>IF('MASTER DATA'!A416="","",'MASTER DATA'!A416)</f>
        <v>SYN-CLM-0415</v>
      </c>
      <c r="B25" t="str">
        <f>IF('MASTER DATA'!B416="","",'MASTER DATA'!B416)</f>
        <v>Synthetic Claimant 0415</v>
      </c>
      <c r="C25" t="str">
        <f>IF('MASTER DATA'!C416="","",'MASTER DATA'!C416)</f>
        <v>Claims Analyst J</v>
      </c>
      <c r="D25" t="str">
        <f>IF('MASTER DATA'!D416="","",'MASTER DATA'!D416)</f>
        <v>Synthetic Policyholder 117, LLC</v>
      </c>
      <c r="E25" s="15">
        <f>IF('MASTER DATA'!E416="","",'MASTER DATA'!E416)</f>
        <v>45586</v>
      </c>
      <c r="F25" s="16" t="str">
        <f>IF('MASTER DATA'!F416="","",'MASTER DATA'!F416)</f>
        <v>Y</v>
      </c>
      <c r="G25" s="17">
        <f>IF('MASTER DATA'!G416="","",'MASTER DATA'!G416)</f>
        <v>122000</v>
      </c>
      <c r="H25" s="16" t="str">
        <f>IF('MASTER DATA'!H416="","",'MASTER DATA'!H416)</f>
        <v>Synthetic Approver 01</v>
      </c>
      <c r="I25" s="15">
        <f>IF('MASTER DATA'!I416="","",'MASTER DATA'!I416)</f>
        <v>45886</v>
      </c>
      <c r="J25" s="16" t="str">
        <f>IF('MASTER DATA'!J416="","",'MASTER DATA'!J416)</f>
        <v>Y</v>
      </c>
      <c r="K25" s="15">
        <f>IF('MASTER DATA'!K416="","",'MASTER DATA'!K416)</f>
        <v>46667</v>
      </c>
      <c r="L25" s="16" t="str">
        <f>IF('MASTER DATA'!L416="","",'MASTER DATA'!L416)</f>
        <v>Y</v>
      </c>
      <c r="M25" s="16" t="str">
        <f>IF('MASTER DATA'!M416="","",'MASTER DATA'!M416)</f>
        <v>N</v>
      </c>
      <c r="N25" s="15" t="str">
        <f>IF('MASTER DATA'!N416="","",'MASTER DATA'!N416)</f>
        <v/>
      </c>
      <c r="O25" s="16" t="str">
        <f>IF('MASTER DATA'!O416="","",'MASTER DATA'!O416)</f>
        <v/>
      </c>
      <c r="P25" s="16" t="str">
        <f>IF('MASTER DATA'!P416="","",'MASTER DATA'!P416)</f>
        <v>N</v>
      </c>
      <c r="Q25" s="16" t="str">
        <f>IF('MASTER DATA'!Q416="","",'MASTER DATA'!Q416)</f>
        <v/>
      </c>
      <c r="R25" s="16" t="str">
        <f>IF('MASTER DATA'!R416="","",'MASTER DATA'!R416)</f>
        <v/>
      </c>
      <c r="S25" s="16" t="str">
        <f>IF('MASTER DATA'!S416="","",'MASTER DATA'!S416)</f>
        <v>Y</v>
      </c>
      <c r="T25" s="15">
        <f>IF('MASTER DATA'!T416="","",'MASTER DATA'!T416)</f>
        <v>46127</v>
      </c>
      <c r="U25" s="16" t="str">
        <f>IF('MASTER DATA'!U416="","",'MASTER DATA'!U416)</f>
        <v>N</v>
      </c>
      <c r="V25" s="16" t="str">
        <f>IF('MASTER DATA'!V416="","",'MASTER DATA'!V416)</f>
        <v>N</v>
      </c>
      <c r="W25" s="16" t="str">
        <f>IF('MASTER DATA'!W416="","",'MASTER DATA'!W416)</f>
        <v>N</v>
      </c>
      <c r="X25" s="16" t="str">
        <f>IF('MASTER DATA'!X416="","",'MASTER DATA'!X416)</f>
        <v>N</v>
      </c>
      <c r="Y25" s="16" t="str">
        <f>IF('MASTER DATA'!Y416="","",'MASTER DATA'!Y416)</f>
        <v>N</v>
      </c>
      <c r="Z25" s="16" t="str">
        <f>IF('MASTER DATA'!Z416="","",'MASTER DATA'!Z416)</f>
        <v>N</v>
      </c>
      <c r="AA25" s="16">
        <f>IF('MASTER DATA'!AA416="","",'MASTER DATA'!AA416)</f>
        <v>3</v>
      </c>
      <c r="AB25" s="16" t="str">
        <f>IF('MASTER DATA'!AB416="","",'MASTER DATA'!AB416)</f>
        <v>ELEVATED MULTI-SIGNAL</v>
      </c>
      <c r="AC25" s="16" t="str">
        <f>IF('MASTER DATA'!AC416="","",'MASTER DATA'!AC416)</f>
        <v>Settlement Authorization | Open Stipulation | Inactive Customer</v>
      </c>
    </row>
    <row r="26" spans="1:29" x14ac:dyDescent="0.45">
      <c r="A26" t="str">
        <f>IF('MASTER DATA'!A417="","",'MASTER DATA'!A417)</f>
        <v>SYN-CLM-0416</v>
      </c>
      <c r="B26" t="str">
        <f>IF('MASTER DATA'!B417="","",'MASTER DATA'!B417)</f>
        <v>Synthetic Claimant 0416</v>
      </c>
      <c r="C26" t="str">
        <f>IF('MASTER DATA'!C417="","",'MASTER DATA'!C417)</f>
        <v>Claims Analyst J</v>
      </c>
      <c r="D26" t="str">
        <f>IF('MASTER DATA'!D417="","",'MASTER DATA'!D417)</f>
        <v>Synthetic Policyholder 064, LLC</v>
      </c>
      <c r="E26" s="15">
        <f>IF('MASTER DATA'!E417="","",'MASTER DATA'!E417)</f>
        <v>44731</v>
      </c>
      <c r="F26" s="16" t="str">
        <f>IF('MASTER DATA'!F417="","",'MASTER DATA'!F417)</f>
        <v>Y</v>
      </c>
      <c r="G26" s="17">
        <f>IF('MASTER DATA'!G417="","",'MASTER DATA'!G417)</f>
        <v>106250</v>
      </c>
      <c r="H26" s="16" t="str">
        <f>IF('MASTER DATA'!H417="","",'MASTER DATA'!H417)</f>
        <v>Synthetic Approver 08</v>
      </c>
      <c r="I26" s="15">
        <f>IF('MASTER DATA'!I417="","",'MASTER DATA'!I417)</f>
        <v>45891</v>
      </c>
      <c r="J26" s="16" t="str">
        <f>IF('MASTER DATA'!J417="","",'MASTER DATA'!J417)</f>
        <v>N</v>
      </c>
      <c r="K26" s="15" t="str">
        <f>IF('MASTER DATA'!K417="","",'MASTER DATA'!K417)</f>
        <v/>
      </c>
      <c r="L26" s="16" t="str">
        <f>IF('MASTER DATA'!L417="","",'MASTER DATA'!L417)</f>
        <v>N</v>
      </c>
      <c r="M26" s="16" t="str">
        <f>IF('MASTER DATA'!M417="","",'MASTER DATA'!M417)</f>
        <v>N</v>
      </c>
      <c r="N26" s="15" t="str">
        <f>IF('MASTER DATA'!N417="","",'MASTER DATA'!N417)</f>
        <v/>
      </c>
      <c r="O26" s="16" t="str">
        <f>IF('MASTER DATA'!O417="","",'MASTER DATA'!O417)</f>
        <v/>
      </c>
      <c r="P26" s="16" t="str">
        <f>IF('MASTER DATA'!P417="","",'MASTER DATA'!P417)</f>
        <v>N</v>
      </c>
      <c r="Q26" s="16" t="str">
        <f>IF('MASTER DATA'!Q417="","",'MASTER DATA'!Q417)</f>
        <v/>
      </c>
      <c r="R26" s="16" t="str">
        <f>IF('MASTER DATA'!R417="","",'MASTER DATA'!R417)</f>
        <v/>
      </c>
      <c r="S26" s="16" t="str">
        <f>IF('MASTER DATA'!S417="","",'MASTER DATA'!S417)</f>
        <v>N</v>
      </c>
      <c r="T26" s="15" t="str">
        <f>IF('MASTER DATA'!T417="","",'MASTER DATA'!T417)</f>
        <v/>
      </c>
      <c r="U26" s="16" t="str">
        <f>IF('MASTER DATA'!U417="","",'MASTER DATA'!U417)</f>
        <v>N</v>
      </c>
      <c r="V26" s="16" t="str">
        <f>IF('MASTER DATA'!V417="","",'MASTER DATA'!V417)</f>
        <v>N</v>
      </c>
      <c r="W26" s="16" t="str">
        <f>IF('MASTER DATA'!W417="","",'MASTER DATA'!W417)</f>
        <v>N</v>
      </c>
      <c r="X26" s="16" t="str">
        <f>IF('MASTER DATA'!X417="","",'MASTER DATA'!X417)</f>
        <v>N</v>
      </c>
      <c r="Y26" s="16" t="str">
        <f>IF('MASTER DATA'!Y417="","",'MASTER DATA'!Y417)</f>
        <v>N</v>
      </c>
      <c r="Z26" s="16" t="str">
        <f>IF('MASTER DATA'!Z417="","",'MASTER DATA'!Z417)</f>
        <v>N</v>
      </c>
      <c r="AA26" s="16">
        <f>IF('MASTER DATA'!AA417="","",'MASTER DATA'!AA417)</f>
        <v>1</v>
      </c>
      <c r="AB26" s="16" t="str">
        <f>IF('MASTER DATA'!AB417="","",'MASTER DATA'!AB417)</f>
        <v>SINGLE-SIGNAL</v>
      </c>
      <c r="AC26" s="16" t="str">
        <f>IF('MASTER DATA'!AC417="","",'MASTER DATA'!AC417)</f>
        <v>Settlement Authorization</v>
      </c>
    </row>
    <row r="27" spans="1:29" x14ac:dyDescent="0.45">
      <c r="A27" t="str">
        <f>IF('MASTER DATA'!A418="","",'MASTER DATA'!A418)</f>
        <v>SYN-CLM-0417</v>
      </c>
      <c r="B27" t="str">
        <f>IF('MASTER DATA'!B418="","",'MASTER DATA'!B418)</f>
        <v>Synthetic Claimant 0417</v>
      </c>
      <c r="C27" t="str">
        <f>IF('MASTER DATA'!C418="","",'MASTER DATA'!C418)</f>
        <v>Claims Analyst J</v>
      </c>
      <c r="D27" t="str">
        <f>IF('MASTER DATA'!D418="","",'MASTER DATA'!D418)</f>
        <v>Synthetic Policyholder 019, LLC</v>
      </c>
      <c r="E27" s="15">
        <f>IF('MASTER DATA'!E418="","",'MASTER DATA'!E418)</f>
        <v>44708</v>
      </c>
      <c r="F27" s="16" t="str">
        <f>IF('MASTER DATA'!F418="","",'MASTER DATA'!F418)</f>
        <v>N</v>
      </c>
      <c r="G27" s="17" t="str">
        <f>IF('MASTER DATA'!G418="","",'MASTER DATA'!G418)</f>
        <v/>
      </c>
      <c r="H27" s="16" t="str">
        <f>IF('MASTER DATA'!H418="","",'MASTER DATA'!H418)</f>
        <v/>
      </c>
      <c r="I27" s="15" t="str">
        <f>IF('MASTER DATA'!I418="","",'MASTER DATA'!I418)</f>
        <v/>
      </c>
      <c r="J27" s="16" t="str">
        <f>IF('MASTER DATA'!J418="","",'MASTER DATA'!J418)</f>
        <v>N</v>
      </c>
      <c r="K27" s="15" t="str">
        <f>IF('MASTER DATA'!K418="","",'MASTER DATA'!K418)</f>
        <v/>
      </c>
      <c r="L27" s="16" t="str">
        <f>IF('MASTER DATA'!L418="","",'MASTER DATA'!L418)</f>
        <v/>
      </c>
      <c r="M27" s="16" t="str">
        <f>IF('MASTER DATA'!M418="","",'MASTER DATA'!M418)</f>
        <v>N</v>
      </c>
      <c r="N27" s="15" t="str">
        <f>IF('MASTER DATA'!N418="","",'MASTER DATA'!N418)</f>
        <v/>
      </c>
      <c r="O27" s="16" t="str">
        <f>IF('MASTER DATA'!O418="","",'MASTER DATA'!O418)</f>
        <v/>
      </c>
      <c r="P27" s="16" t="str">
        <f>IF('MASTER DATA'!P418="","",'MASTER DATA'!P418)</f>
        <v>N</v>
      </c>
      <c r="Q27" s="16" t="str">
        <f>IF('MASTER DATA'!Q418="","",'MASTER DATA'!Q418)</f>
        <v/>
      </c>
      <c r="R27" s="16" t="str">
        <f>IF('MASTER DATA'!R418="","",'MASTER DATA'!R418)</f>
        <v/>
      </c>
      <c r="S27" s="16" t="str">
        <f>IF('MASTER DATA'!S418="","",'MASTER DATA'!S418)</f>
        <v>Y</v>
      </c>
      <c r="T27" s="15">
        <f>IF('MASTER DATA'!T418="","",'MASTER DATA'!T418)</f>
        <v>45360</v>
      </c>
      <c r="U27" s="16" t="str">
        <f>IF('MASTER DATA'!U418="","",'MASTER DATA'!U418)</f>
        <v>N</v>
      </c>
      <c r="V27" s="16" t="str">
        <f>IF('MASTER DATA'!V418="","",'MASTER DATA'!V418)</f>
        <v>N</v>
      </c>
      <c r="W27" s="16" t="str">
        <f>IF('MASTER DATA'!W418="","",'MASTER DATA'!W418)</f>
        <v>N</v>
      </c>
      <c r="X27" s="16" t="str">
        <f>IF('MASTER DATA'!X418="","",'MASTER DATA'!X418)</f>
        <v>N</v>
      </c>
      <c r="Y27" s="16" t="str">
        <f>IF('MASTER DATA'!Y418="","",'MASTER DATA'!Y418)</f>
        <v>N</v>
      </c>
      <c r="Z27" s="16" t="str">
        <f>IF('MASTER DATA'!Z418="","",'MASTER DATA'!Z418)</f>
        <v>N</v>
      </c>
      <c r="AA27" s="16">
        <f>IF('MASTER DATA'!AA418="","",'MASTER DATA'!AA418)</f>
        <v>1</v>
      </c>
      <c r="AB27" s="16" t="str">
        <f>IF('MASTER DATA'!AB418="","",'MASTER DATA'!AB418)</f>
        <v>SINGLE-SIGNAL</v>
      </c>
      <c r="AC27" s="16" t="str">
        <f>IF('MASTER DATA'!AC418="","",'MASTER DATA'!AC418)</f>
        <v>Inactive Customer</v>
      </c>
    </row>
    <row r="28" spans="1:29" x14ac:dyDescent="0.45">
      <c r="A28" t="str">
        <f>IF('MASTER DATA'!A419="","",'MASTER DATA'!A419)</f>
        <v>SYN-CLM-0418</v>
      </c>
      <c r="B28" t="str">
        <f>IF('MASTER DATA'!B419="","",'MASTER DATA'!B419)</f>
        <v>Synthetic Claimant 0418</v>
      </c>
      <c r="C28" t="str">
        <f>IF('MASTER DATA'!C419="","",'MASTER DATA'!C419)</f>
        <v>Claims Analyst J</v>
      </c>
      <c r="D28" t="str">
        <f>IF('MASTER DATA'!D419="","",'MASTER DATA'!D419)</f>
        <v>Synthetic Policyholder 085, LLC</v>
      </c>
      <c r="E28" s="15">
        <f>IF('MASTER DATA'!E419="","",'MASTER DATA'!E419)</f>
        <v>45966</v>
      </c>
      <c r="F28" s="16" t="str">
        <f>IF('MASTER DATA'!F419="","",'MASTER DATA'!F419)</f>
        <v>Y</v>
      </c>
      <c r="G28" s="17">
        <f>IF('MASTER DATA'!G419="","",'MASTER DATA'!G419)</f>
        <v>6750</v>
      </c>
      <c r="H28" s="16" t="str">
        <f>IF('MASTER DATA'!H419="","",'MASTER DATA'!H419)</f>
        <v>Synthetic Approver 03</v>
      </c>
      <c r="I28" s="15">
        <f>IF('MASTER DATA'!I419="","",'MASTER DATA'!I419)</f>
        <v>46297</v>
      </c>
      <c r="J28" s="16" t="str">
        <f>IF('MASTER DATA'!J419="","",'MASTER DATA'!J419)</f>
        <v>N</v>
      </c>
      <c r="K28" s="15" t="str">
        <f>IF('MASTER DATA'!K419="","",'MASTER DATA'!K419)</f>
        <v/>
      </c>
      <c r="L28" s="16" t="str">
        <f>IF('MASTER DATA'!L419="","",'MASTER DATA'!L419)</f>
        <v>N</v>
      </c>
      <c r="M28" s="16" t="str">
        <f>IF('MASTER DATA'!M419="","",'MASTER DATA'!M419)</f>
        <v>N</v>
      </c>
      <c r="N28" s="15" t="str">
        <f>IF('MASTER DATA'!N419="","",'MASTER DATA'!N419)</f>
        <v/>
      </c>
      <c r="O28" s="16" t="str">
        <f>IF('MASTER DATA'!O419="","",'MASTER DATA'!O419)</f>
        <v/>
      </c>
      <c r="P28" s="16" t="str">
        <f>IF('MASTER DATA'!P419="","",'MASTER DATA'!P419)</f>
        <v>N</v>
      </c>
      <c r="Q28" s="16" t="str">
        <f>IF('MASTER DATA'!Q419="","",'MASTER DATA'!Q419)</f>
        <v/>
      </c>
      <c r="R28" s="16" t="str">
        <f>IF('MASTER DATA'!R419="","",'MASTER DATA'!R419)</f>
        <v/>
      </c>
      <c r="S28" s="16" t="str">
        <f>IF('MASTER DATA'!S419="","",'MASTER DATA'!S419)</f>
        <v>N</v>
      </c>
      <c r="T28" s="15" t="str">
        <f>IF('MASTER DATA'!T419="","",'MASTER DATA'!T419)</f>
        <v/>
      </c>
      <c r="U28" s="16" t="str">
        <f>IF('MASTER DATA'!U419="","",'MASTER DATA'!U419)</f>
        <v>N</v>
      </c>
      <c r="V28" s="16" t="str">
        <f>IF('MASTER DATA'!V419="","",'MASTER DATA'!V419)</f>
        <v>N</v>
      </c>
      <c r="W28" s="16" t="str">
        <f>IF('MASTER DATA'!W419="","",'MASTER DATA'!W419)</f>
        <v>N</v>
      </c>
      <c r="X28" s="16" t="str">
        <f>IF('MASTER DATA'!X419="","",'MASTER DATA'!X419)</f>
        <v>N</v>
      </c>
      <c r="Y28" s="16" t="str">
        <f>IF('MASTER DATA'!Y419="","",'MASTER DATA'!Y419)</f>
        <v>N</v>
      </c>
      <c r="Z28" s="16" t="str">
        <f>IF('MASTER DATA'!Z419="","",'MASTER DATA'!Z419)</f>
        <v>N</v>
      </c>
      <c r="AA28" s="16">
        <f>IF('MASTER DATA'!AA419="","",'MASTER DATA'!AA419)</f>
        <v>1</v>
      </c>
      <c r="AB28" s="16" t="str">
        <f>IF('MASTER DATA'!AB419="","",'MASTER DATA'!AB419)</f>
        <v>SINGLE-SIGNAL</v>
      </c>
      <c r="AC28" s="16" t="str">
        <f>IF('MASTER DATA'!AC419="","",'MASTER DATA'!AC419)</f>
        <v>Settlement Authorization</v>
      </c>
    </row>
    <row r="29" spans="1:29" x14ac:dyDescent="0.45">
      <c r="A29" t="str">
        <f>IF('MASTER DATA'!A420="","",'MASTER DATA'!A420)</f>
        <v>SYN-CLM-0419</v>
      </c>
      <c r="B29" t="str">
        <f>IF('MASTER DATA'!B420="","",'MASTER DATA'!B420)</f>
        <v>Synthetic Claimant 0419</v>
      </c>
      <c r="C29" t="str">
        <f>IF('MASTER DATA'!C420="","",'MASTER DATA'!C420)</f>
        <v>Claims Analyst J</v>
      </c>
      <c r="D29" t="str">
        <f>IF('MASTER DATA'!D420="","",'MASTER DATA'!D420)</f>
        <v>Synthetic Policyholder 088, LLC</v>
      </c>
      <c r="E29" s="15">
        <f>IF('MASTER DATA'!E420="","",'MASTER DATA'!E420)</f>
        <v>44408</v>
      </c>
      <c r="F29" s="16" t="str">
        <f>IF('MASTER DATA'!F420="","",'MASTER DATA'!F420)</f>
        <v>Y</v>
      </c>
      <c r="G29" s="17">
        <f>IF('MASTER DATA'!G420="","",'MASTER DATA'!G420)</f>
        <v>87500</v>
      </c>
      <c r="H29" s="16" t="str">
        <f>IF('MASTER DATA'!H420="","",'MASTER DATA'!H420)</f>
        <v>Synthetic Approver 05</v>
      </c>
      <c r="I29" s="15">
        <f>IF('MASTER DATA'!I420="","",'MASTER DATA'!I420)</f>
        <v>44610</v>
      </c>
      <c r="J29" s="16" t="str">
        <f>IF('MASTER DATA'!J420="","",'MASTER DATA'!J420)</f>
        <v>N</v>
      </c>
      <c r="K29" s="15" t="str">
        <f>IF('MASTER DATA'!K420="","",'MASTER DATA'!K420)</f>
        <v/>
      </c>
      <c r="L29" s="16" t="str">
        <f>IF('MASTER DATA'!L420="","",'MASTER DATA'!L420)</f>
        <v>N</v>
      </c>
      <c r="M29" s="16" t="str">
        <f>IF('MASTER DATA'!M420="","",'MASTER DATA'!M420)</f>
        <v>N</v>
      </c>
      <c r="N29" s="15" t="str">
        <f>IF('MASTER DATA'!N420="","",'MASTER DATA'!N420)</f>
        <v/>
      </c>
      <c r="O29" s="16" t="str">
        <f>IF('MASTER DATA'!O420="","",'MASTER DATA'!O420)</f>
        <v/>
      </c>
      <c r="P29" s="16" t="str">
        <f>IF('MASTER DATA'!P420="","",'MASTER DATA'!P420)</f>
        <v>N</v>
      </c>
      <c r="Q29" s="16" t="str">
        <f>IF('MASTER DATA'!Q420="","",'MASTER DATA'!Q420)</f>
        <v/>
      </c>
      <c r="R29" s="16" t="str">
        <f>IF('MASTER DATA'!R420="","",'MASTER DATA'!R420)</f>
        <v/>
      </c>
      <c r="S29" s="16" t="str">
        <f>IF('MASTER DATA'!S420="","",'MASTER DATA'!S420)</f>
        <v>N</v>
      </c>
      <c r="T29" s="15" t="str">
        <f>IF('MASTER DATA'!T420="","",'MASTER DATA'!T420)</f>
        <v/>
      </c>
      <c r="U29" s="16" t="str">
        <f>IF('MASTER DATA'!U420="","",'MASTER DATA'!U420)</f>
        <v>N</v>
      </c>
      <c r="V29" s="16" t="str">
        <f>IF('MASTER DATA'!V420="","",'MASTER DATA'!V420)</f>
        <v>N</v>
      </c>
      <c r="W29" s="16" t="str">
        <f>IF('MASTER DATA'!W420="","",'MASTER DATA'!W420)</f>
        <v>N</v>
      </c>
      <c r="X29" s="16" t="str">
        <f>IF('MASTER DATA'!X420="","",'MASTER DATA'!X420)</f>
        <v>N</v>
      </c>
      <c r="Y29" s="16" t="str">
        <f>IF('MASTER DATA'!Y420="","",'MASTER DATA'!Y420)</f>
        <v>N</v>
      </c>
      <c r="Z29" s="16" t="str">
        <f>IF('MASTER DATA'!Z420="","",'MASTER DATA'!Z420)</f>
        <v>N</v>
      </c>
      <c r="AA29" s="16">
        <f>IF('MASTER DATA'!AA420="","",'MASTER DATA'!AA420)</f>
        <v>1</v>
      </c>
      <c r="AB29" s="16" t="str">
        <f>IF('MASTER DATA'!AB420="","",'MASTER DATA'!AB420)</f>
        <v>SINGLE-SIGNAL</v>
      </c>
      <c r="AC29" s="16" t="str">
        <f>IF('MASTER DATA'!AC420="","",'MASTER DATA'!AC420)</f>
        <v>Settlement Authorization</v>
      </c>
    </row>
    <row r="30" spans="1:29" x14ac:dyDescent="0.45">
      <c r="A30" t="str">
        <f>IF('MASTER DATA'!A421="","",'MASTER DATA'!A421)</f>
        <v>SYN-CLM-0420</v>
      </c>
      <c r="B30" t="str">
        <f>IF('MASTER DATA'!B421="","",'MASTER DATA'!B421)</f>
        <v>Synthetic Claimant 0420</v>
      </c>
      <c r="C30" t="str">
        <f>IF('MASTER DATA'!C421="","",'MASTER DATA'!C421)</f>
        <v>Claims Analyst J</v>
      </c>
      <c r="D30" t="str">
        <f>IF('MASTER DATA'!D421="","",'MASTER DATA'!D421)</f>
        <v>Synthetic Policyholder 052, LLC</v>
      </c>
      <c r="E30" s="15">
        <f>IF('MASTER DATA'!E421="","",'MASTER DATA'!E421)</f>
        <v>44617</v>
      </c>
      <c r="F30" s="16" t="str">
        <f>IF('MASTER DATA'!F421="","",'MASTER DATA'!F421)</f>
        <v>Y</v>
      </c>
      <c r="G30" s="17">
        <f>IF('MASTER DATA'!G421="","",'MASTER DATA'!G421)</f>
        <v>4750</v>
      </c>
      <c r="H30" s="16" t="str">
        <f>IF('MASTER DATA'!H421="","",'MASTER DATA'!H421)</f>
        <v>Synthetic Approver 05</v>
      </c>
      <c r="I30" s="15">
        <f>IF('MASTER DATA'!I421="","",'MASTER DATA'!I421)</f>
        <v>46027</v>
      </c>
      <c r="J30" s="16" t="str">
        <f>IF('MASTER DATA'!J421="","",'MASTER DATA'!J421)</f>
        <v>N</v>
      </c>
      <c r="K30" s="15" t="str">
        <f>IF('MASTER DATA'!K421="","",'MASTER DATA'!K421)</f>
        <v/>
      </c>
      <c r="L30" s="16" t="str">
        <f>IF('MASTER DATA'!L421="","",'MASTER DATA'!L421)</f>
        <v>Y</v>
      </c>
      <c r="M30" s="16" t="str">
        <f>IF('MASTER DATA'!M421="","",'MASTER DATA'!M421)</f>
        <v>N</v>
      </c>
      <c r="N30" s="15" t="str">
        <f>IF('MASTER DATA'!N421="","",'MASTER DATA'!N421)</f>
        <v/>
      </c>
      <c r="O30" s="16" t="str">
        <f>IF('MASTER DATA'!O421="","",'MASTER DATA'!O421)</f>
        <v/>
      </c>
      <c r="P30" s="16" t="str">
        <f>IF('MASTER DATA'!P421="","",'MASTER DATA'!P421)</f>
        <v>N</v>
      </c>
      <c r="Q30" s="16" t="str">
        <f>IF('MASTER DATA'!Q421="","",'MASTER DATA'!Q421)</f>
        <v/>
      </c>
      <c r="R30" s="16" t="str">
        <f>IF('MASTER DATA'!R421="","",'MASTER DATA'!R421)</f>
        <v/>
      </c>
      <c r="S30" s="16" t="str">
        <f>IF('MASTER DATA'!S421="","",'MASTER DATA'!S421)</f>
        <v>N</v>
      </c>
      <c r="T30" s="15" t="str">
        <f>IF('MASTER DATA'!T421="","",'MASTER DATA'!T421)</f>
        <v/>
      </c>
      <c r="U30" s="16" t="str">
        <f>IF('MASTER DATA'!U421="","",'MASTER DATA'!U421)</f>
        <v>N</v>
      </c>
      <c r="V30" s="16" t="str">
        <f>IF('MASTER DATA'!V421="","",'MASTER DATA'!V421)</f>
        <v>N</v>
      </c>
      <c r="W30" s="16" t="str">
        <f>IF('MASTER DATA'!W421="","",'MASTER DATA'!W421)</f>
        <v>N</v>
      </c>
      <c r="X30" s="16" t="str">
        <f>IF('MASTER DATA'!X421="","",'MASTER DATA'!X421)</f>
        <v>N</v>
      </c>
      <c r="Y30" s="16" t="str">
        <f>IF('MASTER DATA'!Y421="","",'MASTER DATA'!Y421)</f>
        <v>N</v>
      </c>
      <c r="Z30" s="16" t="str">
        <f>IF('MASTER DATA'!Z421="","",'MASTER DATA'!Z421)</f>
        <v>N</v>
      </c>
      <c r="AA30" s="16">
        <f>IF('MASTER DATA'!AA421="","",'MASTER DATA'!AA421)</f>
        <v>1</v>
      </c>
      <c r="AB30" s="16" t="str">
        <f>IF('MASTER DATA'!AB421="","",'MASTER DATA'!AB421)</f>
        <v>SINGLE-SIGNAL</v>
      </c>
      <c r="AC30" s="16" t="str">
        <f>IF('MASTER DATA'!AC421="","",'MASTER DATA'!AC421)</f>
        <v>Settlement Authorization</v>
      </c>
    </row>
    <row r="31" spans="1:29" x14ac:dyDescent="0.45">
      <c r="A31" t="str">
        <f>IF('MASTER DATA'!A422="","",'MASTER DATA'!A422)</f>
        <v>SYN-CLM-0421</v>
      </c>
      <c r="B31" t="str">
        <f>IF('MASTER DATA'!B422="","",'MASTER DATA'!B422)</f>
        <v>Synthetic Claimant 0421</v>
      </c>
      <c r="C31" t="str">
        <f>IF('MASTER DATA'!C422="","",'MASTER DATA'!C422)</f>
        <v>Claims Analyst J</v>
      </c>
      <c r="D31" t="str">
        <f>IF('MASTER DATA'!D422="","",'MASTER DATA'!D422)</f>
        <v>Synthetic Policyholder 065, LLC</v>
      </c>
      <c r="E31" s="15">
        <f>IF('MASTER DATA'!E422="","",'MASTER DATA'!E422)</f>
        <v>45499</v>
      </c>
      <c r="F31" s="16" t="str">
        <f>IF('MASTER DATA'!F422="","",'MASTER DATA'!F422)</f>
        <v>Y</v>
      </c>
      <c r="G31" s="17">
        <f>IF('MASTER DATA'!G422="","",'MASTER DATA'!G422)</f>
        <v>63250</v>
      </c>
      <c r="H31" s="16" t="str">
        <f>IF('MASTER DATA'!H422="","",'MASTER DATA'!H422)</f>
        <v>Synthetic Approver 03</v>
      </c>
      <c r="I31" s="15">
        <f>IF('MASTER DATA'!I422="","",'MASTER DATA'!I422)</f>
        <v>47078</v>
      </c>
      <c r="J31" s="16" t="str">
        <f>IF('MASTER DATA'!J422="","",'MASTER DATA'!J422)</f>
        <v>N</v>
      </c>
      <c r="K31" s="15" t="str">
        <f>IF('MASTER DATA'!K422="","",'MASTER DATA'!K422)</f>
        <v/>
      </c>
      <c r="L31" s="16" t="str">
        <f>IF('MASTER DATA'!L422="","",'MASTER DATA'!L422)</f>
        <v>Y</v>
      </c>
      <c r="M31" s="16" t="str">
        <f>IF('MASTER DATA'!M422="","",'MASTER DATA'!M422)</f>
        <v>N</v>
      </c>
      <c r="N31" s="15" t="str">
        <f>IF('MASTER DATA'!N422="","",'MASTER DATA'!N422)</f>
        <v/>
      </c>
      <c r="O31" s="16" t="str">
        <f>IF('MASTER DATA'!O422="","",'MASTER DATA'!O422)</f>
        <v/>
      </c>
      <c r="P31" s="16" t="str">
        <f>IF('MASTER DATA'!P422="","",'MASTER DATA'!P422)</f>
        <v>N</v>
      </c>
      <c r="Q31" s="16" t="str">
        <f>IF('MASTER DATA'!Q422="","",'MASTER DATA'!Q422)</f>
        <v/>
      </c>
      <c r="R31" s="16" t="str">
        <f>IF('MASTER DATA'!R422="","",'MASTER DATA'!R422)</f>
        <v/>
      </c>
      <c r="S31" s="16" t="str">
        <f>IF('MASTER DATA'!S422="","",'MASTER DATA'!S422)</f>
        <v>N</v>
      </c>
      <c r="T31" s="15" t="str">
        <f>IF('MASTER DATA'!T422="","",'MASTER DATA'!T422)</f>
        <v/>
      </c>
      <c r="U31" s="16" t="str">
        <f>IF('MASTER DATA'!U422="","",'MASTER DATA'!U422)</f>
        <v>N</v>
      </c>
      <c r="V31" s="16" t="str">
        <f>IF('MASTER DATA'!V422="","",'MASTER DATA'!V422)</f>
        <v>N</v>
      </c>
      <c r="W31" s="16" t="str">
        <f>IF('MASTER DATA'!W422="","",'MASTER DATA'!W422)</f>
        <v>N</v>
      </c>
      <c r="X31" s="16" t="str">
        <f>IF('MASTER DATA'!X422="","",'MASTER DATA'!X422)</f>
        <v>N</v>
      </c>
      <c r="Y31" s="16" t="str">
        <f>IF('MASTER DATA'!Y422="","",'MASTER DATA'!Y422)</f>
        <v>N</v>
      </c>
      <c r="Z31" s="16" t="str">
        <f>IF('MASTER DATA'!Z422="","",'MASTER DATA'!Z422)</f>
        <v>N</v>
      </c>
      <c r="AA31" s="16">
        <f>IF('MASTER DATA'!AA422="","",'MASTER DATA'!AA422)</f>
        <v>1</v>
      </c>
      <c r="AB31" s="16" t="str">
        <f>IF('MASTER DATA'!AB422="","",'MASTER DATA'!AB422)</f>
        <v>SINGLE-SIGNAL</v>
      </c>
      <c r="AC31" s="16" t="str">
        <f>IF('MASTER DATA'!AC422="","",'MASTER DATA'!AC422)</f>
        <v>Settlement Authorization</v>
      </c>
    </row>
    <row r="32" spans="1:29" x14ac:dyDescent="0.45">
      <c r="A32" t="str">
        <f>IF('MASTER DATA'!A423="","",'MASTER DATA'!A423)</f>
        <v>SYN-CLM-0422</v>
      </c>
      <c r="B32" t="str">
        <f>IF('MASTER DATA'!B423="","",'MASTER DATA'!B423)</f>
        <v>Synthetic Claimant 0422</v>
      </c>
      <c r="C32" t="str">
        <f>IF('MASTER DATA'!C423="","",'MASTER DATA'!C423)</f>
        <v>Claims Analyst J</v>
      </c>
      <c r="D32" t="str">
        <f>IF('MASTER DATA'!D423="","",'MASTER DATA'!D423)</f>
        <v>Synthetic Policyholder 062, LLC</v>
      </c>
      <c r="E32" s="15">
        <f>IF('MASTER DATA'!E423="","",'MASTER DATA'!E423)</f>
        <v>43280</v>
      </c>
      <c r="F32" s="16" t="str">
        <f>IF('MASTER DATA'!F423="","",'MASTER DATA'!F423)</f>
        <v>N</v>
      </c>
      <c r="G32" s="17" t="str">
        <f>IF('MASTER DATA'!G423="","",'MASTER DATA'!G423)</f>
        <v/>
      </c>
      <c r="H32" s="16" t="str">
        <f>IF('MASTER DATA'!H423="","",'MASTER DATA'!H423)</f>
        <v/>
      </c>
      <c r="I32" s="15" t="str">
        <f>IF('MASTER DATA'!I423="","",'MASTER DATA'!I423)</f>
        <v/>
      </c>
      <c r="J32" s="16" t="str">
        <f>IF('MASTER DATA'!J423="","",'MASTER DATA'!J423)</f>
        <v>N</v>
      </c>
      <c r="K32" s="15" t="str">
        <f>IF('MASTER DATA'!K423="","",'MASTER DATA'!K423)</f>
        <v/>
      </c>
      <c r="L32" s="16" t="str">
        <f>IF('MASTER DATA'!L423="","",'MASTER DATA'!L423)</f>
        <v/>
      </c>
      <c r="M32" s="16" t="str">
        <f>IF('MASTER DATA'!M423="","",'MASTER DATA'!M423)</f>
        <v>N</v>
      </c>
      <c r="N32" s="15" t="str">
        <f>IF('MASTER DATA'!N423="","",'MASTER DATA'!N423)</f>
        <v/>
      </c>
      <c r="O32" s="16" t="str">
        <f>IF('MASTER DATA'!O423="","",'MASTER DATA'!O423)</f>
        <v/>
      </c>
      <c r="P32" s="16" t="str">
        <f>IF('MASTER DATA'!P423="","",'MASTER DATA'!P423)</f>
        <v>Y</v>
      </c>
      <c r="Q32" s="16" t="str">
        <f>IF('MASTER DATA'!Q423="","",'MASTER DATA'!Q423)</f>
        <v>Surgery Requested; MMI Date Reported</v>
      </c>
      <c r="R32" s="16" t="str">
        <f>IF('MASTER DATA'!R423="","",'MASTER DATA'!R423)</f>
        <v>Denied Treatment Requests; Non-Renewed Account</v>
      </c>
      <c r="S32" s="16" t="str">
        <f>IF('MASTER DATA'!S423="","",'MASTER DATA'!S423)</f>
        <v>N</v>
      </c>
      <c r="T32" s="15" t="str">
        <f>IF('MASTER DATA'!T423="","",'MASTER DATA'!T423)</f>
        <v/>
      </c>
      <c r="U32" s="16" t="str">
        <f>IF('MASTER DATA'!U423="","",'MASTER DATA'!U423)</f>
        <v>Y</v>
      </c>
      <c r="V32" s="16" t="str">
        <f>IF('MASTER DATA'!V423="","",'MASTER DATA'!V423)</f>
        <v>Y</v>
      </c>
      <c r="W32" s="16" t="str">
        <f>IF('MASTER DATA'!W423="","",'MASTER DATA'!W423)</f>
        <v>Y</v>
      </c>
      <c r="X32" s="16" t="str">
        <f>IF('MASTER DATA'!X423="","",'MASTER DATA'!X423)</f>
        <v>N</v>
      </c>
      <c r="Y32" s="16" t="str">
        <f>IF('MASTER DATA'!Y423="","",'MASTER DATA'!Y423)</f>
        <v>Y</v>
      </c>
      <c r="Z32" s="16" t="str">
        <f>IF('MASTER DATA'!Z423="","",'MASTER DATA'!Z423)</f>
        <v>N</v>
      </c>
      <c r="AA32" s="16">
        <f>IF('MASTER DATA'!AA423="","",'MASTER DATA'!AA423)</f>
        <v>1</v>
      </c>
      <c r="AB32" s="16" t="str">
        <f>IF('MASTER DATA'!AB423="","",'MASTER DATA'!AB423)</f>
        <v>SINGLE-SIGNAL</v>
      </c>
      <c r="AC32" s="16" t="str">
        <f>IF('MASTER DATA'!AC423="","",'MASTER DATA'!AC423)</f>
        <v>Automated Claim Alert</v>
      </c>
    </row>
    <row r="33" spans="1:29" x14ac:dyDescent="0.45">
      <c r="A33" t="str">
        <f>IF('MASTER DATA'!A424="","",'MASTER DATA'!A424)</f>
        <v>SYN-CLM-0423</v>
      </c>
      <c r="B33" t="str">
        <f>IF('MASTER DATA'!B424="","",'MASTER DATA'!B424)</f>
        <v>Synthetic Claimant 0423</v>
      </c>
      <c r="C33" t="str">
        <f>IF('MASTER DATA'!C424="","",'MASTER DATA'!C424)</f>
        <v>Claims Analyst J</v>
      </c>
      <c r="D33" t="str">
        <f>IF('MASTER DATA'!D424="","",'MASTER DATA'!D424)</f>
        <v>Synthetic Policyholder 001, LLC</v>
      </c>
      <c r="E33" s="15">
        <f>IF('MASTER DATA'!E424="","",'MASTER DATA'!E424)</f>
        <v>43162</v>
      </c>
      <c r="F33" s="16" t="str">
        <f>IF('MASTER DATA'!F424="","",'MASTER DATA'!F424)</f>
        <v>Y</v>
      </c>
      <c r="G33" s="17">
        <f>IF('MASTER DATA'!G424="","",'MASTER DATA'!G424)</f>
        <v>51750</v>
      </c>
      <c r="H33" s="16" t="str">
        <f>IF('MASTER DATA'!H424="","",'MASTER DATA'!H424)</f>
        <v>Synthetic Approver 08</v>
      </c>
      <c r="I33" s="15">
        <f>IF('MASTER DATA'!I424="","",'MASTER DATA'!I424)</f>
        <v>43771</v>
      </c>
      <c r="J33" s="16" t="str">
        <f>IF('MASTER DATA'!J424="","",'MASTER DATA'!J424)</f>
        <v>N</v>
      </c>
      <c r="K33" s="15" t="str">
        <f>IF('MASTER DATA'!K424="","",'MASTER DATA'!K424)</f>
        <v/>
      </c>
      <c r="L33" s="16" t="str">
        <f>IF('MASTER DATA'!L424="","",'MASTER DATA'!L424)</f>
        <v>N</v>
      </c>
      <c r="M33" s="16" t="str">
        <f>IF('MASTER DATA'!M424="","",'MASTER DATA'!M424)</f>
        <v>N</v>
      </c>
      <c r="N33" s="15" t="str">
        <f>IF('MASTER DATA'!N424="","",'MASTER DATA'!N424)</f>
        <v/>
      </c>
      <c r="O33" s="16" t="str">
        <f>IF('MASTER DATA'!O424="","",'MASTER DATA'!O424)</f>
        <v/>
      </c>
      <c r="P33" s="16" t="str">
        <f>IF('MASTER DATA'!P424="","",'MASTER DATA'!P424)</f>
        <v>N</v>
      </c>
      <c r="Q33" s="16" t="str">
        <f>IF('MASTER DATA'!Q424="","",'MASTER DATA'!Q424)</f>
        <v/>
      </c>
      <c r="R33" s="16" t="str">
        <f>IF('MASTER DATA'!R424="","",'MASTER DATA'!R424)</f>
        <v/>
      </c>
      <c r="S33" s="16" t="str">
        <f>IF('MASTER DATA'!S424="","",'MASTER DATA'!S424)</f>
        <v>N</v>
      </c>
      <c r="T33" s="15" t="str">
        <f>IF('MASTER DATA'!T424="","",'MASTER DATA'!T424)</f>
        <v/>
      </c>
      <c r="U33" s="16" t="str">
        <f>IF('MASTER DATA'!U424="","",'MASTER DATA'!U424)</f>
        <v>N</v>
      </c>
      <c r="V33" s="16" t="str">
        <f>IF('MASTER DATA'!V424="","",'MASTER DATA'!V424)</f>
        <v>N</v>
      </c>
      <c r="W33" s="16" t="str">
        <f>IF('MASTER DATA'!W424="","",'MASTER DATA'!W424)</f>
        <v>N</v>
      </c>
      <c r="X33" s="16" t="str">
        <f>IF('MASTER DATA'!X424="","",'MASTER DATA'!X424)</f>
        <v>N</v>
      </c>
      <c r="Y33" s="16" t="str">
        <f>IF('MASTER DATA'!Y424="","",'MASTER DATA'!Y424)</f>
        <v>N</v>
      </c>
      <c r="Z33" s="16" t="str">
        <f>IF('MASTER DATA'!Z424="","",'MASTER DATA'!Z424)</f>
        <v>N</v>
      </c>
      <c r="AA33" s="16">
        <f>IF('MASTER DATA'!AA424="","",'MASTER DATA'!AA424)</f>
        <v>1</v>
      </c>
      <c r="AB33" s="16" t="str">
        <f>IF('MASTER DATA'!AB424="","",'MASTER DATA'!AB424)</f>
        <v>SINGLE-SIGNAL</v>
      </c>
      <c r="AC33" s="16" t="str">
        <f>IF('MASTER DATA'!AC424="","",'MASTER DATA'!AC424)</f>
        <v>Settlement Authorization</v>
      </c>
    </row>
    <row r="34" spans="1:29" x14ac:dyDescent="0.45">
      <c r="A34" t="str">
        <f>IF('MASTER DATA'!A425="","",'MASTER DATA'!A425)</f>
        <v>SYN-CLM-0424</v>
      </c>
      <c r="B34" t="str">
        <f>IF('MASTER DATA'!B425="","",'MASTER DATA'!B425)</f>
        <v>Synthetic Claimant 0424</v>
      </c>
      <c r="C34" t="str">
        <f>IF('MASTER DATA'!C425="","",'MASTER DATA'!C425)</f>
        <v>Claims Analyst J</v>
      </c>
      <c r="D34" t="str">
        <f>IF('MASTER DATA'!D425="","",'MASTER DATA'!D425)</f>
        <v>Synthetic Policyholder 032, LLC</v>
      </c>
      <c r="E34" s="15">
        <f>IF('MASTER DATA'!E425="","",'MASTER DATA'!E425)</f>
        <v>43389</v>
      </c>
      <c r="F34" s="16" t="str">
        <f>IF('MASTER DATA'!F425="","",'MASTER DATA'!F425)</f>
        <v>Y</v>
      </c>
      <c r="G34" s="17">
        <f>IF('MASTER DATA'!G425="","",'MASTER DATA'!G425)</f>
        <v>143500</v>
      </c>
      <c r="H34" s="16" t="str">
        <f>IF('MASTER DATA'!H425="","",'MASTER DATA'!H425)</f>
        <v>Synthetic Approver 10</v>
      </c>
      <c r="I34" s="15">
        <f>IF('MASTER DATA'!I425="","",'MASTER DATA'!I425)</f>
        <v>43488</v>
      </c>
      <c r="J34" s="16" t="str">
        <f>IF('MASTER DATA'!J425="","",'MASTER DATA'!J425)</f>
        <v>N</v>
      </c>
      <c r="K34" s="15" t="str">
        <f>IF('MASTER DATA'!K425="","",'MASTER DATA'!K425)</f>
        <v/>
      </c>
      <c r="L34" s="16" t="str">
        <f>IF('MASTER DATA'!L425="","",'MASTER DATA'!L425)</f>
        <v>N</v>
      </c>
      <c r="M34" s="16" t="str">
        <f>IF('MASTER DATA'!M425="","",'MASTER DATA'!M425)</f>
        <v>N</v>
      </c>
      <c r="N34" s="15" t="str">
        <f>IF('MASTER DATA'!N425="","",'MASTER DATA'!N425)</f>
        <v/>
      </c>
      <c r="O34" s="16" t="str">
        <f>IF('MASTER DATA'!O425="","",'MASTER DATA'!O425)</f>
        <v/>
      </c>
      <c r="P34" s="16" t="str">
        <f>IF('MASTER DATA'!P425="","",'MASTER DATA'!P425)</f>
        <v>Y</v>
      </c>
      <c r="Q34" s="16" t="str">
        <f>IF('MASTER DATA'!Q425="","",'MASTER DATA'!Q425)</f>
        <v>Surgery Requested; Denied Treatment Requests; MMI Date Reported</v>
      </c>
      <c r="R34" s="16" t="str">
        <f>IF('MASTER DATA'!R425="","",'MASTER DATA'!R425)</f>
        <v>Non-Renewed Account; MSA Eligible in Next 3 Years</v>
      </c>
      <c r="S34" s="16" t="str">
        <f>IF('MASTER DATA'!S425="","",'MASTER DATA'!S425)</f>
        <v>Y</v>
      </c>
      <c r="T34" s="15">
        <f>IF('MASTER DATA'!T425="","",'MASTER DATA'!T425)</f>
        <v>45493</v>
      </c>
      <c r="U34" s="16" t="str">
        <f>IF('MASTER DATA'!U425="","",'MASTER DATA'!U425)</f>
        <v>Y</v>
      </c>
      <c r="V34" s="16" t="str">
        <f>IF('MASTER DATA'!V425="","",'MASTER DATA'!V425)</f>
        <v>Y</v>
      </c>
      <c r="W34" s="16" t="str">
        <f>IF('MASTER DATA'!W425="","",'MASTER DATA'!W425)</f>
        <v>Y</v>
      </c>
      <c r="X34" s="16" t="str">
        <f>IF('MASTER DATA'!X425="","",'MASTER DATA'!X425)</f>
        <v>N</v>
      </c>
      <c r="Y34" s="16" t="str">
        <f>IF('MASTER DATA'!Y425="","",'MASTER DATA'!Y425)</f>
        <v>Y</v>
      </c>
      <c r="Z34" s="16" t="str">
        <f>IF('MASTER DATA'!Z425="","",'MASTER DATA'!Z425)</f>
        <v>Y</v>
      </c>
      <c r="AA34" s="16">
        <f>IF('MASTER DATA'!AA425="","",'MASTER DATA'!AA425)</f>
        <v>3</v>
      </c>
      <c r="AB34" s="16" t="str">
        <f>IF('MASTER DATA'!AB425="","",'MASTER DATA'!AB425)</f>
        <v>ELEVATED MULTI-SIGNAL</v>
      </c>
      <c r="AC34" s="16" t="str">
        <f>IF('MASTER DATA'!AC425="","",'MASTER DATA'!AC425)</f>
        <v>Settlement Authorization | Automated Claim Alert | Inactive Customer</v>
      </c>
    </row>
    <row r="35" spans="1:29" x14ac:dyDescent="0.45">
      <c r="A35" t="str">
        <f>IF('MASTER DATA'!A426="","",'MASTER DATA'!A426)</f>
        <v>SYN-CLM-0425</v>
      </c>
      <c r="B35" t="str">
        <f>IF('MASTER DATA'!B426="","",'MASTER DATA'!B426)</f>
        <v>Synthetic Claimant 0425</v>
      </c>
      <c r="C35" t="str">
        <f>IF('MASTER DATA'!C426="","",'MASTER DATA'!C426)</f>
        <v>Claims Analyst J</v>
      </c>
      <c r="D35" t="str">
        <f>IF('MASTER DATA'!D426="","",'MASTER DATA'!D426)</f>
        <v>Synthetic Policyholder 093, LLC</v>
      </c>
      <c r="E35" s="15">
        <f>IF('MASTER DATA'!E426="","",'MASTER DATA'!E426)</f>
        <v>45323</v>
      </c>
      <c r="F35" s="16" t="str">
        <f>IF('MASTER DATA'!F426="","",'MASTER DATA'!F426)</f>
        <v>Y</v>
      </c>
      <c r="G35" s="17">
        <f>IF('MASTER DATA'!G426="","",'MASTER DATA'!G426)</f>
        <v>159750</v>
      </c>
      <c r="H35" s="16" t="str">
        <f>IF('MASTER DATA'!H426="","",'MASTER DATA'!H426)</f>
        <v>Synthetic Approver 07</v>
      </c>
      <c r="I35" s="15">
        <f>IF('MASTER DATA'!I426="","",'MASTER DATA'!I426)</f>
        <v>46084</v>
      </c>
      <c r="J35" s="16" t="str">
        <f>IF('MASTER DATA'!J426="","",'MASTER DATA'!J426)</f>
        <v>N</v>
      </c>
      <c r="K35" s="15" t="str">
        <f>IF('MASTER DATA'!K426="","",'MASTER DATA'!K426)</f>
        <v/>
      </c>
      <c r="L35" s="16" t="str">
        <f>IF('MASTER DATA'!L426="","",'MASTER DATA'!L426)</f>
        <v>N</v>
      </c>
      <c r="M35" s="16" t="str">
        <f>IF('MASTER DATA'!M426="","",'MASTER DATA'!M426)</f>
        <v>N</v>
      </c>
      <c r="N35" s="15" t="str">
        <f>IF('MASTER DATA'!N426="","",'MASTER DATA'!N426)</f>
        <v/>
      </c>
      <c r="O35" s="16" t="str">
        <f>IF('MASTER DATA'!O426="","",'MASTER DATA'!O426)</f>
        <v/>
      </c>
      <c r="P35" s="16" t="str">
        <f>IF('MASTER DATA'!P426="","",'MASTER DATA'!P426)</f>
        <v>N</v>
      </c>
      <c r="Q35" s="16" t="str">
        <f>IF('MASTER DATA'!Q426="","",'MASTER DATA'!Q426)</f>
        <v/>
      </c>
      <c r="R35" s="16" t="str">
        <f>IF('MASTER DATA'!R426="","",'MASTER DATA'!R426)</f>
        <v/>
      </c>
      <c r="S35" s="16" t="str">
        <f>IF('MASTER DATA'!S426="","",'MASTER DATA'!S426)</f>
        <v>N</v>
      </c>
      <c r="T35" s="15" t="str">
        <f>IF('MASTER DATA'!T426="","",'MASTER DATA'!T426)</f>
        <v/>
      </c>
      <c r="U35" s="16" t="str">
        <f>IF('MASTER DATA'!U426="","",'MASTER DATA'!U426)</f>
        <v>N</v>
      </c>
      <c r="V35" s="16" t="str">
        <f>IF('MASTER DATA'!V426="","",'MASTER DATA'!V426)</f>
        <v>N</v>
      </c>
      <c r="W35" s="16" t="str">
        <f>IF('MASTER DATA'!W426="","",'MASTER DATA'!W426)</f>
        <v>N</v>
      </c>
      <c r="X35" s="16" t="str">
        <f>IF('MASTER DATA'!X426="","",'MASTER DATA'!X426)</f>
        <v>N</v>
      </c>
      <c r="Y35" s="16" t="str">
        <f>IF('MASTER DATA'!Y426="","",'MASTER DATA'!Y426)</f>
        <v>N</v>
      </c>
      <c r="Z35" s="16" t="str">
        <f>IF('MASTER DATA'!Z426="","",'MASTER DATA'!Z426)</f>
        <v>N</v>
      </c>
      <c r="AA35" s="16">
        <f>IF('MASTER DATA'!AA426="","",'MASTER DATA'!AA426)</f>
        <v>1</v>
      </c>
      <c r="AB35" s="16" t="str">
        <f>IF('MASTER DATA'!AB426="","",'MASTER DATA'!AB426)</f>
        <v>SINGLE-SIGNAL</v>
      </c>
      <c r="AC35" s="16" t="str">
        <f>IF('MASTER DATA'!AC426="","",'MASTER DATA'!AC426)</f>
        <v>Settlement Authorization</v>
      </c>
    </row>
    <row r="36" spans="1:29" x14ac:dyDescent="0.45">
      <c r="A36" t="str">
        <f>IF('MASTER DATA'!A427="","",'MASTER DATA'!A427)</f>
        <v>SYN-CLM-0426</v>
      </c>
      <c r="B36" t="str">
        <f>IF('MASTER DATA'!B427="","",'MASTER DATA'!B427)</f>
        <v>Synthetic Claimant 0426</v>
      </c>
      <c r="C36" t="str">
        <f>IF('MASTER DATA'!C427="","",'MASTER DATA'!C427)</f>
        <v>Claims Analyst J</v>
      </c>
      <c r="D36" t="str">
        <f>IF('MASTER DATA'!D427="","",'MASTER DATA'!D427)</f>
        <v>Synthetic Policyholder 178, LLC</v>
      </c>
      <c r="E36" s="15">
        <f>IF('MASTER DATA'!E427="","",'MASTER DATA'!E427)</f>
        <v>45975</v>
      </c>
      <c r="F36" s="16" t="str">
        <f>IF('MASTER DATA'!F427="","",'MASTER DATA'!F427)</f>
        <v>N</v>
      </c>
      <c r="G36" s="17" t="str">
        <f>IF('MASTER DATA'!G427="","",'MASTER DATA'!G427)</f>
        <v/>
      </c>
      <c r="H36" s="16" t="str">
        <f>IF('MASTER DATA'!H427="","",'MASTER DATA'!H427)</f>
        <v/>
      </c>
      <c r="I36" s="15" t="str">
        <f>IF('MASTER DATA'!I427="","",'MASTER DATA'!I427)</f>
        <v/>
      </c>
      <c r="J36" s="16" t="str">
        <f>IF('MASTER DATA'!J427="","",'MASTER DATA'!J427)</f>
        <v>N</v>
      </c>
      <c r="K36" s="15" t="str">
        <f>IF('MASTER DATA'!K427="","",'MASTER DATA'!K427)</f>
        <v/>
      </c>
      <c r="L36" s="16" t="str">
        <f>IF('MASTER DATA'!L427="","",'MASTER DATA'!L427)</f>
        <v/>
      </c>
      <c r="M36" s="16" t="str">
        <f>IF('MASTER DATA'!M427="","",'MASTER DATA'!M427)</f>
        <v>N</v>
      </c>
      <c r="N36" s="15" t="str">
        <f>IF('MASTER DATA'!N427="","",'MASTER DATA'!N427)</f>
        <v/>
      </c>
      <c r="O36" s="16" t="str">
        <f>IF('MASTER DATA'!O427="","",'MASTER DATA'!O427)</f>
        <v/>
      </c>
      <c r="P36" s="16" t="str">
        <f>IF('MASTER DATA'!P427="","",'MASTER DATA'!P427)</f>
        <v>Y</v>
      </c>
      <c r="Q36" s="16" t="str">
        <f>IF('MASTER DATA'!Q427="","",'MASTER DATA'!Q427)</f>
        <v>Surgery Requested</v>
      </c>
      <c r="R36" s="16" t="str">
        <f>IF('MASTER DATA'!R427="","",'MASTER DATA'!R427)</f>
        <v>MSA Eligible in Next 3 Years; MMI Date Reported</v>
      </c>
      <c r="S36" s="16" t="str">
        <f>IF('MASTER DATA'!S427="","",'MASTER DATA'!S427)</f>
        <v>N</v>
      </c>
      <c r="T36" s="15" t="str">
        <f>IF('MASTER DATA'!T427="","",'MASTER DATA'!T427)</f>
        <v/>
      </c>
      <c r="U36" s="16" t="str">
        <f>IF('MASTER DATA'!U427="","",'MASTER DATA'!U427)</f>
        <v>Y</v>
      </c>
      <c r="V36" s="16" t="str">
        <f>IF('MASTER DATA'!V427="","",'MASTER DATA'!V427)</f>
        <v>Y</v>
      </c>
      <c r="W36" s="16" t="str">
        <f>IF('MASTER DATA'!W427="","",'MASTER DATA'!W427)</f>
        <v>N</v>
      </c>
      <c r="X36" s="16" t="str">
        <f>IF('MASTER DATA'!X427="","",'MASTER DATA'!X427)</f>
        <v>N</v>
      </c>
      <c r="Y36" s="16" t="str">
        <f>IF('MASTER DATA'!Y427="","",'MASTER DATA'!Y427)</f>
        <v>N</v>
      </c>
      <c r="Z36" s="16" t="str">
        <f>IF('MASTER DATA'!Z427="","",'MASTER DATA'!Z427)</f>
        <v>Y</v>
      </c>
      <c r="AA36" s="16">
        <f>IF('MASTER DATA'!AA427="","",'MASTER DATA'!AA427)</f>
        <v>1</v>
      </c>
      <c r="AB36" s="16" t="str">
        <f>IF('MASTER DATA'!AB427="","",'MASTER DATA'!AB427)</f>
        <v>SINGLE-SIGNAL</v>
      </c>
      <c r="AC36" s="16" t="str">
        <f>IF('MASTER DATA'!AC427="","",'MASTER DATA'!AC427)</f>
        <v>Automated Claim Alert</v>
      </c>
    </row>
    <row r="37" spans="1:29" x14ac:dyDescent="0.45">
      <c r="A37" t="str">
        <f>IF('MASTER DATA'!A428="","",'MASTER DATA'!A428)</f>
        <v>SYN-CLM-0427</v>
      </c>
      <c r="B37" t="str">
        <f>IF('MASTER DATA'!B428="","",'MASTER DATA'!B428)</f>
        <v>Synthetic Claimant 0427</v>
      </c>
      <c r="C37" t="str">
        <f>IF('MASTER DATA'!C428="","",'MASTER DATA'!C428)</f>
        <v>Claims Analyst J</v>
      </c>
      <c r="D37" t="str">
        <f>IF('MASTER DATA'!D428="","",'MASTER DATA'!D428)</f>
        <v>Synthetic Policyholder 051, LLC</v>
      </c>
      <c r="E37" s="15">
        <f>IF('MASTER DATA'!E428="","",'MASTER DATA'!E428)</f>
        <v>43525</v>
      </c>
      <c r="F37" s="16" t="str">
        <f>IF('MASTER DATA'!F428="","",'MASTER DATA'!F428)</f>
        <v>Y</v>
      </c>
      <c r="G37" s="17">
        <f>IF('MASTER DATA'!G428="","",'MASTER DATA'!G428)</f>
        <v>115000</v>
      </c>
      <c r="H37" s="16" t="str">
        <f>IF('MASTER DATA'!H428="","",'MASTER DATA'!H428)</f>
        <v>Synthetic Approver 04</v>
      </c>
      <c r="I37" s="15">
        <f>IF('MASTER DATA'!I428="","",'MASTER DATA'!I428)</f>
        <v>43788</v>
      </c>
      <c r="J37" s="16" t="str">
        <f>IF('MASTER DATA'!J428="","",'MASTER DATA'!J428)</f>
        <v>N</v>
      </c>
      <c r="K37" s="15" t="str">
        <f>IF('MASTER DATA'!K428="","",'MASTER DATA'!K428)</f>
        <v/>
      </c>
      <c r="L37" s="16" t="str">
        <f>IF('MASTER DATA'!L428="","",'MASTER DATA'!L428)</f>
        <v>N</v>
      </c>
      <c r="M37" s="16" t="str">
        <f>IF('MASTER DATA'!M428="","",'MASTER DATA'!M428)</f>
        <v>N</v>
      </c>
      <c r="N37" s="15" t="str">
        <f>IF('MASTER DATA'!N428="","",'MASTER DATA'!N428)</f>
        <v/>
      </c>
      <c r="O37" s="16" t="str">
        <f>IF('MASTER DATA'!O428="","",'MASTER DATA'!O428)</f>
        <v/>
      </c>
      <c r="P37" s="16" t="str">
        <f>IF('MASTER DATA'!P428="","",'MASTER DATA'!P428)</f>
        <v>Y</v>
      </c>
      <c r="Q37" s="16" t="str">
        <f>IF('MASTER DATA'!Q428="","",'MASTER DATA'!Q428)</f>
        <v>MMI Date Reported; Specialist Consultation Requested</v>
      </c>
      <c r="R37" s="16" t="str">
        <f>IF('MASTER DATA'!R428="","",'MASTER DATA'!R428)</f>
        <v/>
      </c>
      <c r="S37" s="16" t="str">
        <f>IF('MASTER DATA'!S428="","",'MASTER DATA'!S428)</f>
        <v>N</v>
      </c>
      <c r="T37" s="15" t="str">
        <f>IF('MASTER DATA'!T428="","",'MASTER DATA'!T428)</f>
        <v/>
      </c>
      <c r="U37" s="16" t="str">
        <f>IF('MASTER DATA'!U428="","",'MASTER DATA'!U428)</f>
        <v>N</v>
      </c>
      <c r="V37" s="16" t="str">
        <f>IF('MASTER DATA'!V428="","",'MASTER DATA'!V428)</f>
        <v>Y</v>
      </c>
      <c r="W37" s="16" t="str">
        <f>IF('MASTER DATA'!W428="","",'MASTER DATA'!W428)</f>
        <v>N</v>
      </c>
      <c r="X37" s="16" t="str">
        <f>IF('MASTER DATA'!X428="","",'MASTER DATA'!X428)</f>
        <v>Y</v>
      </c>
      <c r="Y37" s="16" t="str">
        <f>IF('MASTER DATA'!Y428="","",'MASTER DATA'!Y428)</f>
        <v>N</v>
      </c>
      <c r="Z37" s="16" t="str">
        <f>IF('MASTER DATA'!Z428="","",'MASTER DATA'!Z428)</f>
        <v>N</v>
      </c>
      <c r="AA37" s="16">
        <f>IF('MASTER DATA'!AA428="","",'MASTER DATA'!AA428)</f>
        <v>2</v>
      </c>
      <c r="AB37" s="16" t="str">
        <f>IF('MASTER DATA'!AB428="","",'MASTER DATA'!AB428)</f>
        <v>MULTI-SIGNAL</v>
      </c>
      <c r="AC37" s="16" t="str">
        <f>IF('MASTER DATA'!AC428="","",'MASTER DATA'!AC428)</f>
        <v>Settlement Authorization | Automated Claim Alert</v>
      </c>
    </row>
    <row r="38" spans="1:29" x14ac:dyDescent="0.45">
      <c r="A38" t="str">
        <f>IF('MASTER DATA'!A429="","",'MASTER DATA'!A429)</f>
        <v>SYN-CLM-0428</v>
      </c>
      <c r="B38" t="str">
        <f>IF('MASTER DATA'!B429="","",'MASTER DATA'!B429)</f>
        <v>Synthetic Claimant 0428</v>
      </c>
      <c r="C38" t="str">
        <f>IF('MASTER DATA'!C429="","",'MASTER DATA'!C429)</f>
        <v>Claims Analyst J</v>
      </c>
      <c r="D38" t="str">
        <f>IF('MASTER DATA'!D429="","",'MASTER DATA'!D429)</f>
        <v>Synthetic Policyholder 059, LLC</v>
      </c>
      <c r="E38" s="15">
        <f>IF('MASTER DATA'!E429="","",'MASTER DATA'!E429)</f>
        <v>43795</v>
      </c>
      <c r="F38" s="16" t="str">
        <f>IF('MASTER DATA'!F429="","",'MASTER DATA'!F429)</f>
        <v>Y</v>
      </c>
      <c r="G38" s="17">
        <f>IF('MASTER DATA'!G429="","",'MASTER DATA'!G429)</f>
        <v>68750</v>
      </c>
      <c r="H38" s="16" t="str">
        <f>IF('MASTER DATA'!H429="","",'MASTER DATA'!H429)</f>
        <v>Synthetic Approver 02</v>
      </c>
      <c r="I38" s="15">
        <f>IF('MASTER DATA'!I429="","",'MASTER DATA'!I429)</f>
        <v>45549</v>
      </c>
      <c r="J38" s="16" t="str">
        <f>IF('MASTER DATA'!J429="","",'MASTER DATA'!J429)</f>
        <v>N</v>
      </c>
      <c r="K38" s="15" t="str">
        <f>IF('MASTER DATA'!K429="","",'MASTER DATA'!K429)</f>
        <v/>
      </c>
      <c r="L38" s="16" t="str">
        <f>IF('MASTER DATA'!L429="","",'MASTER DATA'!L429)</f>
        <v>N</v>
      </c>
      <c r="M38" s="16" t="str">
        <f>IF('MASTER DATA'!M429="","",'MASTER DATA'!M429)</f>
        <v>N</v>
      </c>
      <c r="N38" s="15" t="str">
        <f>IF('MASTER DATA'!N429="","",'MASTER DATA'!N429)</f>
        <v/>
      </c>
      <c r="O38" s="16" t="str">
        <f>IF('MASTER DATA'!O429="","",'MASTER DATA'!O429)</f>
        <v/>
      </c>
      <c r="P38" s="16" t="str">
        <f>IF('MASTER DATA'!P429="","",'MASTER DATA'!P429)</f>
        <v>N</v>
      </c>
      <c r="Q38" s="16" t="str">
        <f>IF('MASTER DATA'!Q429="","",'MASTER DATA'!Q429)</f>
        <v/>
      </c>
      <c r="R38" s="16" t="str">
        <f>IF('MASTER DATA'!R429="","",'MASTER DATA'!R429)</f>
        <v/>
      </c>
      <c r="S38" s="16" t="str">
        <f>IF('MASTER DATA'!S429="","",'MASTER DATA'!S429)</f>
        <v>N</v>
      </c>
      <c r="T38" s="15" t="str">
        <f>IF('MASTER DATA'!T429="","",'MASTER DATA'!T429)</f>
        <v/>
      </c>
      <c r="U38" s="16" t="str">
        <f>IF('MASTER DATA'!U429="","",'MASTER DATA'!U429)</f>
        <v>N</v>
      </c>
      <c r="V38" s="16" t="str">
        <f>IF('MASTER DATA'!V429="","",'MASTER DATA'!V429)</f>
        <v>N</v>
      </c>
      <c r="W38" s="16" t="str">
        <f>IF('MASTER DATA'!W429="","",'MASTER DATA'!W429)</f>
        <v>N</v>
      </c>
      <c r="X38" s="16" t="str">
        <f>IF('MASTER DATA'!X429="","",'MASTER DATA'!X429)</f>
        <v>N</v>
      </c>
      <c r="Y38" s="16" t="str">
        <f>IF('MASTER DATA'!Y429="","",'MASTER DATA'!Y429)</f>
        <v>N</v>
      </c>
      <c r="Z38" s="16" t="str">
        <f>IF('MASTER DATA'!Z429="","",'MASTER DATA'!Z429)</f>
        <v>N</v>
      </c>
      <c r="AA38" s="16">
        <f>IF('MASTER DATA'!AA429="","",'MASTER DATA'!AA429)</f>
        <v>1</v>
      </c>
      <c r="AB38" s="16" t="str">
        <f>IF('MASTER DATA'!AB429="","",'MASTER DATA'!AB429)</f>
        <v>SINGLE-SIGNAL</v>
      </c>
      <c r="AC38" s="16" t="str">
        <f>IF('MASTER DATA'!AC429="","",'MASTER DATA'!AC429)</f>
        <v>Settlement Authorization</v>
      </c>
    </row>
    <row r="39" spans="1:29" x14ac:dyDescent="0.45">
      <c r="A39" t="str">
        <f>IF('MASTER DATA'!A430="","",'MASTER DATA'!A430)</f>
        <v>SYN-CLM-0429</v>
      </c>
      <c r="B39" t="str">
        <f>IF('MASTER DATA'!B430="","",'MASTER DATA'!B430)</f>
        <v>Synthetic Claimant 0429</v>
      </c>
      <c r="C39" t="str">
        <f>IF('MASTER DATA'!C430="","",'MASTER DATA'!C430)</f>
        <v>Claims Analyst J</v>
      </c>
      <c r="D39" t="str">
        <f>IF('MASTER DATA'!D430="","",'MASTER DATA'!D430)</f>
        <v>Synthetic Policyholder 004, LLC</v>
      </c>
      <c r="E39" s="15">
        <f>IF('MASTER DATA'!E430="","",'MASTER DATA'!E430)</f>
        <v>43357</v>
      </c>
      <c r="F39" s="16" t="str">
        <f>IF('MASTER DATA'!F430="","",'MASTER DATA'!F430)</f>
        <v>N</v>
      </c>
      <c r="G39" s="17" t="str">
        <f>IF('MASTER DATA'!G430="","",'MASTER DATA'!G430)</f>
        <v/>
      </c>
      <c r="H39" s="16" t="str">
        <f>IF('MASTER DATA'!H430="","",'MASTER DATA'!H430)</f>
        <v/>
      </c>
      <c r="I39" s="15" t="str">
        <f>IF('MASTER DATA'!I430="","",'MASTER DATA'!I430)</f>
        <v/>
      </c>
      <c r="J39" s="16" t="str">
        <f>IF('MASTER DATA'!J430="","",'MASTER DATA'!J430)</f>
        <v>N</v>
      </c>
      <c r="K39" s="15" t="str">
        <f>IF('MASTER DATA'!K430="","",'MASTER DATA'!K430)</f>
        <v/>
      </c>
      <c r="L39" s="16" t="str">
        <f>IF('MASTER DATA'!L430="","",'MASTER DATA'!L430)</f>
        <v/>
      </c>
      <c r="M39" s="16" t="str">
        <f>IF('MASTER DATA'!M430="","",'MASTER DATA'!M430)</f>
        <v>N</v>
      </c>
      <c r="N39" s="15" t="str">
        <f>IF('MASTER DATA'!N430="","",'MASTER DATA'!N430)</f>
        <v/>
      </c>
      <c r="O39" s="16" t="str">
        <f>IF('MASTER DATA'!O430="","",'MASTER DATA'!O430)</f>
        <v/>
      </c>
      <c r="P39" s="16" t="str">
        <f>IF('MASTER DATA'!P430="","",'MASTER DATA'!P430)</f>
        <v>Y</v>
      </c>
      <c r="Q39" s="16" t="str">
        <f>IF('MASTER DATA'!Q430="","",'MASTER DATA'!Q430)</f>
        <v>Surgery Requested</v>
      </c>
      <c r="R39" s="16" t="str">
        <f>IF('MASTER DATA'!R430="","",'MASTER DATA'!R430)</f>
        <v>Non-Renewed Account</v>
      </c>
      <c r="S39" s="16" t="str">
        <f>IF('MASTER DATA'!S430="","",'MASTER DATA'!S430)</f>
        <v>N</v>
      </c>
      <c r="T39" s="15" t="str">
        <f>IF('MASTER DATA'!T430="","",'MASTER DATA'!T430)</f>
        <v/>
      </c>
      <c r="U39" s="16" t="str">
        <f>IF('MASTER DATA'!U430="","",'MASTER DATA'!U430)</f>
        <v>Y</v>
      </c>
      <c r="V39" s="16" t="str">
        <f>IF('MASTER DATA'!V430="","",'MASTER DATA'!V430)</f>
        <v>N</v>
      </c>
      <c r="W39" s="16" t="str">
        <f>IF('MASTER DATA'!W430="","",'MASTER DATA'!W430)</f>
        <v>N</v>
      </c>
      <c r="X39" s="16" t="str">
        <f>IF('MASTER DATA'!X430="","",'MASTER DATA'!X430)</f>
        <v>N</v>
      </c>
      <c r="Y39" s="16" t="str">
        <f>IF('MASTER DATA'!Y430="","",'MASTER DATA'!Y430)</f>
        <v>Y</v>
      </c>
      <c r="Z39" s="16" t="str">
        <f>IF('MASTER DATA'!Z430="","",'MASTER DATA'!Z430)</f>
        <v>N</v>
      </c>
      <c r="AA39" s="16">
        <f>IF('MASTER DATA'!AA430="","",'MASTER DATA'!AA430)</f>
        <v>1</v>
      </c>
      <c r="AB39" s="16" t="str">
        <f>IF('MASTER DATA'!AB430="","",'MASTER DATA'!AB430)</f>
        <v>SINGLE-SIGNAL</v>
      </c>
      <c r="AC39" s="16" t="str">
        <f>IF('MASTER DATA'!AC430="","",'MASTER DATA'!AC430)</f>
        <v>Automated Claim Alert</v>
      </c>
    </row>
    <row r="40" spans="1:29" x14ac:dyDescent="0.45">
      <c r="A40" t="str">
        <f>IF('MASTER DATA'!A431="","",'MASTER DATA'!A431)</f>
        <v>SYN-CLM-0430</v>
      </c>
      <c r="B40" t="str">
        <f>IF('MASTER DATA'!B431="","",'MASTER DATA'!B431)</f>
        <v>Synthetic Claimant 0430</v>
      </c>
      <c r="C40" t="str">
        <f>IF('MASTER DATA'!C431="","",'MASTER DATA'!C431)</f>
        <v>Claims Analyst J</v>
      </c>
      <c r="D40" t="str">
        <f>IF('MASTER DATA'!D431="","",'MASTER DATA'!D431)</f>
        <v>Synthetic Policyholder 099, LLC</v>
      </c>
      <c r="E40" s="15">
        <f>IF('MASTER DATA'!E431="","",'MASTER DATA'!E431)</f>
        <v>44943</v>
      </c>
      <c r="F40" s="16" t="str">
        <f>IF('MASTER DATA'!F431="","",'MASTER DATA'!F431)</f>
        <v>Y</v>
      </c>
      <c r="G40" s="17">
        <f>IF('MASTER DATA'!G431="","",'MASTER DATA'!G431)</f>
        <v>163500</v>
      </c>
      <c r="H40" s="16" t="str">
        <f>IF('MASTER DATA'!H431="","",'MASTER DATA'!H431)</f>
        <v>Synthetic Approver 11</v>
      </c>
      <c r="I40" s="15">
        <f>IF('MASTER DATA'!I431="","",'MASTER DATA'!I431)</f>
        <v>45306</v>
      </c>
      <c r="J40" s="16" t="str">
        <f>IF('MASTER DATA'!J431="","",'MASTER DATA'!J431)</f>
        <v>N</v>
      </c>
      <c r="K40" s="15" t="str">
        <f>IF('MASTER DATA'!K431="","",'MASTER DATA'!K431)</f>
        <v/>
      </c>
      <c r="L40" s="16" t="str">
        <f>IF('MASTER DATA'!L431="","",'MASTER DATA'!L431)</f>
        <v>N</v>
      </c>
      <c r="M40" s="16" t="str">
        <f>IF('MASTER DATA'!M431="","",'MASTER DATA'!M431)</f>
        <v>Y</v>
      </c>
      <c r="N40" s="15">
        <f>IF('MASTER DATA'!N431="","",'MASTER DATA'!N431)</f>
        <v>46732</v>
      </c>
      <c r="O40" s="16" t="str">
        <f>IF('MASTER DATA'!O431="","",'MASTER DATA'!O431)</f>
        <v>Synthetic QME Evaluator 12</v>
      </c>
      <c r="P40" s="16" t="str">
        <f>IF('MASTER DATA'!P431="","",'MASTER DATA'!P431)</f>
        <v>N</v>
      </c>
      <c r="Q40" s="16" t="str">
        <f>IF('MASTER DATA'!Q431="","",'MASTER DATA'!Q431)</f>
        <v/>
      </c>
      <c r="R40" s="16" t="str">
        <f>IF('MASTER DATA'!R431="","",'MASTER DATA'!R431)</f>
        <v/>
      </c>
      <c r="S40" s="16" t="str">
        <f>IF('MASTER DATA'!S431="","",'MASTER DATA'!S431)</f>
        <v>N</v>
      </c>
      <c r="T40" s="15" t="str">
        <f>IF('MASTER DATA'!T431="","",'MASTER DATA'!T431)</f>
        <v/>
      </c>
      <c r="U40" s="16" t="str">
        <f>IF('MASTER DATA'!U431="","",'MASTER DATA'!U431)</f>
        <v>N</v>
      </c>
      <c r="V40" s="16" t="str">
        <f>IF('MASTER DATA'!V431="","",'MASTER DATA'!V431)</f>
        <v>N</v>
      </c>
      <c r="W40" s="16" t="str">
        <f>IF('MASTER DATA'!W431="","",'MASTER DATA'!W431)</f>
        <v>N</v>
      </c>
      <c r="X40" s="16" t="str">
        <f>IF('MASTER DATA'!X431="","",'MASTER DATA'!X431)</f>
        <v>N</v>
      </c>
      <c r="Y40" s="16" t="str">
        <f>IF('MASTER DATA'!Y431="","",'MASTER DATA'!Y431)</f>
        <v>N</v>
      </c>
      <c r="Z40" s="16" t="str">
        <f>IF('MASTER DATA'!Z431="","",'MASTER DATA'!Z431)</f>
        <v>N</v>
      </c>
      <c r="AA40" s="16">
        <f>IF('MASTER DATA'!AA431="","",'MASTER DATA'!AA431)</f>
        <v>2</v>
      </c>
      <c r="AB40" s="16" t="str">
        <f>IF('MASTER DATA'!AB431="","",'MASTER DATA'!AB431)</f>
        <v>MULTI-SIGNAL</v>
      </c>
      <c r="AC40" s="16" t="str">
        <f>IF('MASTER DATA'!AC431="","",'MASTER DATA'!AC431)</f>
        <v>Settlement Authorization | Pending QME</v>
      </c>
    </row>
    <row r="41" spans="1:29" x14ac:dyDescent="0.45">
      <c r="A41" t="str">
        <f>IF('MASTER DATA'!A432="","",'MASTER DATA'!A432)</f>
        <v>SYN-CLM-0431</v>
      </c>
      <c r="B41" t="str">
        <f>IF('MASTER DATA'!B432="","",'MASTER DATA'!B432)</f>
        <v>Synthetic Claimant 0431</v>
      </c>
      <c r="C41" t="str">
        <f>IF('MASTER DATA'!C432="","",'MASTER DATA'!C432)</f>
        <v>Claims Analyst J</v>
      </c>
      <c r="D41" t="str">
        <f>IF('MASTER DATA'!D432="","",'MASTER DATA'!D432)</f>
        <v>Synthetic Policyholder 028, LLC</v>
      </c>
      <c r="E41" s="15">
        <f>IF('MASTER DATA'!E432="","",'MASTER DATA'!E432)</f>
        <v>45805</v>
      </c>
      <c r="F41" s="16" t="str">
        <f>IF('MASTER DATA'!F432="","",'MASTER DATA'!F432)</f>
        <v>Y</v>
      </c>
      <c r="G41" s="17">
        <f>IF('MASTER DATA'!G432="","",'MASTER DATA'!G432)</f>
        <v>28750</v>
      </c>
      <c r="H41" s="16" t="str">
        <f>IF('MASTER DATA'!H432="","",'MASTER DATA'!H432)</f>
        <v>Synthetic Approver 06</v>
      </c>
      <c r="I41" s="15">
        <f>IF('MASTER DATA'!I432="","",'MASTER DATA'!I432)</f>
        <v>46106</v>
      </c>
      <c r="J41" s="16" t="str">
        <f>IF('MASTER DATA'!J432="","",'MASTER DATA'!J432)</f>
        <v>N</v>
      </c>
      <c r="K41" s="15" t="str">
        <f>IF('MASTER DATA'!K432="","",'MASTER DATA'!K432)</f>
        <v/>
      </c>
      <c r="L41" s="16" t="str">
        <f>IF('MASTER DATA'!L432="","",'MASTER DATA'!L432)</f>
        <v>N</v>
      </c>
      <c r="M41" s="16" t="str">
        <f>IF('MASTER DATA'!M432="","",'MASTER DATA'!M432)</f>
        <v>N</v>
      </c>
      <c r="N41" s="15" t="str">
        <f>IF('MASTER DATA'!N432="","",'MASTER DATA'!N432)</f>
        <v/>
      </c>
      <c r="O41" s="16" t="str">
        <f>IF('MASTER DATA'!O432="","",'MASTER DATA'!O432)</f>
        <v/>
      </c>
      <c r="P41" s="16" t="str">
        <f>IF('MASTER DATA'!P432="","",'MASTER DATA'!P432)</f>
        <v>N</v>
      </c>
      <c r="Q41" s="16" t="str">
        <f>IF('MASTER DATA'!Q432="","",'MASTER DATA'!Q432)</f>
        <v/>
      </c>
      <c r="R41" s="16" t="str">
        <f>IF('MASTER DATA'!R432="","",'MASTER DATA'!R432)</f>
        <v/>
      </c>
      <c r="S41" s="16" t="str">
        <f>IF('MASTER DATA'!S432="","",'MASTER DATA'!S432)</f>
        <v>N</v>
      </c>
      <c r="T41" s="15" t="str">
        <f>IF('MASTER DATA'!T432="","",'MASTER DATA'!T432)</f>
        <v/>
      </c>
      <c r="U41" s="16" t="str">
        <f>IF('MASTER DATA'!U432="","",'MASTER DATA'!U432)</f>
        <v>N</v>
      </c>
      <c r="V41" s="16" t="str">
        <f>IF('MASTER DATA'!V432="","",'MASTER DATA'!V432)</f>
        <v>N</v>
      </c>
      <c r="W41" s="16" t="str">
        <f>IF('MASTER DATA'!W432="","",'MASTER DATA'!W432)</f>
        <v>N</v>
      </c>
      <c r="X41" s="16" t="str">
        <f>IF('MASTER DATA'!X432="","",'MASTER DATA'!X432)</f>
        <v>N</v>
      </c>
      <c r="Y41" s="16" t="str">
        <f>IF('MASTER DATA'!Y432="","",'MASTER DATA'!Y432)</f>
        <v>N</v>
      </c>
      <c r="Z41" s="16" t="str">
        <f>IF('MASTER DATA'!Z432="","",'MASTER DATA'!Z432)</f>
        <v>N</v>
      </c>
      <c r="AA41" s="16">
        <f>IF('MASTER DATA'!AA432="","",'MASTER DATA'!AA432)</f>
        <v>1</v>
      </c>
      <c r="AB41" s="16" t="str">
        <f>IF('MASTER DATA'!AB432="","",'MASTER DATA'!AB432)</f>
        <v>SINGLE-SIGNAL</v>
      </c>
      <c r="AC41" s="16" t="str">
        <f>IF('MASTER DATA'!AC432="","",'MASTER DATA'!AC432)</f>
        <v>Settlement Authorization</v>
      </c>
    </row>
    <row r="42" spans="1:29" x14ac:dyDescent="0.45">
      <c r="A42" t="str">
        <f>IF('MASTER DATA'!A433="","",'MASTER DATA'!A433)</f>
        <v>SYN-CLM-0432</v>
      </c>
      <c r="B42" t="str">
        <f>IF('MASTER DATA'!B433="","",'MASTER DATA'!B433)</f>
        <v>Synthetic Claimant 0432</v>
      </c>
      <c r="C42" t="str">
        <f>IF('MASTER DATA'!C433="","",'MASTER DATA'!C433)</f>
        <v>Claims Analyst J</v>
      </c>
      <c r="D42" t="str">
        <f>IF('MASTER DATA'!D433="","",'MASTER DATA'!D433)</f>
        <v>Synthetic Policyholder 153, LLC</v>
      </c>
      <c r="E42" s="15">
        <f>IF('MASTER DATA'!E433="","",'MASTER DATA'!E433)</f>
        <v>45190</v>
      </c>
      <c r="F42" s="16" t="str">
        <f>IF('MASTER DATA'!F433="","",'MASTER DATA'!F433)</f>
        <v>Y</v>
      </c>
      <c r="G42" s="17">
        <f>IF('MASTER DATA'!G433="","",'MASTER DATA'!G433)</f>
        <v>33500</v>
      </c>
      <c r="H42" s="16" t="str">
        <f>IF('MASTER DATA'!H433="","",'MASTER DATA'!H433)</f>
        <v>Synthetic Approver 08</v>
      </c>
      <c r="I42" s="15">
        <f>IF('MASTER DATA'!I433="","",'MASTER DATA'!I433)</f>
        <v>45691</v>
      </c>
      <c r="J42" s="16" t="str">
        <f>IF('MASTER DATA'!J433="","",'MASTER DATA'!J433)</f>
        <v>Y</v>
      </c>
      <c r="K42" s="15">
        <f>IF('MASTER DATA'!K433="","",'MASTER DATA'!K433)</f>
        <v>45908</v>
      </c>
      <c r="L42" s="16" t="str">
        <f>IF('MASTER DATA'!L433="","",'MASTER DATA'!L433)</f>
        <v>Y</v>
      </c>
      <c r="M42" s="16" t="str">
        <f>IF('MASTER DATA'!M433="","",'MASTER DATA'!M433)</f>
        <v>N</v>
      </c>
      <c r="N42" s="15" t="str">
        <f>IF('MASTER DATA'!N433="","",'MASTER DATA'!N433)</f>
        <v/>
      </c>
      <c r="O42" s="16" t="str">
        <f>IF('MASTER DATA'!O433="","",'MASTER DATA'!O433)</f>
        <v/>
      </c>
      <c r="P42" s="16" t="str">
        <f>IF('MASTER DATA'!P433="","",'MASTER DATA'!P433)</f>
        <v>N</v>
      </c>
      <c r="Q42" s="16" t="str">
        <f>IF('MASTER DATA'!Q433="","",'MASTER DATA'!Q433)</f>
        <v/>
      </c>
      <c r="R42" s="16" t="str">
        <f>IF('MASTER DATA'!R433="","",'MASTER DATA'!R433)</f>
        <v/>
      </c>
      <c r="S42" s="16" t="str">
        <f>IF('MASTER DATA'!S433="","",'MASTER DATA'!S433)</f>
        <v>N</v>
      </c>
      <c r="T42" s="15" t="str">
        <f>IF('MASTER DATA'!T433="","",'MASTER DATA'!T433)</f>
        <v/>
      </c>
      <c r="U42" s="16" t="str">
        <f>IF('MASTER DATA'!U433="","",'MASTER DATA'!U433)</f>
        <v>N</v>
      </c>
      <c r="V42" s="16" t="str">
        <f>IF('MASTER DATA'!V433="","",'MASTER DATA'!V433)</f>
        <v>N</v>
      </c>
      <c r="W42" s="16" t="str">
        <f>IF('MASTER DATA'!W433="","",'MASTER DATA'!W433)</f>
        <v>N</v>
      </c>
      <c r="X42" s="16" t="str">
        <f>IF('MASTER DATA'!X433="","",'MASTER DATA'!X433)</f>
        <v>N</v>
      </c>
      <c r="Y42" s="16" t="str">
        <f>IF('MASTER DATA'!Y433="","",'MASTER DATA'!Y433)</f>
        <v>N</v>
      </c>
      <c r="Z42" s="16" t="str">
        <f>IF('MASTER DATA'!Z433="","",'MASTER DATA'!Z433)</f>
        <v>N</v>
      </c>
      <c r="AA42" s="16">
        <f>IF('MASTER DATA'!AA433="","",'MASTER DATA'!AA433)</f>
        <v>2</v>
      </c>
      <c r="AB42" s="16" t="str">
        <f>IF('MASTER DATA'!AB433="","",'MASTER DATA'!AB433)</f>
        <v>MULTI-SIGNAL</v>
      </c>
      <c r="AC42" s="16" t="str">
        <f>IF('MASTER DATA'!AC433="","",'MASTER DATA'!AC433)</f>
        <v>Settlement Authorization | Open Stipulation</v>
      </c>
    </row>
    <row r="43" spans="1:29" x14ac:dyDescent="0.45">
      <c r="A43" t="str">
        <f>IF('MASTER DATA'!A434="","",'MASTER DATA'!A434)</f>
        <v>SYN-CLM-0433</v>
      </c>
      <c r="B43" t="str">
        <f>IF('MASTER DATA'!B434="","",'MASTER DATA'!B434)</f>
        <v>Synthetic Claimant 0433</v>
      </c>
      <c r="C43" t="str">
        <f>IF('MASTER DATA'!C434="","",'MASTER DATA'!C434)</f>
        <v>Claims Analyst J</v>
      </c>
      <c r="D43" t="str">
        <f>IF('MASTER DATA'!D434="","",'MASTER DATA'!D434)</f>
        <v>Synthetic Policyholder 054, LLC</v>
      </c>
      <c r="E43" s="15">
        <f>IF('MASTER DATA'!E434="","",'MASTER DATA'!E434)</f>
        <v>43687</v>
      </c>
      <c r="F43" s="16" t="str">
        <f>IF('MASTER DATA'!F434="","",'MASTER DATA'!F434)</f>
        <v>Y</v>
      </c>
      <c r="G43" s="17">
        <f>IF('MASTER DATA'!G434="","",'MASTER DATA'!G434)</f>
        <v>116250</v>
      </c>
      <c r="H43" s="16" t="str">
        <f>IF('MASTER DATA'!H434="","",'MASTER DATA'!H434)</f>
        <v>Synthetic Approver 07</v>
      </c>
      <c r="I43" s="15">
        <f>IF('MASTER DATA'!I434="","",'MASTER DATA'!I434)</f>
        <v>44156</v>
      </c>
      <c r="J43" s="16" t="str">
        <f>IF('MASTER DATA'!J434="","",'MASTER DATA'!J434)</f>
        <v>N</v>
      </c>
      <c r="K43" s="15" t="str">
        <f>IF('MASTER DATA'!K434="","",'MASTER DATA'!K434)</f>
        <v/>
      </c>
      <c r="L43" s="16" t="str">
        <f>IF('MASTER DATA'!L434="","",'MASTER DATA'!L434)</f>
        <v>Y</v>
      </c>
      <c r="M43" s="16" t="str">
        <f>IF('MASTER DATA'!M434="","",'MASTER DATA'!M434)</f>
        <v>N</v>
      </c>
      <c r="N43" s="15" t="str">
        <f>IF('MASTER DATA'!N434="","",'MASTER DATA'!N434)</f>
        <v/>
      </c>
      <c r="O43" s="16" t="str">
        <f>IF('MASTER DATA'!O434="","",'MASTER DATA'!O434)</f>
        <v/>
      </c>
      <c r="P43" s="16" t="str">
        <f>IF('MASTER DATA'!P434="","",'MASTER DATA'!P434)</f>
        <v>N</v>
      </c>
      <c r="Q43" s="16" t="str">
        <f>IF('MASTER DATA'!Q434="","",'MASTER DATA'!Q434)</f>
        <v/>
      </c>
      <c r="R43" s="16" t="str">
        <f>IF('MASTER DATA'!R434="","",'MASTER DATA'!R434)</f>
        <v/>
      </c>
      <c r="S43" s="16" t="str">
        <f>IF('MASTER DATA'!S434="","",'MASTER DATA'!S434)</f>
        <v>N</v>
      </c>
      <c r="T43" s="15" t="str">
        <f>IF('MASTER DATA'!T434="","",'MASTER DATA'!T434)</f>
        <v/>
      </c>
      <c r="U43" s="16" t="str">
        <f>IF('MASTER DATA'!U434="","",'MASTER DATA'!U434)</f>
        <v>N</v>
      </c>
      <c r="V43" s="16" t="str">
        <f>IF('MASTER DATA'!V434="","",'MASTER DATA'!V434)</f>
        <v>N</v>
      </c>
      <c r="W43" s="16" t="str">
        <f>IF('MASTER DATA'!W434="","",'MASTER DATA'!W434)</f>
        <v>N</v>
      </c>
      <c r="X43" s="16" t="str">
        <f>IF('MASTER DATA'!X434="","",'MASTER DATA'!X434)</f>
        <v>N</v>
      </c>
      <c r="Y43" s="16" t="str">
        <f>IF('MASTER DATA'!Y434="","",'MASTER DATA'!Y434)</f>
        <v>N</v>
      </c>
      <c r="Z43" s="16" t="str">
        <f>IF('MASTER DATA'!Z434="","",'MASTER DATA'!Z434)</f>
        <v>N</v>
      </c>
      <c r="AA43" s="16">
        <f>IF('MASTER DATA'!AA434="","",'MASTER DATA'!AA434)</f>
        <v>1</v>
      </c>
      <c r="AB43" s="16" t="str">
        <f>IF('MASTER DATA'!AB434="","",'MASTER DATA'!AB434)</f>
        <v>SINGLE-SIGNAL</v>
      </c>
      <c r="AC43" s="16" t="str">
        <f>IF('MASTER DATA'!AC434="","",'MASTER DATA'!AC434)</f>
        <v>Settlement Authorization</v>
      </c>
    </row>
    <row r="44" spans="1:29" x14ac:dyDescent="0.45">
      <c r="A44" t="str">
        <f>IF('MASTER DATA'!A435="","",'MASTER DATA'!A435)</f>
        <v>SYN-CLM-0434</v>
      </c>
      <c r="B44" t="str">
        <f>IF('MASTER DATA'!B435="","",'MASTER DATA'!B435)</f>
        <v>Synthetic Claimant 0434</v>
      </c>
      <c r="C44" t="str">
        <f>IF('MASTER DATA'!C435="","",'MASTER DATA'!C435)</f>
        <v>Claims Analyst J</v>
      </c>
      <c r="D44" t="str">
        <f>IF('MASTER DATA'!D435="","",'MASTER DATA'!D435)</f>
        <v>Synthetic Policyholder 131, LLC</v>
      </c>
      <c r="E44" s="15">
        <f>IF('MASTER DATA'!E435="","",'MASTER DATA'!E435)</f>
        <v>44578</v>
      </c>
      <c r="F44" s="16" t="str">
        <f>IF('MASTER DATA'!F435="","",'MASTER DATA'!F435)</f>
        <v>Y</v>
      </c>
      <c r="G44" s="17">
        <f>IF('MASTER DATA'!G435="","",'MASTER DATA'!G435)</f>
        <v>127250</v>
      </c>
      <c r="H44" s="16" t="str">
        <f>IF('MASTER DATA'!H435="","",'MASTER DATA'!H435)</f>
        <v>Synthetic Approver 01</v>
      </c>
      <c r="I44" s="15">
        <f>IF('MASTER DATA'!I435="","",'MASTER DATA'!I435)</f>
        <v>45675</v>
      </c>
      <c r="J44" s="16" t="str">
        <f>IF('MASTER DATA'!J435="","",'MASTER DATA'!J435)</f>
        <v>N</v>
      </c>
      <c r="K44" s="15" t="str">
        <f>IF('MASTER DATA'!K435="","",'MASTER DATA'!K435)</f>
        <v/>
      </c>
      <c r="L44" s="16" t="str">
        <f>IF('MASTER DATA'!L435="","",'MASTER DATA'!L435)</f>
        <v>Y</v>
      </c>
      <c r="M44" s="16" t="str">
        <f>IF('MASTER DATA'!M435="","",'MASTER DATA'!M435)</f>
        <v>N</v>
      </c>
      <c r="N44" s="15" t="str">
        <f>IF('MASTER DATA'!N435="","",'MASTER DATA'!N435)</f>
        <v/>
      </c>
      <c r="O44" s="16" t="str">
        <f>IF('MASTER DATA'!O435="","",'MASTER DATA'!O435)</f>
        <v/>
      </c>
      <c r="P44" s="16" t="str">
        <f>IF('MASTER DATA'!P435="","",'MASTER DATA'!P435)</f>
        <v>Y</v>
      </c>
      <c r="Q44" s="16" t="str">
        <f>IF('MASTER DATA'!Q435="","",'MASTER DATA'!Q435)</f>
        <v>Specialist Consultation Requested; Non-Renewed Account</v>
      </c>
      <c r="R44" s="16" t="str">
        <f>IF('MASTER DATA'!R435="","",'MASTER DATA'!R435)</f>
        <v/>
      </c>
      <c r="S44" s="16" t="str">
        <f>IF('MASTER DATA'!S435="","",'MASTER DATA'!S435)</f>
        <v>N</v>
      </c>
      <c r="T44" s="15" t="str">
        <f>IF('MASTER DATA'!T435="","",'MASTER DATA'!T435)</f>
        <v/>
      </c>
      <c r="U44" s="16" t="str">
        <f>IF('MASTER DATA'!U435="","",'MASTER DATA'!U435)</f>
        <v>N</v>
      </c>
      <c r="V44" s="16" t="str">
        <f>IF('MASTER DATA'!V435="","",'MASTER DATA'!V435)</f>
        <v>N</v>
      </c>
      <c r="W44" s="16" t="str">
        <f>IF('MASTER DATA'!W435="","",'MASTER DATA'!W435)</f>
        <v>N</v>
      </c>
      <c r="X44" s="16" t="str">
        <f>IF('MASTER DATA'!X435="","",'MASTER DATA'!X435)</f>
        <v>Y</v>
      </c>
      <c r="Y44" s="16" t="str">
        <f>IF('MASTER DATA'!Y435="","",'MASTER DATA'!Y435)</f>
        <v>Y</v>
      </c>
      <c r="Z44" s="16" t="str">
        <f>IF('MASTER DATA'!Z435="","",'MASTER DATA'!Z435)</f>
        <v>N</v>
      </c>
      <c r="AA44" s="16">
        <f>IF('MASTER DATA'!AA435="","",'MASTER DATA'!AA435)</f>
        <v>2</v>
      </c>
      <c r="AB44" s="16" t="str">
        <f>IF('MASTER DATA'!AB435="","",'MASTER DATA'!AB435)</f>
        <v>MULTI-SIGNAL</v>
      </c>
      <c r="AC44" s="16" t="str">
        <f>IF('MASTER DATA'!AC435="","",'MASTER DATA'!AC435)</f>
        <v>Settlement Authorization | Automated Claim Alert</v>
      </c>
    </row>
    <row r="45" spans="1:29" x14ac:dyDescent="0.45">
      <c r="A45" t="str">
        <f>IF('MASTER DATA'!A436="","",'MASTER DATA'!A436)</f>
        <v>SYN-CLM-0435</v>
      </c>
      <c r="B45" t="str">
        <f>IF('MASTER DATA'!B436="","",'MASTER DATA'!B436)</f>
        <v>Synthetic Claimant 0435</v>
      </c>
      <c r="C45" t="str">
        <f>IF('MASTER DATA'!C436="","",'MASTER DATA'!C436)</f>
        <v>Claims Analyst J</v>
      </c>
      <c r="D45" t="str">
        <f>IF('MASTER DATA'!D436="","",'MASTER DATA'!D436)</f>
        <v>Synthetic Policyholder 041, LLC</v>
      </c>
      <c r="E45" s="15">
        <f>IF('MASTER DATA'!E436="","",'MASTER DATA'!E436)</f>
        <v>44524</v>
      </c>
      <c r="F45" s="16" t="str">
        <f>IF('MASTER DATA'!F436="","",'MASTER DATA'!F436)</f>
        <v>Y</v>
      </c>
      <c r="G45" s="17">
        <f>IF('MASTER DATA'!G436="","",'MASTER DATA'!G436)</f>
        <v>174500</v>
      </c>
      <c r="H45" s="16" t="str">
        <f>IF('MASTER DATA'!H436="","",'MASTER DATA'!H436)</f>
        <v>Synthetic Approver 02</v>
      </c>
      <c r="I45" s="15">
        <f>IF('MASTER DATA'!I436="","",'MASTER DATA'!I436)</f>
        <v>45125</v>
      </c>
      <c r="J45" s="16" t="str">
        <f>IF('MASTER DATA'!J436="","",'MASTER DATA'!J436)</f>
        <v>N</v>
      </c>
      <c r="K45" s="15" t="str">
        <f>IF('MASTER DATA'!K436="","",'MASTER DATA'!K436)</f>
        <v/>
      </c>
      <c r="L45" s="16" t="str">
        <f>IF('MASTER DATA'!L436="","",'MASTER DATA'!L436)</f>
        <v>Y</v>
      </c>
      <c r="M45" s="16" t="str">
        <f>IF('MASTER DATA'!M436="","",'MASTER DATA'!M436)</f>
        <v>N</v>
      </c>
      <c r="N45" s="15" t="str">
        <f>IF('MASTER DATA'!N436="","",'MASTER DATA'!N436)</f>
        <v/>
      </c>
      <c r="O45" s="16" t="str">
        <f>IF('MASTER DATA'!O436="","",'MASTER DATA'!O436)</f>
        <v/>
      </c>
      <c r="P45" s="16" t="str">
        <f>IF('MASTER DATA'!P436="","",'MASTER DATA'!P436)</f>
        <v>Y</v>
      </c>
      <c r="Q45" s="16" t="str">
        <f>IF('MASTER DATA'!Q436="","",'MASTER DATA'!Q436)</f>
        <v>Non-Renewed Account</v>
      </c>
      <c r="R45" s="16" t="str">
        <f>IF('MASTER DATA'!R436="","",'MASTER DATA'!R436)</f>
        <v/>
      </c>
      <c r="S45" s="16" t="str">
        <f>IF('MASTER DATA'!S436="","",'MASTER DATA'!S436)</f>
        <v>N</v>
      </c>
      <c r="T45" s="15" t="str">
        <f>IF('MASTER DATA'!T436="","",'MASTER DATA'!T436)</f>
        <v/>
      </c>
      <c r="U45" s="16" t="str">
        <f>IF('MASTER DATA'!U436="","",'MASTER DATA'!U436)</f>
        <v>N</v>
      </c>
      <c r="V45" s="16" t="str">
        <f>IF('MASTER DATA'!V436="","",'MASTER DATA'!V436)</f>
        <v>N</v>
      </c>
      <c r="W45" s="16" t="str">
        <f>IF('MASTER DATA'!W436="","",'MASTER DATA'!W436)</f>
        <v>N</v>
      </c>
      <c r="X45" s="16" t="str">
        <f>IF('MASTER DATA'!X436="","",'MASTER DATA'!X436)</f>
        <v>N</v>
      </c>
      <c r="Y45" s="16" t="str">
        <f>IF('MASTER DATA'!Y436="","",'MASTER DATA'!Y436)</f>
        <v>Y</v>
      </c>
      <c r="Z45" s="16" t="str">
        <f>IF('MASTER DATA'!Z436="","",'MASTER DATA'!Z436)</f>
        <v>N</v>
      </c>
      <c r="AA45" s="16">
        <f>IF('MASTER DATA'!AA436="","",'MASTER DATA'!AA436)</f>
        <v>2</v>
      </c>
      <c r="AB45" s="16" t="str">
        <f>IF('MASTER DATA'!AB436="","",'MASTER DATA'!AB436)</f>
        <v>MULTI-SIGNAL</v>
      </c>
      <c r="AC45" s="16" t="str">
        <f>IF('MASTER DATA'!AC436="","",'MASTER DATA'!AC436)</f>
        <v>Settlement Authorization | Automated Claim Alert</v>
      </c>
    </row>
    <row r="46" spans="1:29" x14ac:dyDescent="0.45">
      <c r="A46" t="str">
        <f>IF('MASTER DATA'!A437="","",'MASTER DATA'!A437)</f>
        <v>SYN-CLM-0436</v>
      </c>
      <c r="B46" t="str">
        <f>IF('MASTER DATA'!B437="","",'MASTER DATA'!B437)</f>
        <v>Synthetic Claimant 0436</v>
      </c>
      <c r="C46" t="str">
        <f>IF('MASTER DATA'!C437="","",'MASTER DATA'!C437)</f>
        <v>Claims Analyst J</v>
      </c>
      <c r="D46" t="str">
        <f>IF('MASTER DATA'!D437="","",'MASTER DATA'!D437)</f>
        <v>Synthetic Policyholder 093, LLC</v>
      </c>
      <c r="E46" s="15">
        <f>IF('MASTER DATA'!E437="","",'MASTER DATA'!E437)</f>
        <v>45815</v>
      </c>
      <c r="F46" s="16" t="str">
        <f>IF('MASTER DATA'!F437="","",'MASTER DATA'!F437)</f>
        <v>N</v>
      </c>
      <c r="G46" s="17" t="str">
        <f>IF('MASTER DATA'!G437="","",'MASTER DATA'!G437)</f>
        <v/>
      </c>
      <c r="H46" s="16" t="str">
        <f>IF('MASTER DATA'!H437="","",'MASTER DATA'!H437)</f>
        <v/>
      </c>
      <c r="I46" s="15" t="str">
        <f>IF('MASTER DATA'!I437="","",'MASTER DATA'!I437)</f>
        <v/>
      </c>
      <c r="J46" s="16" t="str">
        <f>IF('MASTER DATA'!J437="","",'MASTER DATA'!J437)</f>
        <v>N</v>
      </c>
      <c r="K46" s="15" t="str">
        <f>IF('MASTER DATA'!K437="","",'MASTER DATA'!K437)</f>
        <v/>
      </c>
      <c r="L46" s="16" t="str">
        <f>IF('MASTER DATA'!L437="","",'MASTER DATA'!L437)</f>
        <v/>
      </c>
      <c r="M46" s="16" t="str">
        <f>IF('MASTER DATA'!M437="","",'MASTER DATA'!M437)</f>
        <v>Y</v>
      </c>
      <c r="N46" s="15">
        <f>IF('MASTER DATA'!N437="","",'MASTER DATA'!N437)</f>
        <v>46664</v>
      </c>
      <c r="O46" s="16" t="str">
        <f>IF('MASTER DATA'!O437="","",'MASTER DATA'!O437)</f>
        <v>Synthetic QME Evaluator 23</v>
      </c>
      <c r="P46" s="16" t="str">
        <f>IF('MASTER DATA'!P437="","",'MASTER DATA'!P437)</f>
        <v>N</v>
      </c>
      <c r="Q46" s="16" t="str">
        <f>IF('MASTER DATA'!Q437="","",'MASTER DATA'!Q437)</f>
        <v/>
      </c>
      <c r="R46" s="16" t="str">
        <f>IF('MASTER DATA'!R437="","",'MASTER DATA'!R437)</f>
        <v/>
      </c>
      <c r="S46" s="16" t="str">
        <f>IF('MASTER DATA'!S437="","",'MASTER DATA'!S437)</f>
        <v>N</v>
      </c>
      <c r="T46" s="15" t="str">
        <f>IF('MASTER DATA'!T437="","",'MASTER DATA'!T437)</f>
        <v/>
      </c>
      <c r="U46" s="16" t="str">
        <f>IF('MASTER DATA'!U437="","",'MASTER DATA'!U437)</f>
        <v>N</v>
      </c>
      <c r="V46" s="16" t="str">
        <f>IF('MASTER DATA'!V437="","",'MASTER DATA'!V437)</f>
        <v>N</v>
      </c>
      <c r="W46" s="16" t="str">
        <f>IF('MASTER DATA'!W437="","",'MASTER DATA'!W437)</f>
        <v>N</v>
      </c>
      <c r="X46" s="16" t="str">
        <f>IF('MASTER DATA'!X437="","",'MASTER DATA'!X437)</f>
        <v>N</v>
      </c>
      <c r="Y46" s="16" t="str">
        <f>IF('MASTER DATA'!Y437="","",'MASTER DATA'!Y437)</f>
        <v>N</v>
      </c>
      <c r="Z46" s="16" t="str">
        <f>IF('MASTER DATA'!Z437="","",'MASTER DATA'!Z437)</f>
        <v>N</v>
      </c>
      <c r="AA46" s="16">
        <f>IF('MASTER DATA'!AA437="","",'MASTER DATA'!AA437)</f>
        <v>1</v>
      </c>
      <c r="AB46" s="16" t="str">
        <f>IF('MASTER DATA'!AB437="","",'MASTER DATA'!AB437)</f>
        <v>SINGLE-SIGNAL</v>
      </c>
      <c r="AC46" s="16" t="str">
        <f>IF('MASTER DATA'!AC437="","",'MASTER DATA'!AC437)</f>
        <v>Pending QME</v>
      </c>
    </row>
    <row r="47" spans="1:29" x14ac:dyDescent="0.45">
      <c r="A47" t="str">
        <f>IF('MASTER DATA'!A438="","",'MASTER DATA'!A438)</f>
        <v>SYN-CLM-0437</v>
      </c>
      <c r="B47" t="str">
        <f>IF('MASTER DATA'!B438="","",'MASTER DATA'!B438)</f>
        <v>Synthetic Claimant 0437</v>
      </c>
      <c r="C47" t="str">
        <f>IF('MASTER DATA'!C438="","",'MASTER DATA'!C438)</f>
        <v>Claims Analyst J</v>
      </c>
      <c r="D47" t="str">
        <f>IF('MASTER DATA'!D438="","",'MASTER DATA'!D438)</f>
        <v>Synthetic Policyholder 065, LLC</v>
      </c>
      <c r="E47" s="15">
        <f>IF('MASTER DATA'!E438="","",'MASTER DATA'!E438)</f>
        <v>46048</v>
      </c>
      <c r="F47" s="16" t="str">
        <f>IF('MASTER DATA'!F438="","",'MASTER DATA'!F438)</f>
        <v>N</v>
      </c>
      <c r="G47" s="17" t="str">
        <f>IF('MASTER DATA'!G438="","",'MASTER DATA'!G438)</f>
        <v/>
      </c>
      <c r="H47" s="16" t="str">
        <f>IF('MASTER DATA'!H438="","",'MASTER DATA'!H438)</f>
        <v/>
      </c>
      <c r="I47" s="15" t="str">
        <f>IF('MASTER DATA'!I438="","",'MASTER DATA'!I438)</f>
        <v/>
      </c>
      <c r="J47" s="16" t="str">
        <f>IF('MASTER DATA'!J438="","",'MASTER DATA'!J438)</f>
        <v>Y</v>
      </c>
      <c r="K47" s="15">
        <f>IF('MASTER DATA'!K438="","",'MASTER DATA'!K438)</f>
        <v>46727</v>
      </c>
      <c r="L47" s="16" t="str">
        <f>IF('MASTER DATA'!L438="","",'MASTER DATA'!L438)</f>
        <v>Y</v>
      </c>
      <c r="M47" s="16" t="str">
        <f>IF('MASTER DATA'!M438="","",'MASTER DATA'!M438)</f>
        <v>Y</v>
      </c>
      <c r="N47" s="15">
        <f>IF('MASTER DATA'!N438="","",'MASTER DATA'!N438)</f>
        <v>46281</v>
      </c>
      <c r="O47" s="16" t="str">
        <f>IF('MASTER DATA'!O438="","",'MASTER DATA'!O438)</f>
        <v>Synthetic QME Evaluator 07</v>
      </c>
      <c r="P47" s="16" t="str">
        <f>IF('MASTER DATA'!P438="","",'MASTER DATA'!P438)</f>
        <v>N</v>
      </c>
      <c r="Q47" s="16" t="str">
        <f>IF('MASTER DATA'!Q438="","",'MASTER DATA'!Q438)</f>
        <v/>
      </c>
      <c r="R47" s="16" t="str">
        <f>IF('MASTER DATA'!R438="","",'MASTER DATA'!R438)</f>
        <v/>
      </c>
      <c r="S47" s="16" t="str">
        <f>IF('MASTER DATA'!S438="","",'MASTER DATA'!S438)</f>
        <v>N</v>
      </c>
      <c r="T47" s="15" t="str">
        <f>IF('MASTER DATA'!T438="","",'MASTER DATA'!T438)</f>
        <v/>
      </c>
      <c r="U47" s="16" t="str">
        <f>IF('MASTER DATA'!U438="","",'MASTER DATA'!U438)</f>
        <v>N</v>
      </c>
      <c r="V47" s="16" t="str">
        <f>IF('MASTER DATA'!V438="","",'MASTER DATA'!V438)</f>
        <v>N</v>
      </c>
      <c r="W47" s="16" t="str">
        <f>IF('MASTER DATA'!W438="","",'MASTER DATA'!W438)</f>
        <v>N</v>
      </c>
      <c r="X47" s="16" t="str">
        <f>IF('MASTER DATA'!X438="","",'MASTER DATA'!X438)</f>
        <v>N</v>
      </c>
      <c r="Y47" s="16" t="str">
        <f>IF('MASTER DATA'!Y438="","",'MASTER DATA'!Y438)</f>
        <v>N</v>
      </c>
      <c r="Z47" s="16" t="str">
        <f>IF('MASTER DATA'!Z438="","",'MASTER DATA'!Z438)</f>
        <v>N</v>
      </c>
      <c r="AA47" s="16">
        <f>IF('MASTER DATA'!AA438="","",'MASTER DATA'!AA438)</f>
        <v>2</v>
      </c>
      <c r="AB47" s="16" t="str">
        <f>IF('MASTER DATA'!AB438="","",'MASTER DATA'!AB438)</f>
        <v>MULTI-SIGNAL</v>
      </c>
      <c r="AC47" s="16" t="str">
        <f>IF('MASTER DATA'!AC438="","",'MASTER DATA'!AC438)</f>
        <v>Open Stipulation | Pending QME</v>
      </c>
    </row>
    <row r="48" spans="1:29" x14ac:dyDescent="0.45">
      <c r="A48" t="str">
        <f>IF('MASTER DATA'!A439="","",'MASTER DATA'!A439)</f>
        <v>SYN-CLM-0438</v>
      </c>
      <c r="B48" t="str">
        <f>IF('MASTER DATA'!B439="","",'MASTER DATA'!B439)</f>
        <v>Synthetic Claimant 0438</v>
      </c>
      <c r="C48" t="str">
        <f>IF('MASTER DATA'!C439="","",'MASTER DATA'!C439)</f>
        <v>Claims Analyst J</v>
      </c>
      <c r="D48" t="str">
        <f>IF('MASTER DATA'!D439="","",'MASTER DATA'!D439)</f>
        <v>Synthetic Policyholder 168, LLC</v>
      </c>
      <c r="E48" s="15">
        <f>IF('MASTER DATA'!E439="","",'MASTER DATA'!E439)</f>
        <v>43200</v>
      </c>
      <c r="F48" s="16" t="str">
        <f>IF('MASTER DATA'!F439="","",'MASTER DATA'!F439)</f>
        <v>Y</v>
      </c>
      <c r="G48" s="17">
        <f>IF('MASTER DATA'!G439="","",'MASTER DATA'!G439)</f>
        <v>34500</v>
      </c>
      <c r="H48" s="16" t="str">
        <f>IF('MASTER DATA'!H439="","",'MASTER DATA'!H439)</f>
        <v>Synthetic Approver 12</v>
      </c>
      <c r="I48" s="15">
        <f>IF('MASTER DATA'!I439="","",'MASTER DATA'!I439)</f>
        <v>43247</v>
      </c>
      <c r="J48" s="16" t="str">
        <f>IF('MASTER DATA'!J439="","",'MASTER DATA'!J439)</f>
        <v>N</v>
      </c>
      <c r="K48" s="15" t="str">
        <f>IF('MASTER DATA'!K439="","",'MASTER DATA'!K439)</f>
        <v/>
      </c>
      <c r="L48" s="16" t="str">
        <f>IF('MASTER DATA'!L439="","",'MASTER DATA'!L439)</f>
        <v>N</v>
      </c>
      <c r="M48" s="16" t="str">
        <f>IF('MASTER DATA'!M439="","",'MASTER DATA'!M439)</f>
        <v>N</v>
      </c>
      <c r="N48" s="15" t="str">
        <f>IF('MASTER DATA'!N439="","",'MASTER DATA'!N439)</f>
        <v/>
      </c>
      <c r="O48" s="16" t="str">
        <f>IF('MASTER DATA'!O439="","",'MASTER DATA'!O439)</f>
        <v/>
      </c>
      <c r="P48" s="16" t="str">
        <f>IF('MASTER DATA'!P439="","",'MASTER DATA'!P439)</f>
        <v>N</v>
      </c>
      <c r="Q48" s="16" t="str">
        <f>IF('MASTER DATA'!Q439="","",'MASTER DATA'!Q439)</f>
        <v/>
      </c>
      <c r="R48" s="16" t="str">
        <f>IF('MASTER DATA'!R439="","",'MASTER DATA'!R439)</f>
        <v/>
      </c>
      <c r="S48" s="16" t="str">
        <f>IF('MASTER DATA'!S439="","",'MASTER DATA'!S439)</f>
        <v>N</v>
      </c>
      <c r="T48" s="15" t="str">
        <f>IF('MASTER DATA'!T439="","",'MASTER DATA'!T439)</f>
        <v/>
      </c>
      <c r="U48" s="16" t="str">
        <f>IF('MASTER DATA'!U439="","",'MASTER DATA'!U439)</f>
        <v>N</v>
      </c>
      <c r="V48" s="16" t="str">
        <f>IF('MASTER DATA'!V439="","",'MASTER DATA'!V439)</f>
        <v>N</v>
      </c>
      <c r="W48" s="16" t="str">
        <f>IF('MASTER DATA'!W439="","",'MASTER DATA'!W439)</f>
        <v>N</v>
      </c>
      <c r="X48" s="16" t="str">
        <f>IF('MASTER DATA'!X439="","",'MASTER DATA'!X439)</f>
        <v>N</v>
      </c>
      <c r="Y48" s="16" t="str">
        <f>IF('MASTER DATA'!Y439="","",'MASTER DATA'!Y439)</f>
        <v>N</v>
      </c>
      <c r="Z48" s="16" t="str">
        <f>IF('MASTER DATA'!Z439="","",'MASTER DATA'!Z439)</f>
        <v>N</v>
      </c>
      <c r="AA48" s="16">
        <f>IF('MASTER DATA'!AA439="","",'MASTER DATA'!AA439)</f>
        <v>1</v>
      </c>
      <c r="AB48" s="16" t="str">
        <f>IF('MASTER DATA'!AB439="","",'MASTER DATA'!AB439)</f>
        <v>SINGLE-SIGNAL</v>
      </c>
      <c r="AC48" s="16" t="str">
        <f>IF('MASTER DATA'!AC439="","",'MASTER DATA'!AC439)</f>
        <v>Settlement Authorization</v>
      </c>
    </row>
    <row r="49" spans="1:29" x14ac:dyDescent="0.45">
      <c r="A49" t="str">
        <f>IF('MASTER DATA'!A440="","",'MASTER DATA'!A440)</f>
        <v>SYN-CLM-0439</v>
      </c>
      <c r="B49" t="str">
        <f>IF('MASTER DATA'!B440="","",'MASTER DATA'!B440)</f>
        <v>Synthetic Claimant 0439</v>
      </c>
      <c r="C49" t="str">
        <f>IF('MASTER DATA'!C440="","",'MASTER DATA'!C440)</f>
        <v>Claims Analyst J</v>
      </c>
      <c r="D49" t="str">
        <f>IF('MASTER DATA'!D440="","",'MASTER DATA'!D440)</f>
        <v>Synthetic Policyholder 033, LLC</v>
      </c>
      <c r="E49" s="15">
        <f>IF('MASTER DATA'!E440="","",'MASTER DATA'!E440)</f>
        <v>45292</v>
      </c>
      <c r="F49" s="16" t="str">
        <f>IF('MASTER DATA'!F440="","",'MASTER DATA'!F440)</f>
        <v>Y</v>
      </c>
      <c r="G49" s="17">
        <f>IF('MASTER DATA'!G440="","",'MASTER DATA'!G440)</f>
        <v>18500</v>
      </c>
      <c r="H49" s="16" t="str">
        <f>IF('MASTER DATA'!H440="","",'MASTER DATA'!H440)</f>
        <v>Synthetic Approver 10</v>
      </c>
      <c r="I49" s="15">
        <f>IF('MASTER DATA'!I440="","",'MASTER DATA'!I440)</f>
        <v>46884</v>
      </c>
      <c r="J49" s="16" t="str">
        <f>IF('MASTER DATA'!J440="","",'MASTER DATA'!J440)</f>
        <v>N</v>
      </c>
      <c r="K49" s="15" t="str">
        <f>IF('MASTER DATA'!K440="","",'MASTER DATA'!K440)</f>
        <v/>
      </c>
      <c r="L49" s="16" t="str">
        <f>IF('MASTER DATA'!L440="","",'MASTER DATA'!L440)</f>
        <v>Y</v>
      </c>
      <c r="M49" s="16" t="str">
        <f>IF('MASTER DATA'!M440="","",'MASTER DATA'!M440)</f>
        <v>N</v>
      </c>
      <c r="N49" s="15" t="str">
        <f>IF('MASTER DATA'!N440="","",'MASTER DATA'!N440)</f>
        <v/>
      </c>
      <c r="O49" s="16" t="str">
        <f>IF('MASTER DATA'!O440="","",'MASTER DATA'!O440)</f>
        <v/>
      </c>
      <c r="P49" s="16" t="str">
        <f>IF('MASTER DATA'!P440="","",'MASTER DATA'!P440)</f>
        <v>N</v>
      </c>
      <c r="Q49" s="16" t="str">
        <f>IF('MASTER DATA'!Q440="","",'MASTER DATA'!Q440)</f>
        <v/>
      </c>
      <c r="R49" s="16" t="str">
        <f>IF('MASTER DATA'!R440="","",'MASTER DATA'!R440)</f>
        <v/>
      </c>
      <c r="S49" s="16" t="str">
        <f>IF('MASTER DATA'!S440="","",'MASTER DATA'!S440)</f>
        <v>N</v>
      </c>
      <c r="T49" s="15" t="str">
        <f>IF('MASTER DATA'!T440="","",'MASTER DATA'!T440)</f>
        <v/>
      </c>
      <c r="U49" s="16" t="str">
        <f>IF('MASTER DATA'!U440="","",'MASTER DATA'!U440)</f>
        <v>N</v>
      </c>
      <c r="V49" s="16" t="str">
        <f>IF('MASTER DATA'!V440="","",'MASTER DATA'!V440)</f>
        <v>N</v>
      </c>
      <c r="W49" s="16" t="str">
        <f>IF('MASTER DATA'!W440="","",'MASTER DATA'!W440)</f>
        <v>N</v>
      </c>
      <c r="X49" s="16" t="str">
        <f>IF('MASTER DATA'!X440="","",'MASTER DATA'!X440)</f>
        <v>N</v>
      </c>
      <c r="Y49" s="16" t="str">
        <f>IF('MASTER DATA'!Y440="","",'MASTER DATA'!Y440)</f>
        <v>N</v>
      </c>
      <c r="Z49" s="16" t="str">
        <f>IF('MASTER DATA'!Z440="","",'MASTER DATA'!Z440)</f>
        <v>N</v>
      </c>
      <c r="AA49" s="16">
        <f>IF('MASTER DATA'!AA440="","",'MASTER DATA'!AA440)</f>
        <v>1</v>
      </c>
      <c r="AB49" s="16" t="str">
        <f>IF('MASTER DATA'!AB440="","",'MASTER DATA'!AB440)</f>
        <v>SINGLE-SIGNAL</v>
      </c>
      <c r="AC49" s="16" t="str">
        <f>IF('MASTER DATA'!AC440="","",'MASTER DATA'!AC440)</f>
        <v>Settlement Authorization</v>
      </c>
    </row>
    <row r="50" spans="1:29" x14ac:dyDescent="0.45">
      <c r="A50" t="str">
        <f>IF('MASTER DATA'!A441="","",'MASTER DATA'!A441)</f>
        <v>SYN-CLM-0440</v>
      </c>
      <c r="B50" t="str">
        <f>IF('MASTER DATA'!B441="","",'MASTER DATA'!B441)</f>
        <v>Synthetic Claimant 0440</v>
      </c>
      <c r="C50" t="str">
        <f>IF('MASTER DATA'!C441="","",'MASTER DATA'!C441)</f>
        <v>Claims Analyst J</v>
      </c>
      <c r="D50" t="str">
        <f>IF('MASTER DATA'!D441="","",'MASTER DATA'!D441)</f>
        <v>Synthetic Policyholder 047, LLC</v>
      </c>
      <c r="E50" s="15">
        <f>IF('MASTER DATA'!E441="","",'MASTER DATA'!E441)</f>
        <v>45706</v>
      </c>
      <c r="F50" s="16" t="str">
        <f>IF('MASTER DATA'!F441="","",'MASTER DATA'!F441)</f>
        <v>Y</v>
      </c>
      <c r="G50" s="17">
        <f>IF('MASTER DATA'!G441="","",'MASTER DATA'!G441)</f>
        <v>129500</v>
      </c>
      <c r="H50" s="16" t="str">
        <f>IF('MASTER DATA'!H441="","",'MASTER DATA'!H441)</f>
        <v>Synthetic Approver 05</v>
      </c>
      <c r="I50" s="15">
        <f>IF('MASTER DATA'!I441="","",'MASTER DATA'!I441)</f>
        <v>46750</v>
      </c>
      <c r="J50" s="16" t="str">
        <f>IF('MASTER DATA'!J441="","",'MASTER DATA'!J441)</f>
        <v>Y</v>
      </c>
      <c r="K50" s="15">
        <f>IF('MASTER DATA'!K441="","",'MASTER DATA'!K441)</f>
        <v>47093</v>
      </c>
      <c r="L50" s="16" t="str">
        <f>IF('MASTER DATA'!L441="","",'MASTER DATA'!L441)</f>
        <v>Y</v>
      </c>
      <c r="M50" s="16" t="str">
        <f>IF('MASTER DATA'!M441="","",'MASTER DATA'!M441)</f>
        <v>N</v>
      </c>
      <c r="N50" s="15" t="str">
        <f>IF('MASTER DATA'!N441="","",'MASTER DATA'!N441)</f>
        <v/>
      </c>
      <c r="O50" s="16" t="str">
        <f>IF('MASTER DATA'!O441="","",'MASTER DATA'!O441)</f>
        <v/>
      </c>
      <c r="P50" s="16" t="str">
        <f>IF('MASTER DATA'!P441="","",'MASTER DATA'!P441)</f>
        <v>Y</v>
      </c>
      <c r="Q50" s="16" t="str">
        <f>IF('MASTER DATA'!Q441="","",'MASTER DATA'!Q441)</f>
        <v>MSA Eligible in Next 3 Years; Specialist Consultation Requested</v>
      </c>
      <c r="R50" s="16" t="str">
        <f>IF('MASTER DATA'!R441="","",'MASTER DATA'!R441)</f>
        <v>MMI Date Reported; Non-Renewed Account</v>
      </c>
      <c r="S50" s="16" t="str">
        <f>IF('MASTER DATA'!S441="","",'MASTER DATA'!S441)</f>
        <v>N</v>
      </c>
      <c r="T50" s="15" t="str">
        <f>IF('MASTER DATA'!T441="","",'MASTER DATA'!T441)</f>
        <v/>
      </c>
      <c r="U50" s="16" t="str">
        <f>IF('MASTER DATA'!U441="","",'MASTER DATA'!U441)</f>
        <v>N</v>
      </c>
      <c r="V50" s="16" t="str">
        <f>IF('MASTER DATA'!V441="","",'MASTER DATA'!V441)</f>
        <v>Y</v>
      </c>
      <c r="W50" s="16" t="str">
        <f>IF('MASTER DATA'!W441="","",'MASTER DATA'!W441)</f>
        <v>N</v>
      </c>
      <c r="X50" s="16" t="str">
        <f>IF('MASTER DATA'!X441="","",'MASTER DATA'!X441)</f>
        <v>Y</v>
      </c>
      <c r="Y50" s="16" t="str">
        <f>IF('MASTER DATA'!Y441="","",'MASTER DATA'!Y441)</f>
        <v>Y</v>
      </c>
      <c r="Z50" s="16" t="str">
        <f>IF('MASTER DATA'!Z441="","",'MASTER DATA'!Z441)</f>
        <v>Y</v>
      </c>
      <c r="AA50" s="16">
        <f>IF('MASTER DATA'!AA441="","",'MASTER DATA'!AA441)</f>
        <v>3</v>
      </c>
      <c r="AB50" s="16" t="str">
        <f>IF('MASTER DATA'!AB441="","",'MASTER DATA'!AB441)</f>
        <v>ELEVATED MULTI-SIGNAL</v>
      </c>
      <c r="AC50" s="16" t="str">
        <f>IF('MASTER DATA'!AC441="","",'MASTER DATA'!AC441)</f>
        <v>Settlement Authorization | Open Stipulation | Automated Claim Alert</v>
      </c>
    </row>
    <row r="51" spans="1:29" x14ac:dyDescent="0.45">
      <c r="A51" t="str">
        <f>IF('MASTER DATA'!A442="","",'MASTER DATA'!A442)</f>
        <v>SYN-CLM-0441</v>
      </c>
      <c r="B51" t="str">
        <f>IF('MASTER DATA'!B442="","",'MASTER DATA'!B442)</f>
        <v>Synthetic Claimant 0441</v>
      </c>
      <c r="C51" t="str">
        <f>IF('MASTER DATA'!C442="","",'MASTER DATA'!C442)</f>
        <v>Claims Analyst J</v>
      </c>
      <c r="D51" t="str">
        <f>IF('MASTER DATA'!D442="","",'MASTER DATA'!D442)</f>
        <v>Synthetic Policyholder 092, LLC</v>
      </c>
      <c r="E51" s="15">
        <f>IF('MASTER DATA'!E442="","",'MASTER DATA'!E442)</f>
        <v>45035</v>
      </c>
      <c r="F51" s="16" t="str">
        <f>IF('MASTER DATA'!F442="","",'MASTER DATA'!F442)</f>
        <v>N</v>
      </c>
      <c r="G51" s="17" t="str">
        <f>IF('MASTER DATA'!G442="","",'MASTER DATA'!G442)</f>
        <v/>
      </c>
      <c r="H51" s="16" t="str">
        <f>IF('MASTER DATA'!H442="","",'MASTER DATA'!H442)</f>
        <v/>
      </c>
      <c r="I51" s="15" t="str">
        <f>IF('MASTER DATA'!I442="","",'MASTER DATA'!I442)</f>
        <v/>
      </c>
      <c r="J51" s="16" t="str">
        <f>IF('MASTER DATA'!J442="","",'MASTER DATA'!J442)</f>
        <v>N</v>
      </c>
      <c r="K51" s="15" t="str">
        <f>IF('MASTER DATA'!K442="","",'MASTER DATA'!K442)</f>
        <v/>
      </c>
      <c r="L51" s="16" t="str">
        <f>IF('MASTER DATA'!L442="","",'MASTER DATA'!L442)</f>
        <v/>
      </c>
      <c r="M51" s="16" t="str">
        <f>IF('MASTER DATA'!M442="","",'MASTER DATA'!M442)</f>
        <v>N</v>
      </c>
      <c r="N51" s="15" t="str">
        <f>IF('MASTER DATA'!N442="","",'MASTER DATA'!N442)</f>
        <v/>
      </c>
      <c r="O51" s="16" t="str">
        <f>IF('MASTER DATA'!O442="","",'MASTER DATA'!O442)</f>
        <v/>
      </c>
      <c r="P51" s="16" t="str">
        <f>IF('MASTER DATA'!P442="","",'MASTER DATA'!P442)</f>
        <v>N</v>
      </c>
      <c r="Q51" s="16" t="str">
        <f>IF('MASTER DATA'!Q442="","",'MASTER DATA'!Q442)</f>
        <v/>
      </c>
      <c r="R51" s="16" t="str">
        <f>IF('MASTER DATA'!R442="","",'MASTER DATA'!R442)</f>
        <v/>
      </c>
      <c r="S51" s="16" t="str">
        <f>IF('MASTER DATA'!S442="","",'MASTER DATA'!S442)</f>
        <v>Y</v>
      </c>
      <c r="T51" s="15">
        <f>IF('MASTER DATA'!T442="","",'MASTER DATA'!T442)</f>
        <v>46120</v>
      </c>
      <c r="U51" s="16" t="str">
        <f>IF('MASTER DATA'!U442="","",'MASTER DATA'!U442)</f>
        <v>N</v>
      </c>
      <c r="V51" s="16" t="str">
        <f>IF('MASTER DATA'!V442="","",'MASTER DATA'!V442)</f>
        <v>N</v>
      </c>
      <c r="W51" s="16" t="str">
        <f>IF('MASTER DATA'!W442="","",'MASTER DATA'!W442)</f>
        <v>N</v>
      </c>
      <c r="X51" s="16" t="str">
        <f>IF('MASTER DATA'!X442="","",'MASTER DATA'!X442)</f>
        <v>N</v>
      </c>
      <c r="Y51" s="16" t="str">
        <f>IF('MASTER DATA'!Y442="","",'MASTER DATA'!Y442)</f>
        <v>N</v>
      </c>
      <c r="Z51" s="16" t="str">
        <f>IF('MASTER DATA'!Z442="","",'MASTER DATA'!Z442)</f>
        <v>N</v>
      </c>
      <c r="AA51" s="16">
        <f>IF('MASTER DATA'!AA442="","",'MASTER DATA'!AA442)</f>
        <v>1</v>
      </c>
      <c r="AB51" s="16" t="str">
        <f>IF('MASTER DATA'!AB442="","",'MASTER DATA'!AB442)</f>
        <v>SINGLE-SIGNAL</v>
      </c>
      <c r="AC51" s="16" t="str">
        <f>IF('MASTER DATA'!AC442="","",'MASTER DATA'!AC442)</f>
        <v>Inactive Customer</v>
      </c>
    </row>
    <row r="52" spans="1:29" x14ac:dyDescent="0.45">
      <c r="A52" t="str">
        <f>IF('MASTER DATA'!A443="","",'MASTER DATA'!A443)</f>
        <v>SYN-CLM-0442</v>
      </c>
      <c r="B52" t="str">
        <f>IF('MASTER DATA'!B443="","",'MASTER DATA'!B443)</f>
        <v>Synthetic Claimant 0442</v>
      </c>
      <c r="C52" t="str">
        <f>IF('MASTER DATA'!C443="","",'MASTER DATA'!C443)</f>
        <v>Claims Analyst J</v>
      </c>
      <c r="D52" t="str">
        <f>IF('MASTER DATA'!D443="","",'MASTER DATA'!D443)</f>
        <v>Synthetic Policyholder 047, LLC</v>
      </c>
      <c r="E52" s="15">
        <f>IF('MASTER DATA'!E443="","",'MASTER DATA'!E443)</f>
        <v>44587</v>
      </c>
      <c r="F52" s="16" t="str">
        <f>IF('MASTER DATA'!F443="","",'MASTER DATA'!F443)</f>
        <v>N</v>
      </c>
      <c r="G52" s="17" t="str">
        <f>IF('MASTER DATA'!G443="","",'MASTER DATA'!G443)</f>
        <v/>
      </c>
      <c r="H52" s="16" t="str">
        <f>IF('MASTER DATA'!H443="","",'MASTER DATA'!H443)</f>
        <v/>
      </c>
      <c r="I52" s="15" t="str">
        <f>IF('MASTER DATA'!I443="","",'MASTER DATA'!I443)</f>
        <v/>
      </c>
      <c r="J52" s="16" t="str">
        <f>IF('MASTER DATA'!J443="","",'MASTER DATA'!J443)</f>
        <v>N</v>
      </c>
      <c r="K52" s="15" t="str">
        <f>IF('MASTER DATA'!K443="","",'MASTER DATA'!K443)</f>
        <v/>
      </c>
      <c r="L52" s="16" t="str">
        <f>IF('MASTER DATA'!L443="","",'MASTER DATA'!L443)</f>
        <v/>
      </c>
      <c r="M52" s="16" t="str">
        <f>IF('MASTER DATA'!M443="","",'MASTER DATA'!M443)</f>
        <v>N</v>
      </c>
      <c r="N52" s="15" t="str">
        <f>IF('MASTER DATA'!N443="","",'MASTER DATA'!N443)</f>
        <v/>
      </c>
      <c r="O52" s="16" t="str">
        <f>IF('MASTER DATA'!O443="","",'MASTER DATA'!O443)</f>
        <v/>
      </c>
      <c r="P52" s="16" t="str">
        <f>IF('MASTER DATA'!P443="","",'MASTER DATA'!P443)</f>
        <v>N</v>
      </c>
      <c r="Q52" s="16" t="str">
        <f>IF('MASTER DATA'!Q443="","",'MASTER DATA'!Q443)</f>
        <v/>
      </c>
      <c r="R52" s="16" t="str">
        <f>IF('MASTER DATA'!R443="","",'MASTER DATA'!R443)</f>
        <v/>
      </c>
      <c r="S52" s="16" t="str">
        <f>IF('MASTER DATA'!S443="","",'MASTER DATA'!S443)</f>
        <v>Y</v>
      </c>
      <c r="T52" s="15">
        <f>IF('MASTER DATA'!T443="","",'MASTER DATA'!T443)</f>
        <v>45794</v>
      </c>
      <c r="U52" s="16" t="str">
        <f>IF('MASTER DATA'!U443="","",'MASTER DATA'!U443)</f>
        <v>N</v>
      </c>
      <c r="V52" s="16" t="str">
        <f>IF('MASTER DATA'!V443="","",'MASTER DATA'!V443)</f>
        <v>N</v>
      </c>
      <c r="W52" s="16" t="str">
        <f>IF('MASTER DATA'!W443="","",'MASTER DATA'!W443)</f>
        <v>N</v>
      </c>
      <c r="X52" s="16" t="str">
        <f>IF('MASTER DATA'!X443="","",'MASTER DATA'!X443)</f>
        <v>N</v>
      </c>
      <c r="Y52" s="16" t="str">
        <f>IF('MASTER DATA'!Y443="","",'MASTER DATA'!Y443)</f>
        <v>N</v>
      </c>
      <c r="Z52" s="16" t="str">
        <f>IF('MASTER DATA'!Z443="","",'MASTER DATA'!Z443)</f>
        <v>N</v>
      </c>
      <c r="AA52" s="16">
        <f>IF('MASTER DATA'!AA443="","",'MASTER DATA'!AA443)</f>
        <v>1</v>
      </c>
      <c r="AB52" s="16" t="str">
        <f>IF('MASTER DATA'!AB443="","",'MASTER DATA'!AB443)</f>
        <v>SINGLE-SIGNAL</v>
      </c>
      <c r="AC52" s="16" t="str">
        <f>IF('MASTER DATA'!AC443="","",'MASTER DATA'!AC443)</f>
        <v>Inactive Customer</v>
      </c>
    </row>
    <row r="53" spans="1:29" x14ac:dyDescent="0.45">
      <c r="A53" t="str">
        <f>IF('MASTER DATA'!A444="","",'MASTER DATA'!A444)</f>
        <v>SYN-CLM-0443</v>
      </c>
      <c r="B53" t="str">
        <f>IF('MASTER DATA'!B444="","",'MASTER DATA'!B444)</f>
        <v>Synthetic Claimant 0443</v>
      </c>
      <c r="C53" t="str">
        <f>IF('MASTER DATA'!C444="","",'MASTER DATA'!C444)</f>
        <v>Claims Analyst J</v>
      </c>
      <c r="D53" t="str">
        <f>IF('MASTER DATA'!D444="","",'MASTER DATA'!D444)</f>
        <v>Synthetic Policyholder 052, LLC</v>
      </c>
      <c r="E53" s="15">
        <f>IF('MASTER DATA'!E444="","",'MASTER DATA'!E444)</f>
        <v>44223</v>
      </c>
      <c r="F53" s="16" t="str">
        <f>IF('MASTER DATA'!F444="","",'MASTER DATA'!F444)</f>
        <v>Y</v>
      </c>
      <c r="G53" s="17">
        <f>IF('MASTER DATA'!G444="","",'MASTER DATA'!G444)</f>
        <v>85000</v>
      </c>
      <c r="H53" s="16" t="str">
        <f>IF('MASTER DATA'!H444="","",'MASTER DATA'!H444)</f>
        <v>Synthetic Approver 11</v>
      </c>
      <c r="I53" s="15">
        <f>IF('MASTER DATA'!I444="","",'MASTER DATA'!I444)</f>
        <v>45375</v>
      </c>
      <c r="J53" s="16" t="str">
        <f>IF('MASTER DATA'!J444="","",'MASTER DATA'!J444)</f>
        <v>N</v>
      </c>
      <c r="K53" s="15" t="str">
        <f>IF('MASTER DATA'!K444="","",'MASTER DATA'!K444)</f>
        <v/>
      </c>
      <c r="L53" s="16" t="str">
        <f>IF('MASTER DATA'!L444="","",'MASTER DATA'!L444)</f>
        <v>Y</v>
      </c>
      <c r="M53" s="16" t="str">
        <f>IF('MASTER DATA'!M444="","",'MASTER DATA'!M444)</f>
        <v>N</v>
      </c>
      <c r="N53" s="15" t="str">
        <f>IF('MASTER DATA'!N444="","",'MASTER DATA'!N444)</f>
        <v/>
      </c>
      <c r="O53" s="16" t="str">
        <f>IF('MASTER DATA'!O444="","",'MASTER DATA'!O444)</f>
        <v/>
      </c>
      <c r="P53" s="16" t="str">
        <f>IF('MASTER DATA'!P444="","",'MASTER DATA'!P444)</f>
        <v>N</v>
      </c>
      <c r="Q53" s="16" t="str">
        <f>IF('MASTER DATA'!Q444="","",'MASTER DATA'!Q444)</f>
        <v/>
      </c>
      <c r="R53" s="16" t="str">
        <f>IF('MASTER DATA'!R444="","",'MASTER DATA'!R444)</f>
        <v/>
      </c>
      <c r="S53" s="16" t="str">
        <f>IF('MASTER DATA'!S444="","",'MASTER DATA'!S444)</f>
        <v>N</v>
      </c>
      <c r="T53" s="15" t="str">
        <f>IF('MASTER DATA'!T444="","",'MASTER DATA'!T444)</f>
        <v/>
      </c>
      <c r="U53" s="16" t="str">
        <f>IF('MASTER DATA'!U444="","",'MASTER DATA'!U444)</f>
        <v>N</v>
      </c>
      <c r="V53" s="16" t="str">
        <f>IF('MASTER DATA'!V444="","",'MASTER DATA'!V444)</f>
        <v>N</v>
      </c>
      <c r="W53" s="16" t="str">
        <f>IF('MASTER DATA'!W444="","",'MASTER DATA'!W444)</f>
        <v>N</v>
      </c>
      <c r="X53" s="16" t="str">
        <f>IF('MASTER DATA'!X444="","",'MASTER DATA'!X444)</f>
        <v>N</v>
      </c>
      <c r="Y53" s="16" t="str">
        <f>IF('MASTER DATA'!Y444="","",'MASTER DATA'!Y444)</f>
        <v>N</v>
      </c>
      <c r="Z53" s="16" t="str">
        <f>IF('MASTER DATA'!Z444="","",'MASTER DATA'!Z444)</f>
        <v>N</v>
      </c>
      <c r="AA53" s="16">
        <f>IF('MASTER DATA'!AA444="","",'MASTER DATA'!AA444)</f>
        <v>1</v>
      </c>
      <c r="AB53" s="16" t="str">
        <f>IF('MASTER DATA'!AB444="","",'MASTER DATA'!AB444)</f>
        <v>SINGLE-SIGNAL</v>
      </c>
      <c r="AC53" s="16" t="str">
        <f>IF('MASTER DATA'!AC444="","",'MASTER DATA'!AC444)</f>
        <v>Settlement Authorization</v>
      </c>
    </row>
    <row r="54" spans="1:29" x14ac:dyDescent="0.45">
      <c r="A54" t="str">
        <f>IF('MASTER DATA'!A445="","",'MASTER DATA'!A445)</f>
        <v>SYN-CLM-0444</v>
      </c>
      <c r="B54" t="str">
        <f>IF('MASTER DATA'!B445="","",'MASTER DATA'!B445)</f>
        <v>Synthetic Claimant 0444</v>
      </c>
      <c r="C54" t="str">
        <f>IF('MASTER DATA'!C445="","",'MASTER DATA'!C445)</f>
        <v>Claims Analyst J</v>
      </c>
      <c r="D54" t="str">
        <f>IF('MASTER DATA'!D445="","",'MASTER DATA'!D445)</f>
        <v>Synthetic Policyholder 009, LLC</v>
      </c>
      <c r="E54" s="15">
        <f>IF('MASTER DATA'!E445="","",'MASTER DATA'!E445)</f>
        <v>43940</v>
      </c>
      <c r="F54" s="16" t="str">
        <f>IF('MASTER DATA'!F445="","",'MASTER DATA'!F445)</f>
        <v>N</v>
      </c>
      <c r="G54" s="17" t="str">
        <f>IF('MASTER DATA'!G445="","",'MASTER DATA'!G445)</f>
        <v/>
      </c>
      <c r="H54" s="16" t="str">
        <f>IF('MASTER DATA'!H445="","",'MASTER DATA'!H445)</f>
        <v/>
      </c>
      <c r="I54" s="15" t="str">
        <f>IF('MASTER DATA'!I445="","",'MASTER DATA'!I445)</f>
        <v/>
      </c>
      <c r="J54" s="16" t="str">
        <f>IF('MASTER DATA'!J445="","",'MASTER DATA'!J445)</f>
        <v>N</v>
      </c>
      <c r="K54" s="15" t="str">
        <f>IF('MASTER DATA'!K445="","",'MASTER DATA'!K445)</f>
        <v/>
      </c>
      <c r="L54" s="16" t="str">
        <f>IF('MASTER DATA'!L445="","",'MASTER DATA'!L445)</f>
        <v/>
      </c>
      <c r="M54" s="16" t="str">
        <f>IF('MASTER DATA'!M445="","",'MASTER DATA'!M445)</f>
        <v>N</v>
      </c>
      <c r="N54" s="15" t="str">
        <f>IF('MASTER DATA'!N445="","",'MASTER DATA'!N445)</f>
        <v/>
      </c>
      <c r="O54" s="16" t="str">
        <f>IF('MASTER DATA'!O445="","",'MASTER DATA'!O445)</f>
        <v/>
      </c>
      <c r="P54" s="16" t="str">
        <f>IF('MASTER DATA'!P445="","",'MASTER DATA'!P445)</f>
        <v>Y</v>
      </c>
      <c r="Q54" s="16" t="str">
        <f>IF('MASTER DATA'!Q445="","",'MASTER DATA'!Q445)</f>
        <v>MMI Date Reported; Surgery Requested; MSA Eligible in Next 3 Years</v>
      </c>
      <c r="R54" s="16" t="str">
        <f>IF('MASTER DATA'!R445="","",'MASTER DATA'!R445)</f>
        <v/>
      </c>
      <c r="S54" s="16" t="str">
        <f>IF('MASTER DATA'!S445="","",'MASTER DATA'!S445)</f>
        <v>N</v>
      </c>
      <c r="T54" s="15" t="str">
        <f>IF('MASTER DATA'!T445="","",'MASTER DATA'!T445)</f>
        <v/>
      </c>
      <c r="U54" s="16" t="str">
        <f>IF('MASTER DATA'!U445="","",'MASTER DATA'!U445)</f>
        <v>Y</v>
      </c>
      <c r="V54" s="16" t="str">
        <f>IF('MASTER DATA'!V445="","",'MASTER DATA'!V445)</f>
        <v>Y</v>
      </c>
      <c r="W54" s="16" t="str">
        <f>IF('MASTER DATA'!W445="","",'MASTER DATA'!W445)</f>
        <v>N</v>
      </c>
      <c r="X54" s="16" t="str">
        <f>IF('MASTER DATA'!X445="","",'MASTER DATA'!X445)</f>
        <v>N</v>
      </c>
      <c r="Y54" s="16" t="str">
        <f>IF('MASTER DATA'!Y445="","",'MASTER DATA'!Y445)</f>
        <v>N</v>
      </c>
      <c r="Z54" s="16" t="str">
        <f>IF('MASTER DATA'!Z445="","",'MASTER DATA'!Z445)</f>
        <v>Y</v>
      </c>
      <c r="AA54" s="16">
        <f>IF('MASTER DATA'!AA445="","",'MASTER DATA'!AA445)</f>
        <v>1</v>
      </c>
      <c r="AB54" s="16" t="str">
        <f>IF('MASTER DATA'!AB445="","",'MASTER DATA'!AB445)</f>
        <v>SINGLE-SIGNAL</v>
      </c>
      <c r="AC54" s="16" t="str">
        <f>IF('MASTER DATA'!AC445="","",'MASTER DATA'!AC445)</f>
        <v>Automated Claim Alert</v>
      </c>
    </row>
    <row r="55" spans="1:29" x14ac:dyDescent="0.45">
      <c r="A55" t="str">
        <f>IF('MASTER DATA'!A446="","",'MASTER DATA'!A446)</f>
        <v>SYN-CLM-0445</v>
      </c>
      <c r="B55" t="str">
        <f>IF('MASTER DATA'!B446="","",'MASTER DATA'!B446)</f>
        <v>Synthetic Claimant 0445</v>
      </c>
      <c r="C55" t="str">
        <f>IF('MASTER DATA'!C446="","",'MASTER DATA'!C446)</f>
        <v>Claims Analyst J</v>
      </c>
      <c r="D55" t="str">
        <f>IF('MASTER DATA'!D446="","",'MASTER DATA'!D446)</f>
        <v>Synthetic Policyholder 044, LLC</v>
      </c>
      <c r="E55" s="15">
        <f>IF('MASTER DATA'!E446="","",'MASTER DATA'!E446)</f>
        <v>45681</v>
      </c>
      <c r="F55" s="16" t="str">
        <f>IF('MASTER DATA'!F446="","",'MASTER DATA'!F446)</f>
        <v>Y</v>
      </c>
      <c r="G55" s="17">
        <f>IF('MASTER DATA'!G446="","",'MASTER DATA'!G446)</f>
        <v>124250</v>
      </c>
      <c r="H55" s="16" t="str">
        <f>IF('MASTER DATA'!H446="","",'MASTER DATA'!H446)</f>
        <v>Synthetic Approver 05</v>
      </c>
      <c r="I55" s="15">
        <f>IF('MASTER DATA'!I446="","",'MASTER DATA'!I446)</f>
        <v>46921</v>
      </c>
      <c r="J55" s="16" t="str">
        <f>IF('MASTER DATA'!J446="","",'MASTER DATA'!J446)</f>
        <v>Y</v>
      </c>
      <c r="K55" s="15">
        <f>IF('MASTER DATA'!K446="","",'MASTER DATA'!K446)</f>
        <v>47035</v>
      </c>
      <c r="L55" s="16" t="str">
        <f>IF('MASTER DATA'!L446="","",'MASTER DATA'!L446)</f>
        <v>N</v>
      </c>
      <c r="M55" s="16" t="str">
        <f>IF('MASTER DATA'!M446="","",'MASTER DATA'!M446)</f>
        <v>N</v>
      </c>
      <c r="N55" s="15" t="str">
        <f>IF('MASTER DATA'!N446="","",'MASTER DATA'!N446)</f>
        <v/>
      </c>
      <c r="O55" s="16" t="str">
        <f>IF('MASTER DATA'!O446="","",'MASTER DATA'!O446)</f>
        <v/>
      </c>
      <c r="P55" s="16" t="str">
        <f>IF('MASTER DATA'!P446="","",'MASTER DATA'!P446)</f>
        <v>Y</v>
      </c>
      <c r="Q55" s="16" t="str">
        <f>IF('MASTER DATA'!Q446="","",'MASTER DATA'!Q446)</f>
        <v>Specialist Consultation Requested; MMI Date Reported; MSA Eligible in Next 3 Years</v>
      </c>
      <c r="R55" s="16" t="str">
        <f>IF('MASTER DATA'!R446="","",'MASTER DATA'!R446)</f>
        <v>Non-Renewed Account; Denied Treatment Requests</v>
      </c>
      <c r="S55" s="16" t="str">
        <f>IF('MASTER DATA'!S446="","",'MASTER DATA'!S446)</f>
        <v>N</v>
      </c>
      <c r="T55" s="15" t="str">
        <f>IF('MASTER DATA'!T446="","",'MASTER DATA'!T446)</f>
        <v/>
      </c>
      <c r="U55" s="16" t="str">
        <f>IF('MASTER DATA'!U446="","",'MASTER DATA'!U446)</f>
        <v>N</v>
      </c>
      <c r="V55" s="16" t="str">
        <f>IF('MASTER DATA'!V446="","",'MASTER DATA'!V446)</f>
        <v>Y</v>
      </c>
      <c r="W55" s="16" t="str">
        <f>IF('MASTER DATA'!W446="","",'MASTER DATA'!W446)</f>
        <v>Y</v>
      </c>
      <c r="X55" s="16" t="str">
        <f>IF('MASTER DATA'!X446="","",'MASTER DATA'!X446)</f>
        <v>Y</v>
      </c>
      <c r="Y55" s="16" t="str">
        <f>IF('MASTER DATA'!Y446="","",'MASTER DATA'!Y446)</f>
        <v>Y</v>
      </c>
      <c r="Z55" s="16" t="str">
        <f>IF('MASTER DATA'!Z446="","",'MASTER DATA'!Z446)</f>
        <v>Y</v>
      </c>
      <c r="AA55" s="16">
        <f>IF('MASTER DATA'!AA446="","",'MASTER DATA'!AA446)</f>
        <v>3</v>
      </c>
      <c r="AB55" s="16" t="str">
        <f>IF('MASTER DATA'!AB446="","",'MASTER DATA'!AB446)</f>
        <v>ELEVATED MULTI-SIGNAL</v>
      </c>
      <c r="AC55" s="16" t="str">
        <f>IF('MASTER DATA'!AC446="","",'MASTER DATA'!AC446)</f>
        <v>Settlement Authorization | Open Stipulation | Automated Claim Alert</v>
      </c>
    </row>
    <row r="56" spans="1:29" x14ac:dyDescent="0.45">
      <c r="A56" t="str">
        <f>IF('MASTER DATA'!A447="","",'MASTER DATA'!A447)</f>
        <v>SYN-CLM-0446</v>
      </c>
      <c r="B56" t="str">
        <f>IF('MASTER DATA'!B447="","",'MASTER DATA'!B447)</f>
        <v>Synthetic Claimant 0446</v>
      </c>
      <c r="C56" t="str">
        <f>IF('MASTER DATA'!C447="","",'MASTER DATA'!C447)</f>
        <v>Claims Analyst J</v>
      </c>
      <c r="D56" t="str">
        <f>IF('MASTER DATA'!D447="","",'MASTER DATA'!D447)</f>
        <v>Synthetic Policyholder 102, LLC</v>
      </c>
      <c r="E56" s="15">
        <f>IF('MASTER DATA'!E447="","",'MASTER DATA'!E447)</f>
        <v>45327</v>
      </c>
      <c r="F56" s="16" t="str">
        <f>IF('MASTER DATA'!F447="","",'MASTER DATA'!F447)</f>
        <v>Y</v>
      </c>
      <c r="G56" s="17">
        <f>IF('MASTER DATA'!G447="","",'MASTER DATA'!G447)</f>
        <v>173250</v>
      </c>
      <c r="H56" s="16" t="str">
        <f>IF('MASTER DATA'!H447="","",'MASTER DATA'!H447)</f>
        <v>Synthetic Approver 12</v>
      </c>
      <c r="I56" s="15">
        <f>IF('MASTER DATA'!I447="","",'MASTER DATA'!I447)</f>
        <v>46199</v>
      </c>
      <c r="J56" s="16" t="str">
        <f>IF('MASTER DATA'!J447="","",'MASTER DATA'!J447)</f>
        <v>N</v>
      </c>
      <c r="K56" s="15" t="str">
        <f>IF('MASTER DATA'!K447="","",'MASTER DATA'!K447)</f>
        <v/>
      </c>
      <c r="L56" s="16" t="str">
        <f>IF('MASTER DATA'!L447="","",'MASTER DATA'!L447)</f>
        <v>Y</v>
      </c>
      <c r="M56" s="16" t="str">
        <f>IF('MASTER DATA'!M447="","",'MASTER DATA'!M447)</f>
        <v>N</v>
      </c>
      <c r="N56" s="15" t="str">
        <f>IF('MASTER DATA'!N447="","",'MASTER DATA'!N447)</f>
        <v/>
      </c>
      <c r="O56" s="16" t="str">
        <f>IF('MASTER DATA'!O447="","",'MASTER DATA'!O447)</f>
        <v/>
      </c>
      <c r="P56" s="16" t="str">
        <f>IF('MASTER DATA'!P447="","",'MASTER DATA'!P447)</f>
        <v>N</v>
      </c>
      <c r="Q56" s="16" t="str">
        <f>IF('MASTER DATA'!Q447="","",'MASTER DATA'!Q447)</f>
        <v/>
      </c>
      <c r="R56" s="16" t="str">
        <f>IF('MASTER DATA'!R447="","",'MASTER DATA'!R447)</f>
        <v/>
      </c>
      <c r="S56" s="16" t="str">
        <f>IF('MASTER DATA'!S447="","",'MASTER DATA'!S447)</f>
        <v>N</v>
      </c>
      <c r="T56" s="15" t="str">
        <f>IF('MASTER DATA'!T447="","",'MASTER DATA'!T447)</f>
        <v/>
      </c>
      <c r="U56" s="16" t="str">
        <f>IF('MASTER DATA'!U447="","",'MASTER DATA'!U447)</f>
        <v>N</v>
      </c>
      <c r="V56" s="16" t="str">
        <f>IF('MASTER DATA'!V447="","",'MASTER DATA'!V447)</f>
        <v>N</v>
      </c>
      <c r="W56" s="16" t="str">
        <f>IF('MASTER DATA'!W447="","",'MASTER DATA'!W447)</f>
        <v>N</v>
      </c>
      <c r="X56" s="16" t="str">
        <f>IF('MASTER DATA'!X447="","",'MASTER DATA'!X447)</f>
        <v>N</v>
      </c>
      <c r="Y56" s="16" t="str">
        <f>IF('MASTER DATA'!Y447="","",'MASTER DATA'!Y447)</f>
        <v>N</v>
      </c>
      <c r="Z56" s="16" t="str">
        <f>IF('MASTER DATA'!Z447="","",'MASTER DATA'!Z447)</f>
        <v>N</v>
      </c>
      <c r="AA56" s="16">
        <f>IF('MASTER DATA'!AA447="","",'MASTER DATA'!AA447)</f>
        <v>1</v>
      </c>
      <c r="AB56" s="16" t="str">
        <f>IF('MASTER DATA'!AB447="","",'MASTER DATA'!AB447)</f>
        <v>SINGLE-SIGNAL</v>
      </c>
      <c r="AC56" s="16" t="str">
        <f>IF('MASTER DATA'!AC447="","",'MASTER DATA'!AC447)</f>
        <v>Settlement Authorization</v>
      </c>
    </row>
    <row r="57" spans="1:29" x14ac:dyDescent="0.45">
      <c r="A57" t="str">
        <f>IF('MASTER DATA'!A448="","",'MASTER DATA'!A448)</f>
        <v>SYN-CLM-0447</v>
      </c>
      <c r="B57" t="str">
        <f>IF('MASTER DATA'!B448="","",'MASTER DATA'!B448)</f>
        <v>Synthetic Claimant 0447</v>
      </c>
      <c r="C57" t="str">
        <f>IF('MASTER DATA'!C448="","",'MASTER DATA'!C448)</f>
        <v>Claims Analyst J</v>
      </c>
      <c r="D57" t="str">
        <f>IF('MASTER DATA'!D448="","",'MASTER DATA'!D448)</f>
        <v>Synthetic Policyholder 094, LLC</v>
      </c>
      <c r="E57" s="15">
        <f>IF('MASTER DATA'!E448="","",'MASTER DATA'!E448)</f>
        <v>45100</v>
      </c>
      <c r="F57" s="16" t="str">
        <f>IF('MASTER DATA'!F448="","",'MASTER DATA'!F448)</f>
        <v>N</v>
      </c>
      <c r="G57" s="17" t="str">
        <f>IF('MASTER DATA'!G448="","",'MASTER DATA'!G448)</f>
        <v/>
      </c>
      <c r="H57" s="16" t="str">
        <f>IF('MASTER DATA'!H448="","",'MASTER DATA'!H448)</f>
        <v/>
      </c>
      <c r="I57" s="15" t="str">
        <f>IF('MASTER DATA'!I448="","",'MASTER DATA'!I448)</f>
        <v/>
      </c>
      <c r="J57" s="16" t="str">
        <f>IF('MASTER DATA'!J448="","",'MASTER DATA'!J448)</f>
        <v>Y</v>
      </c>
      <c r="K57" s="15">
        <f>IF('MASTER DATA'!K448="","",'MASTER DATA'!K448)</f>
        <v>45633</v>
      </c>
      <c r="L57" s="16" t="str">
        <f>IF('MASTER DATA'!L448="","",'MASTER DATA'!L448)</f>
        <v>Y</v>
      </c>
      <c r="M57" s="16" t="str">
        <f>IF('MASTER DATA'!M448="","",'MASTER DATA'!M448)</f>
        <v>N</v>
      </c>
      <c r="N57" s="15" t="str">
        <f>IF('MASTER DATA'!N448="","",'MASTER DATA'!N448)</f>
        <v/>
      </c>
      <c r="O57" s="16" t="str">
        <f>IF('MASTER DATA'!O448="","",'MASTER DATA'!O448)</f>
        <v/>
      </c>
      <c r="P57" s="16" t="str">
        <f>IF('MASTER DATA'!P448="","",'MASTER DATA'!P448)</f>
        <v>N</v>
      </c>
      <c r="Q57" s="16" t="str">
        <f>IF('MASTER DATA'!Q448="","",'MASTER DATA'!Q448)</f>
        <v/>
      </c>
      <c r="R57" s="16" t="str">
        <f>IF('MASTER DATA'!R448="","",'MASTER DATA'!R448)</f>
        <v/>
      </c>
      <c r="S57" s="16" t="str">
        <f>IF('MASTER DATA'!S448="","",'MASTER DATA'!S448)</f>
        <v>N</v>
      </c>
      <c r="T57" s="15" t="str">
        <f>IF('MASTER DATA'!T448="","",'MASTER DATA'!T448)</f>
        <v/>
      </c>
      <c r="U57" s="16" t="str">
        <f>IF('MASTER DATA'!U448="","",'MASTER DATA'!U448)</f>
        <v>N</v>
      </c>
      <c r="V57" s="16" t="str">
        <f>IF('MASTER DATA'!V448="","",'MASTER DATA'!V448)</f>
        <v>N</v>
      </c>
      <c r="W57" s="16" t="str">
        <f>IF('MASTER DATA'!W448="","",'MASTER DATA'!W448)</f>
        <v>N</v>
      </c>
      <c r="X57" s="16" t="str">
        <f>IF('MASTER DATA'!X448="","",'MASTER DATA'!X448)</f>
        <v>N</v>
      </c>
      <c r="Y57" s="16" t="str">
        <f>IF('MASTER DATA'!Y448="","",'MASTER DATA'!Y448)</f>
        <v>N</v>
      </c>
      <c r="Z57" s="16" t="str">
        <f>IF('MASTER DATA'!Z448="","",'MASTER DATA'!Z448)</f>
        <v>N</v>
      </c>
      <c r="AA57" s="16">
        <f>IF('MASTER DATA'!AA448="","",'MASTER DATA'!AA448)</f>
        <v>1</v>
      </c>
      <c r="AB57" s="16" t="str">
        <f>IF('MASTER DATA'!AB448="","",'MASTER DATA'!AB448)</f>
        <v>SINGLE-SIGNAL</v>
      </c>
      <c r="AC57" s="16" t="str">
        <f>IF('MASTER DATA'!AC448="","",'MASTER DATA'!AC448)</f>
        <v>Open Stipulation</v>
      </c>
    </row>
    <row r="58" spans="1:29" x14ac:dyDescent="0.45">
      <c r="A58" t="str">
        <f>IF('MASTER DATA'!A449="","",'MASTER DATA'!A449)</f>
        <v>SYN-CLM-0448</v>
      </c>
      <c r="B58" t="str">
        <f>IF('MASTER DATA'!B449="","",'MASTER DATA'!B449)</f>
        <v>Synthetic Claimant 0448</v>
      </c>
      <c r="C58" t="str">
        <f>IF('MASTER DATA'!C449="","",'MASTER DATA'!C449)</f>
        <v>Claims Analyst J</v>
      </c>
      <c r="D58" t="str">
        <f>IF('MASTER DATA'!D449="","",'MASTER DATA'!D449)</f>
        <v>Synthetic Policyholder 147, LLC</v>
      </c>
      <c r="E58" s="15">
        <f>IF('MASTER DATA'!E449="","",'MASTER DATA'!E449)</f>
        <v>44759</v>
      </c>
      <c r="F58" s="16" t="str">
        <f>IF('MASTER DATA'!F449="","",'MASTER DATA'!F449)</f>
        <v>Y</v>
      </c>
      <c r="G58" s="17">
        <f>IF('MASTER DATA'!G449="","",'MASTER DATA'!G449)</f>
        <v>38000</v>
      </c>
      <c r="H58" s="16" t="str">
        <f>IF('MASTER DATA'!H449="","",'MASTER DATA'!H449)</f>
        <v>Synthetic Approver 08</v>
      </c>
      <c r="I58" s="15">
        <f>IF('MASTER DATA'!I449="","",'MASTER DATA'!I449)</f>
        <v>45660</v>
      </c>
      <c r="J58" s="16" t="str">
        <f>IF('MASTER DATA'!J449="","",'MASTER DATA'!J449)</f>
        <v>Y</v>
      </c>
      <c r="K58" s="15">
        <f>IF('MASTER DATA'!K449="","",'MASTER DATA'!K449)</f>
        <v>45093</v>
      </c>
      <c r="L58" s="16" t="str">
        <f>IF('MASTER DATA'!L449="","",'MASTER DATA'!L449)</f>
        <v>N</v>
      </c>
      <c r="M58" s="16" t="str">
        <f>IF('MASTER DATA'!M449="","",'MASTER DATA'!M449)</f>
        <v>N</v>
      </c>
      <c r="N58" s="15" t="str">
        <f>IF('MASTER DATA'!N449="","",'MASTER DATA'!N449)</f>
        <v/>
      </c>
      <c r="O58" s="16" t="str">
        <f>IF('MASTER DATA'!O449="","",'MASTER DATA'!O449)</f>
        <v/>
      </c>
      <c r="P58" s="16" t="str">
        <f>IF('MASTER DATA'!P449="","",'MASTER DATA'!P449)</f>
        <v>N</v>
      </c>
      <c r="Q58" s="16" t="str">
        <f>IF('MASTER DATA'!Q449="","",'MASTER DATA'!Q449)</f>
        <v/>
      </c>
      <c r="R58" s="16" t="str">
        <f>IF('MASTER DATA'!R449="","",'MASTER DATA'!R449)</f>
        <v/>
      </c>
      <c r="S58" s="16" t="str">
        <f>IF('MASTER DATA'!S449="","",'MASTER DATA'!S449)</f>
        <v>N</v>
      </c>
      <c r="T58" s="15" t="str">
        <f>IF('MASTER DATA'!T449="","",'MASTER DATA'!T449)</f>
        <v/>
      </c>
      <c r="U58" s="16" t="str">
        <f>IF('MASTER DATA'!U449="","",'MASTER DATA'!U449)</f>
        <v>N</v>
      </c>
      <c r="V58" s="16" t="str">
        <f>IF('MASTER DATA'!V449="","",'MASTER DATA'!V449)</f>
        <v>N</v>
      </c>
      <c r="W58" s="16" t="str">
        <f>IF('MASTER DATA'!W449="","",'MASTER DATA'!W449)</f>
        <v>N</v>
      </c>
      <c r="X58" s="16" t="str">
        <f>IF('MASTER DATA'!X449="","",'MASTER DATA'!X449)</f>
        <v>N</v>
      </c>
      <c r="Y58" s="16" t="str">
        <f>IF('MASTER DATA'!Y449="","",'MASTER DATA'!Y449)</f>
        <v>N</v>
      </c>
      <c r="Z58" s="16" t="str">
        <f>IF('MASTER DATA'!Z449="","",'MASTER DATA'!Z449)</f>
        <v>N</v>
      </c>
      <c r="AA58" s="16">
        <f>IF('MASTER DATA'!AA449="","",'MASTER DATA'!AA449)</f>
        <v>2</v>
      </c>
      <c r="AB58" s="16" t="str">
        <f>IF('MASTER DATA'!AB449="","",'MASTER DATA'!AB449)</f>
        <v>MULTI-SIGNAL</v>
      </c>
      <c r="AC58" s="16" t="str">
        <f>IF('MASTER DATA'!AC449="","",'MASTER DATA'!AC449)</f>
        <v>Settlement Authorization | Open Stipulation</v>
      </c>
    </row>
    <row r="59" spans="1:29" x14ac:dyDescent="0.45">
      <c r="A59" t="str">
        <f>IF('MASTER DATA'!A450="","",'MASTER DATA'!A450)</f>
        <v>SYN-CLM-0449</v>
      </c>
      <c r="B59" t="str">
        <f>IF('MASTER DATA'!B450="","",'MASTER DATA'!B450)</f>
        <v>Synthetic Claimant 0449</v>
      </c>
      <c r="C59" t="str">
        <f>IF('MASTER DATA'!C450="","",'MASTER DATA'!C450)</f>
        <v>Claims Analyst J</v>
      </c>
      <c r="D59" t="str">
        <f>IF('MASTER DATA'!D450="","",'MASTER DATA'!D450)</f>
        <v>Synthetic Policyholder 100, LLC</v>
      </c>
      <c r="E59" s="15">
        <f>IF('MASTER DATA'!E450="","",'MASTER DATA'!E450)</f>
        <v>44870</v>
      </c>
      <c r="F59" s="16" t="str">
        <f>IF('MASTER DATA'!F450="","",'MASTER DATA'!F450)</f>
        <v>N</v>
      </c>
      <c r="G59" s="17" t="str">
        <f>IF('MASTER DATA'!G450="","",'MASTER DATA'!G450)</f>
        <v/>
      </c>
      <c r="H59" s="16" t="str">
        <f>IF('MASTER DATA'!H450="","",'MASTER DATA'!H450)</f>
        <v/>
      </c>
      <c r="I59" s="15" t="str">
        <f>IF('MASTER DATA'!I450="","",'MASTER DATA'!I450)</f>
        <v/>
      </c>
      <c r="J59" s="16" t="str">
        <f>IF('MASTER DATA'!J450="","",'MASTER DATA'!J450)</f>
        <v>Y</v>
      </c>
      <c r="K59" s="15">
        <f>IF('MASTER DATA'!K450="","",'MASTER DATA'!K450)</f>
        <v>45084</v>
      </c>
      <c r="L59" s="16" t="str">
        <f>IF('MASTER DATA'!L450="","",'MASTER DATA'!L450)</f>
        <v>N</v>
      </c>
      <c r="M59" s="16" t="str">
        <f>IF('MASTER DATA'!M450="","",'MASTER DATA'!M450)</f>
        <v>N</v>
      </c>
      <c r="N59" s="15" t="str">
        <f>IF('MASTER DATA'!N450="","",'MASTER DATA'!N450)</f>
        <v/>
      </c>
      <c r="O59" s="16" t="str">
        <f>IF('MASTER DATA'!O450="","",'MASTER DATA'!O450)</f>
        <v/>
      </c>
      <c r="P59" s="16" t="str">
        <f>IF('MASTER DATA'!P450="","",'MASTER DATA'!P450)</f>
        <v>N</v>
      </c>
      <c r="Q59" s="16" t="str">
        <f>IF('MASTER DATA'!Q450="","",'MASTER DATA'!Q450)</f>
        <v/>
      </c>
      <c r="R59" s="16" t="str">
        <f>IF('MASTER DATA'!R450="","",'MASTER DATA'!R450)</f>
        <v/>
      </c>
      <c r="S59" s="16" t="str">
        <f>IF('MASTER DATA'!S450="","",'MASTER DATA'!S450)</f>
        <v>Y</v>
      </c>
      <c r="T59" s="15">
        <f>IF('MASTER DATA'!T450="","",'MASTER DATA'!T450)</f>
        <v>45892</v>
      </c>
      <c r="U59" s="16" t="str">
        <f>IF('MASTER DATA'!U450="","",'MASTER DATA'!U450)</f>
        <v>N</v>
      </c>
      <c r="V59" s="16" t="str">
        <f>IF('MASTER DATA'!V450="","",'MASTER DATA'!V450)</f>
        <v>N</v>
      </c>
      <c r="W59" s="16" t="str">
        <f>IF('MASTER DATA'!W450="","",'MASTER DATA'!W450)</f>
        <v>N</v>
      </c>
      <c r="X59" s="16" t="str">
        <f>IF('MASTER DATA'!X450="","",'MASTER DATA'!X450)</f>
        <v>N</v>
      </c>
      <c r="Y59" s="16" t="str">
        <f>IF('MASTER DATA'!Y450="","",'MASTER DATA'!Y450)</f>
        <v>N</v>
      </c>
      <c r="Z59" s="16" t="str">
        <f>IF('MASTER DATA'!Z450="","",'MASTER DATA'!Z450)</f>
        <v>N</v>
      </c>
      <c r="AA59" s="16">
        <f>IF('MASTER DATA'!AA450="","",'MASTER DATA'!AA450)</f>
        <v>2</v>
      </c>
      <c r="AB59" s="16" t="str">
        <f>IF('MASTER DATA'!AB450="","",'MASTER DATA'!AB450)</f>
        <v>MULTI-SIGNAL</v>
      </c>
      <c r="AC59" s="16" t="str">
        <f>IF('MASTER DATA'!AC450="","",'MASTER DATA'!AC450)</f>
        <v>Open Stipulation | Inactive Customer</v>
      </c>
    </row>
    <row r="60" spans="1:29" x14ac:dyDescent="0.45">
      <c r="A60" t="str">
        <f>IF('MASTER DATA'!A451="","",'MASTER DATA'!A451)</f>
        <v>SYN-CLM-0450</v>
      </c>
      <c r="B60" t="str">
        <f>IF('MASTER DATA'!B451="","",'MASTER DATA'!B451)</f>
        <v>Synthetic Claimant 0450</v>
      </c>
      <c r="C60" t="str">
        <f>IF('MASTER DATA'!C451="","",'MASTER DATA'!C451)</f>
        <v>Claims Analyst J</v>
      </c>
      <c r="D60" t="str">
        <f>IF('MASTER DATA'!D451="","",'MASTER DATA'!D451)</f>
        <v>Synthetic Policyholder 043, LLC</v>
      </c>
      <c r="E60" s="15">
        <f>IF('MASTER DATA'!E451="","",'MASTER DATA'!E451)</f>
        <v>44287</v>
      </c>
      <c r="F60" s="16" t="str">
        <f>IF('MASTER DATA'!F451="","",'MASTER DATA'!F451)</f>
        <v>N</v>
      </c>
      <c r="G60" s="17" t="str">
        <f>IF('MASTER DATA'!G451="","",'MASTER DATA'!G451)</f>
        <v/>
      </c>
      <c r="H60" s="16" t="str">
        <f>IF('MASTER DATA'!H451="","",'MASTER DATA'!H451)</f>
        <v/>
      </c>
      <c r="I60" s="15" t="str">
        <f>IF('MASTER DATA'!I451="","",'MASTER DATA'!I451)</f>
        <v/>
      </c>
      <c r="J60" s="16" t="str">
        <f>IF('MASTER DATA'!J451="","",'MASTER DATA'!J451)</f>
        <v>N</v>
      </c>
      <c r="K60" s="15" t="str">
        <f>IF('MASTER DATA'!K451="","",'MASTER DATA'!K451)</f>
        <v/>
      </c>
      <c r="L60" s="16" t="str">
        <f>IF('MASTER DATA'!L451="","",'MASTER DATA'!L451)</f>
        <v/>
      </c>
      <c r="M60" s="16" t="str">
        <f>IF('MASTER DATA'!M451="","",'MASTER DATA'!M451)</f>
        <v>Y</v>
      </c>
      <c r="N60" s="15">
        <f>IF('MASTER DATA'!N451="","",'MASTER DATA'!N451)</f>
        <v>45678</v>
      </c>
      <c r="O60" s="16" t="str">
        <f>IF('MASTER DATA'!O451="","",'MASTER DATA'!O451)</f>
        <v>Synthetic QME Evaluator 33</v>
      </c>
      <c r="P60" s="16" t="str">
        <f>IF('MASTER DATA'!P451="","",'MASTER DATA'!P451)</f>
        <v>N</v>
      </c>
      <c r="Q60" s="16" t="str">
        <f>IF('MASTER DATA'!Q451="","",'MASTER DATA'!Q451)</f>
        <v/>
      </c>
      <c r="R60" s="16" t="str">
        <f>IF('MASTER DATA'!R451="","",'MASTER DATA'!R451)</f>
        <v/>
      </c>
      <c r="S60" s="16" t="str">
        <f>IF('MASTER DATA'!S451="","",'MASTER DATA'!S451)</f>
        <v>N</v>
      </c>
      <c r="T60" s="15" t="str">
        <f>IF('MASTER DATA'!T451="","",'MASTER DATA'!T451)</f>
        <v/>
      </c>
      <c r="U60" s="16" t="str">
        <f>IF('MASTER DATA'!U451="","",'MASTER DATA'!U451)</f>
        <v>N</v>
      </c>
      <c r="V60" s="16" t="str">
        <f>IF('MASTER DATA'!V451="","",'MASTER DATA'!V451)</f>
        <v>N</v>
      </c>
      <c r="W60" s="16" t="str">
        <f>IF('MASTER DATA'!W451="","",'MASTER DATA'!W451)</f>
        <v>N</v>
      </c>
      <c r="X60" s="16" t="str">
        <f>IF('MASTER DATA'!X451="","",'MASTER DATA'!X451)</f>
        <v>N</v>
      </c>
      <c r="Y60" s="16" t="str">
        <f>IF('MASTER DATA'!Y451="","",'MASTER DATA'!Y451)</f>
        <v>N</v>
      </c>
      <c r="Z60" s="16" t="str">
        <f>IF('MASTER DATA'!Z451="","",'MASTER DATA'!Z451)</f>
        <v>N</v>
      </c>
      <c r="AA60" s="16">
        <f>IF('MASTER DATA'!AA451="","",'MASTER DATA'!AA451)</f>
        <v>1</v>
      </c>
      <c r="AB60" s="16" t="str">
        <f>IF('MASTER DATA'!AB451="","",'MASTER DATA'!AB451)</f>
        <v>SINGLE-SIGNAL</v>
      </c>
      <c r="AC60" s="16" t="str">
        <f>IF('MASTER DATA'!AC451="","",'MASTER DATA'!AC451)</f>
        <v>Pending QME</v>
      </c>
    </row>
    <row r="61" spans="1:29" x14ac:dyDescent="0.45">
      <c r="A61" t="str">
        <f>IF('MASTER DATA'!A452="","",'MASTER DATA'!A452)</f>
        <v>SYN-CLM-0451</v>
      </c>
      <c r="B61" t="str">
        <f>IF('MASTER DATA'!B452="","",'MASTER DATA'!B452)</f>
        <v>Synthetic Claimant 0451</v>
      </c>
      <c r="C61" t="str">
        <f>IF('MASTER DATA'!C452="","",'MASTER DATA'!C452)</f>
        <v>Claims Analyst J</v>
      </c>
      <c r="D61" t="str">
        <f>IF('MASTER DATA'!D452="","",'MASTER DATA'!D452)</f>
        <v>Synthetic Policyholder 144, LLC</v>
      </c>
      <c r="E61" s="15">
        <f>IF('MASTER DATA'!E452="","",'MASTER DATA'!E452)</f>
        <v>45189</v>
      </c>
      <c r="F61" s="16" t="str">
        <f>IF('MASTER DATA'!F452="","",'MASTER DATA'!F452)</f>
        <v>N</v>
      </c>
      <c r="G61" s="17" t="str">
        <f>IF('MASTER DATA'!G452="","",'MASTER DATA'!G452)</f>
        <v/>
      </c>
      <c r="H61" s="16" t="str">
        <f>IF('MASTER DATA'!H452="","",'MASTER DATA'!H452)</f>
        <v/>
      </c>
      <c r="I61" s="15" t="str">
        <f>IF('MASTER DATA'!I452="","",'MASTER DATA'!I452)</f>
        <v/>
      </c>
      <c r="J61" s="16" t="str">
        <f>IF('MASTER DATA'!J452="","",'MASTER DATA'!J452)</f>
        <v>Y</v>
      </c>
      <c r="K61" s="15">
        <f>IF('MASTER DATA'!K452="","",'MASTER DATA'!K452)</f>
        <v>45483</v>
      </c>
      <c r="L61" s="16" t="str">
        <f>IF('MASTER DATA'!L452="","",'MASTER DATA'!L452)</f>
        <v>N</v>
      </c>
      <c r="M61" s="16" t="str">
        <f>IF('MASTER DATA'!M452="","",'MASTER DATA'!M452)</f>
        <v>N</v>
      </c>
      <c r="N61" s="15" t="str">
        <f>IF('MASTER DATA'!N452="","",'MASTER DATA'!N452)</f>
        <v/>
      </c>
      <c r="O61" s="16" t="str">
        <f>IF('MASTER DATA'!O452="","",'MASTER DATA'!O452)</f>
        <v/>
      </c>
      <c r="P61" s="16" t="str">
        <f>IF('MASTER DATA'!P452="","",'MASTER DATA'!P452)</f>
        <v>N</v>
      </c>
      <c r="Q61" s="16" t="str">
        <f>IF('MASTER DATA'!Q452="","",'MASTER DATA'!Q452)</f>
        <v/>
      </c>
      <c r="R61" s="16" t="str">
        <f>IF('MASTER DATA'!R452="","",'MASTER DATA'!R452)</f>
        <v/>
      </c>
      <c r="S61" s="16" t="str">
        <f>IF('MASTER DATA'!S452="","",'MASTER DATA'!S452)</f>
        <v>N</v>
      </c>
      <c r="T61" s="15" t="str">
        <f>IF('MASTER DATA'!T452="","",'MASTER DATA'!T452)</f>
        <v/>
      </c>
      <c r="U61" s="16" t="str">
        <f>IF('MASTER DATA'!U452="","",'MASTER DATA'!U452)</f>
        <v>N</v>
      </c>
      <c r="V61" s="16" t="str">
        <f>IF('MASTER DATA'!V452="","",'MASTER DATA'!V452)</f>
        <v>N</v>
      </c>
      <c r="W61" s="16" t="str">
        <f>IF('MASTER DATA'!W452="","",'MASTER DATA'!W452)</f>
        <v>N</v>
      </c>
      <c r="X61" s="16" t="str">
        <f>IF('MASTER DATA'!X452="","",'MASTER DATA'!X452)</f>
        <v>N</v>
      </c>
      <c r="Y61" s="16" t="str">
        <f>IF('MASTER DATA'!Y452="","",'MASTER DATA'!Y452)</f>
        <v>N</v>
      </c>
      <c r="Z61" s="16" t="str">
        <f>IF('MASTER DATA'!Z452="","",'MASTER DATA'!Z452)</f>
        <v>N</v>
      </c>
      <c r="AA61" s="16">
        <f>IF('MASTER DATA'!AA452="","",'MASTER DATA'!AA452)</f>
        <v>1</v>
      </c>
      <c r="AB61" s="16" t="str">
        <f>IF('MASTER DATA'!AB452="","",'MASTER DATA'!AB452)</f>
        <v>SINGLE-SIGNAL</v>
      </c>
      <c r="AC61" s="16" t="str">
        <f>IF('MASTER DATA'!AC452="","",'MASTER DATA'!AC452)</f>
        <v>Open Stipulation</v>
      </c>
    </row>
    <row r="62" spans="1:29" x14ac:dyDescent="0.45">
      <c r="A62" t="str">
        <f>IF('MASTER DATA'!A453="","",'MASTER DATA'!A453)</f>
        <v>SYN-CLM-0452</v>
      </c>
      <c r="B62" t="str">
        <f>IF('MASTER DATA'!B453="","",'MASTER DATA'!B453)</f>
        <v>Synthetic Claimant 0452</v>
      </c>
      <c r="C62" t="str">
        <f>IF('MASTER DATA'!C453="","",'MASTER DATA'!C453)</f>
        <v>Claims Analyst J</v>
      </c>
      <c r="D62" t="str">
        <f>IF('MASTER DATA'!D453="","",'MASTER DATA'!D453)</f>
        <v>Synthetic Policyholder 133, LLC</v>
      </c>
      <c r="E62" s="15">
        <f>IF('MASTER DATA'!E453="","",'MASTER DATA'!E453)</f>
        <v>45824</v>
      </c>
      <c r="F62" s="16" t="str">
        <f>IF('MASTER DATA'!F453="","",'MASTER DATA'!F453)</f>
        <v>N</v>
      </c>
      <c r="G62" s="17" t="str">
        <f>IF('MASTER DATA'!G453="","",'MASTER DATA'!G453)</f>
        <v/>
      </c>
      <c r="H62" s="16" t="str">
        <f>IF('MASTER DATA'!H453="","",'MASTER DATA'!H453)</f>
        <v/>
      </c>
      <c r="I62" s="15" t="str">
        <f>IF('MASTER DATA'!I453="","",'MASTER DATA'!I453)</f>
        <v/>
      </c>
      <c r="J62" s="16" t="str">
        <f>IF('MASTER DATA'!J453="","",'MASTER DATA'!J453)</f>
        <v>N</v>
      </c>
      <c r="K62" s="15" t="str">
        <f>IF('MASTER DATA'!K453="","",'MASTER DATA'!K453)</f>
        <v/>
      </c>
      <c r="L62" s="16" t="str">
        <f>IF('MASTER DATA'!L453="","",'MASTER DATA'!L453)</f>
        <v/>
      </c>
      <c r="M62" s="16" t="str">
        <f>IF('MASTER DATA'!M453="","",'MASTER DATA'!M453)</f>
        <v>N</v>
      </c>
      <c r="N62" s="15" t="str">
        <f>IF('MASTER DATA'!N453="","",'MASTER DATA'!N453)</f>
        <v/>
      </c>
      <c r="O62" s="16" t="str">
        <f>IF('MASTER DATA'!O453="","",'MASTER DATA'!O453)</f>
        <v/>
      </c>
      <c r="P62" s="16" t="str">
        <f>IF('MASTER DATA'!P453="","",'MASTER DATA'!P453)</f>
        <v>N</v>
      </c>
      <c r="Q62" s="16" t="str">
        <f>IF('MASTER DATA'!Q453="","",'MASTER DATA'!Q453)</f>
        <v/>
      </c>
      <c r="R62" s="16" t="str">
        <f>IF('MASTER DATA'!R453="","",'MASTER DATA'!R453)</f>
        <v/>
      </c>
      <c r="S62" s="16" t="str">
        <f>IF('MASTER DATA'!S453="","",'MASTER DATA'!S453)</f>
        <v>Y</v>
      </c>
      <c r="T62" s="15">
        <f>IF('MASTER DATA'!T453="","",'MASTER DATA'!T453)</f>
        <v>47737</v>
      </c>
      <c r="U62" s="16" t="str">
        <f>IF('MASTER DATA'!U453="","",'MASTER DATA'!U453)</f>
        <v>N</v>
      </c>
      <c r="V62" s="16" t="str">
        <f>IF('MASTER DATA'!V453="","",'MASTER DATA'!V453)</f>
        <v>N</v>
      </c>
      <c r="W62" s="16" t="str">
        <f>IF('MASTER DATA'!W453="","",'MASTER DATA'!W453)</f>
        <v>N</v>
      </c>
      <c r="X62" s="16" t="str">
        <f>IF('MASTER DATA'!X453="","",'MASTER DATA'!X453)</f>
        <v>N</v>
      </c>
      <c r="Y62" s="16" t="str">
        <f>IF('MASTER DATA'!Y453="","",'MASTER DATA'!Y453)</f>
        <v>N</v>
      </c>
      <c r="Z62" s="16" t="str">
        <f>IF('MASTER DATA'!Z453="","",'MASTER DATA'!Z453)</f>
        <v>N</v>
      </c>
      <c r="AA62" s="16">
        <f>IF('MASTER DATA'!AA453="","",'MASTER DATA'!AA453)</f>
        <v>1</v>
      </c>
      <c r="AB62" s="16" t="str">
        <f>IF('MASTER DATA'!AB453="","",'MASTER DATA'!AB453)</f>
        <v>SINGLE-SIGNAL</v>
      </c>
      <c r="AC62" s="16" t="str">
        <f>IF('MASTER DATA'!AC453="","",'MASTER DATA'!AC453)</f>
        <v>Inactive Customer</v>
      </c>
    </row>
    <row r="63" spans="1:29" x14ac:dyDescent="0.45">
      <c r="A63" t="str">
        <f>IF('MASTER DATA'!A454="","",'MASTER DATA'!A454)</f>
        <v>SYN-CLM-0453</v>
      </c>
      <c r="B63" t="str">
        <f>IF('MASTER DATA'!B454="","",'MASTER DATA'!B454)</f>
        <v>Synthetic Claimant 0453</v>
      </c>
      <c r="C63" t="str">
        <f>IF('MASTER DATA'!C454="","",'MASTER DATA'!C454)</f>
        <v>Claims Analyst J</v>
      </c>
      <c r="D63" t="str">
        <f>IF('MASTER DATA'!D454="","",'MASTER DATA'!D454)</f>
        <v>Synthetic Policyholder 163, LLC</v>
      </c>
      <c r="E63" s="15">
        <f>IF('MASTER DATA'!E454="","",'MASTER DATA'!E454)</f>
        <v>45814</v>
      </c>
      <c r="F63" s="16" t="str">
        <f>IF('MASTER DATA'!F454="","",'MASTER DATA'!F454)</f>
        <v>N</v>
      </c>
      <c r="G63" s="17" t="str">
        <f>IF('MASTER DATA'!G454="","",'MASTER DATA'!G454)</f>
        <v/>
      </c>
      <c r="H63" s="16" t="str">
        <f>IF('MASTER DATA'!H454="","",'MASTER DATA'!H454)</f>
        <v/>
      </c>
      <c r="I63" s="15" t="str">
        <f>IF('MASTER DATA'!I454="","",'MASTER DATA'!I454)</f>
        <v/>
      </c>
      <c r="J63" s="16" t="str">
        <f>IF('MASTER DATA'!J454="","",'MASTER DATA'!J454)</f>
        <v>Y</v>
      </c>
      <c r="K63" s="15">
        <f>IF('MASTER DATA'!K454="","",'MASTER DATA'!K454)</f>
        <v>46112</v>
      </c>
      <c r="L63" s="16" t="str">
        <f>IF('MASTER DATA'!L454="","",'MASTER DATA'!L454)</f>
        <v>Y</v>
      </c>
      <c r="M63" s="16" t="str">
        <f>IF('MASTER DATA'!M454="","",'MASTER DATA'!M454)</f>
        <v>N</v>
      </c>
      <c r="N63" s="15" t="str">
        <f>IF('MASTER DATA'!N454="","",'MASTER DATA'!N454)</f>
        <v/>
      </c>
      <c r="O63" s="16" t="str">
        <f>IF('MASTER DATA'!O454="","",'MASTER DATA'!O454)</f>
        <v/>
      </c>
      <c r="P63" s="16" t="str">
        <f>IF('MASTER DATA'!P454="","",'MASTER DATA'!P454)</f>
        <v>N</v>
      </c>
      <c r="Q63" s="16" t="str">
        <f>IF('MASTER DATA'!Q454="","",'MASTER DATA'!Q454)</f>
        <v/>
      </c>
      <c r="R63" s="16" t="str">
        <f>IF('MASTER DATA'!R454="","",'MASTER DATA'!R454)</f>
        <v/>
      </c>
      <c r="S63" s="16" t="str">
        <f>IF('MASTER DATA'!S454="","",'MASTER DATA'!S454)</f>
        <v>Y</v>
      </c>
      <c r="T63" s="15">
        <f>IF('MASTER DATA'!T454="","",'MASTER DATA'!T454)</f>
        <v>46828</v>
      </c>
      <c r="U63" s="16" t="str">
        <f>IF('MASTER DATA'!U454="","",'MASTER DATA'!U454)</f>
        <v>N</v>
      </c>
      <c r="V63" s="16" t="str">
        <f>IF('MASTER DATA'!V454="","",'MASTER DATA'!V454)</f>
        <v>N</v>
      </c>
      <c r="W63" s="16" t="str">
        <f>IF('MASTER DATA'!W454="","",'MASTER DATA'!W454)</f>
        <v>N</v>
      </c>
      <c r="X63" s="16" t="str">
        <f>IF('MASTER DATA'!X454="","",'MASTER DATA'!X454)</f>
        <v>N</v>
      </c>
      <c r="Y63" s="16" t="str">
        <f>IF('MASTER DATA'!Y454="","",'MASTER DATA'!Y454)</f>
        <v>N</v>
      </c>
      <c r="Z63" s="16" t="str">
        <f>IF('MASTER DATA'!Z454="","",'MASTER DATA'!Z454)</f>
        <v>N</v>
      </c>
      <c r="AA63" s="16">
        <f>IF('MASTER DATA'!AA454="","",'MASTER DATA'!AA454)</f>
        <v>2</v>
      </c>
      <c r="AB63" s="16" t="str">
        <f>IF('MASTER DATA'!AB454="","",'MASTER DATA'!AB454)</f>
        <v>MULTI-SIGNAL</v>
      </c>
      <c r="AC63" s="16" t="str">
        <f>IF('MASTER DATA'!AC454="","",'MASTER DATA'!AC454)</f>
        <v>Open Stipulation | Inactive Customer</v>
      </c>
    </row>
    <row r="64" spans="1:29" x14ac:dyDescent="0.45">
      <c r="A64" t="str">
        <f>IF('MASTER DATA'!A455="","",'MASTER DATA'!A455)</f>
        <v>SYN-CLM-0454</v>
      </c>
      <c r="B64" t="str">
        <f>IF('MASTER DATA'!B455="","",'MASTER DATA'!B455)</f>
        <v>Synthetic Claimant 0454</v>
      </c>
      <c r="C64" t="str">
        <f>IF('MASTER DATA'!C455="","",'MASTER DATA'!C455)</f>
        <v>Claims Analyst J</v>
      </c>
      <c r="D64" t="str">
        <f>IF('MASTER DATA'!D455="","",'MASTER DATA'!D455)</f>
        <v>Synthetic Policyholder 015, LLC</v>
      </c>
      <c r="E64" s="15">
        <f>IF('MASTER DATA'!E455="","",'MASTER DATA'!E455)</f>
        <v>44619</v>
      </c>
      <c r="F64" s="16" t="str">
        <f>IF('MASTER DATA'!F455="","",'MASTER DATA'!F455)</f>
        <v>Y</v>
      </c>
      <c r="G64" s="17">
        <f>IF('MASTER DATA'!G455="","",'MASTER DATA'!G455)</f>
        <v>59750</v>
      </c>
      <c r="H64" s="16" t="str">
        <f>IF('MASTER DATA'!H455="","",'MASTER DATA'!H455)</f>
        <v>Synthetic Approver 01</v>
      </c>
      <c r="I64" s="15">
        <f>IF('MASTER DATA'!I455="","",'MASTER DATA'!I455)</f>
        <v>45024</v>
      </c>
      <c r="J64" s="16" t="str">
        <f>IF('MASTER DATA'!J455="","",'MASTER DATA'!J455)</f>
        <v>N</v>
      </c>
      <c r="K64" s="15" t="str">
        <f>IF('MASTER DATA'!K455="","",'MASTER DATA'!K455)</f>
        <v/>
      </c>
      <c r="L64" s="16" t="str">
        <f>IF('MASTER DATA'!L455="","",'MASTER DATA'!L455)</f>
        <v>N</v>
      </c>
      <c r="M64" s="16" t="str">
        <f>IF('MASTER DATA'!M455="","",'MASTER DATA'!M455)</f>
        <v>N</v>
      </c>
      <c r="N64" s="15" t="str">
        <f>IF('MASTER DATA'!N455="","",'MASTER DATA'!N455)</f>
        <v/>
      </c>
      <c r="O64" s="16" t="str">
        <f>IF('MASTER DATA'!O455="","",'MASTER DATA'!O455)</f>
        <v/>
      </c>
      <c r="P64" s="16" t="str">
        <f>IF('MASTER DATA'!P455="","",'MASTER DATA'!P455)</f>
        <v>N</v>
      </c>
      <c r="Q64" s="16" t="str">
        <f>IF('MASTER DATA'!Q455="","",'MASTER DATA'!Q455)</f>
        <v/>
      </c>
      <c r="R64" s="16" t="str">
        <f>IF('MASTER DATA'!R455="","",'MASTER DATA'!R455)</f>
        <v/>
      </c>
      <c r="S64" s="16" t="str">
        <f>IF('MASTER DATA'!S455="","",'MASTER DATA'!S455)</f>
        <v>N</v>
      </c>
      <c r="T64" s="15" t="str">
        <f>IF('MASTER DATA'!T455="","",'MASTER DATA'!T455)</f>
        <v/>
      </c>
      <c r="U64" s="16" t="str">
        <f>IF('MASTER DATA'!U455="","",'MASTER DATA'!U455)</f>
        <v>N</v>
      </c>
      <c r="V64" s="16" t="str">
        <f>IF('MASTER DATA'!V455="","",'MASTER DATA'!V455)</f>
        <v>N</v>
      </c>
      <c r="W64" s="16" t="str">
        <f>IF('MASTER DATA'!W455="","",'MASTER DATA'!W455)</f>
        <v>N</v>
      </c>
      <c r="X64" s="16" t="str">
        <f>IF('MASTER DATA'!X455="","",'MASTER DATA'!X455)</f>
        <v>N</v>
      </c>
      <c r="Y64" s="16" t="str">
        <f>IF('MASTER DATA'!Y455="","",'MASTER DATA'!Y455)</f>
        <v>N</v>
      </c>
      <c r="Z64" s="16" t="str">
        <f>IF('MASTER DATA'!Z455="","",'MASTER DATA'!Z455)</f>
        <v>N</v>
      </c>
      <c r="AA64" s="16">
        <f>IF('MASTER DATA'!AA455="","",'MASTER DATA'!AA455)</f>
        <v>1</v>
      </c>
      <c r="AB64" s="16" t="str">
        <f>IF('MASTER DATA'!AB455="","",'MASTER DATA'!AB455)</f>
        <v>SINGLE-SIGNAL</v>
      </c>
      <c r="AC64" s="16" t="str">
        <f>IF('MASTER DATA'!AC455="","",'MASTER DATA'!AC455)</f>
        <v>Settlement Authorization</v>
      </c>
    </row>
  </sheetData>
  <conditionalFormatting sqref="A2:AC64">
    <cfRule type="expression" dxfId="2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C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67.6640625" bestFit="1" customWidth="1"/>
    <col min="18" max="18" width="50.664062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57.132812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DATA'!A79="","",'MASTER DATA'!A79)</f>
        <v>SYN-CLM-0078</v>
      </c>
      <c r="B2" t="str">
        <f>IF('MASTER DATA'!B79="","",'MASTER DATA'!B79)</f>
        <v>Synthetic Claimant 0078</v>
      </c>
      <c r="C2" t="str">
        <f>IF('MASTER DATA'!C79="","",'MASTER DATA'!C79)</f>
        <v>Claims Analyst K</v>
      </c>
      <c r="D2" t="str">
        <f>IF('MASTER DATA'!D79="","",'MASTER DATA'!D79)</f>
        <v>Synthetic Policyholder 132, LLC</v>
      </c>
      <c r="E2" s="15">
        <f>IF('MASTER DATA'!E79="","",'MASTER DATA'!E79)</f>
        <v>44607</v>
      </c>
      <c r="F2" s="16" t="str">
        <f>IF('MASTER DATA'!F79="","",'MASTER DATA'!F79)</f>
        <v>Y</v>
      </c>
      <c r="G2" s="17">
        <f>IF('MASTER DATA'!G79="","",'MASTER DATA'!G79)</f>
        <v>82000</v>
      </c>
      <c r="H2" s="16" t="str">
        <f>IF('MASTER DATA'!H79="","",'MASTER DATA'!H79)</f>
        <v>Synthetic Approver 08</v>
      </c>
      <c r="I2" s="15">
        <f>IF('MASTER DATA'!I79="","",'MASTER DATA'!I79)</f>
        <v>45179</v>
      </c>
      <c r="J2" s="16" t="str">
        <f>IF('MASTER DATA'!J79="","",'MASTER DATA'!J79)</f>
        <v>N</v>
      </c>
      <c r="K2" s="15" t="str">
        <f>IF('MASTER DATA'!K79="","",'MASTER DATA'!K79)</f>
        <v/>
      </c>
      <c r="L2" s="16" t="str">
        <f>IF('MASTER DATA'!L79="","",'MASTER DATA'!L79)</f>
        <v>Y</v>
      </c>
      <c r="M2" s="16" t="str">
        <f>IF('MASTER DATA'!M79="","",'MASTER DATA'!M79)</f>
        <v>N</v>
      </c>
      <c r="N2" s="15" t="str">
        <f>IF('MASTER DATA'!N79="","",'MASTER DATA'!N79)</f>
        <v/>
      </c>
      <c r="O2" s="16" t="str">
        <f>IF('MASTER DATA'!O79="","",'MASTER DATA'!O79)</f>
        <v/>
      </c>
      <c r="P2" s="16" t="str">
        <f>IF('MASTER DATA'!P79="","",'MASTER DATA'!P79)</f>
        <v>N</v>
      </c>
      <c r="Q2" s="16" t="str">
        <f>IF('MASTER DATA'!Q79="","",'MASTER DATA'!Q79)</f>
        <v/>
      </c>
      <c r="R2" s="16" t="str">
        <f>IF('MASTER DATA'!R79="","",'MASTER DATA'!R79)</f>
        <v/>
      </c>
      <c r="S2" s="16" t="str">
        <f>IF('MASTER DATA'!S79="","",'MASTER DATA'!S79)</f>
        <v>N</v>
      </c>
      <c r="T2" s="15" t="str">
        <f>IF('MASTER DATA'!T79="","",'MASTER DATA'!T79)</f>
        <v/>
      </c>
      <c r="U2" s="16" t="str">
        <f>IF('MASTER DATA'!U79="","",'MASTER DATA'!U79)</f>
        <v>N</v>
      </c>
      <c r="V2" s="16" t="str">
        <f>IF('MASTER DATA'!V79="","",'MASTER DATA'!V79)</f>
        <v>N</v>
      </c>
      <c r="W2" s="16" t="str">
        <f>IF('MASTER DATA'!W79="","",'MASTER DATA'!W79)</f>
        <v>N</v>
      </c>
      <c r="X2" s="16" t="str">
        <f>IF('MASTER DATA'!X79="","",'MASTER DATA'!X79)</f>
        <v>N</v>
      </c>
      <c r="Y2" s="16" t="str">
        <f>IF('MASTER DATA'!Y79="","",'MASTER DATA'!Y79)</f>
        <v>N</v>
      </c>
      <c r="Z2" s="16" t="str">
        <f>IF('MASTER DATA'!Z79="","",'MASTER DATA'!Z79)</f>
        <v>N</v>
      </c>
      <c r="AA2" s="16">
        <f>IF('MASTER DATA'!AA79="","",'MASTER DATA'!AA79)</f>
        <v>1</v>
      </c>
      <c r="AB2" s="16" t="str">
        <f>IF('MASTER DATA'!AB79="","",'MASTER DATA'!AB79)</f>
        <v>SINGLE-SIGNAL</v>
      </c>
      <c r="AC2" s="16" t="str">
        <f>IF('MASTER DATA'!AC79="","",'MASTER DATA'!AC79)</f>
        <v>Settlement Authorization</v>
      </c>
    </row>
    <row r="3" spans="1:29" x14ac:dyDescent="0.45">
      <c r="A3" t="str">
        <f>IF('MASTER DATA'!A80="","",'MASTER DATA'!A80)</f>
        <v>SYN-CLM-0079</v>
      </c>
      <c r="B3" t="str">
        <f>IF('MASTER DATA'!B80="","",'MASTER DATA'!B80)</f>
        <v>Synthetic Claimant 0079</v>
      </c>
      <c r="C3" t="str">
        <f>IF('MASTER DATA'!C80="","",'MASTER DATA'!C80)</f>
        <v>Claims Analyst K</v>
      </c>
      <c r="D3" t="str">
        <f>IF('MASTER DATA'!D80="","",'MASTER DATA'!D80)</f>
        <v>Synthetic Policyholder 117, LLC</v>
      </c>
      <c r="E3" s="15">
        <f>IF('MASTER DATA'!E80="","",'MASTER DATA'!E80)</f>
        <v>43225</v>
      </c>
      <c r="F3" s="16" t="str">
        <f>IF('MASTER DATA'!F80="","",'MASTER DATA'!F80)</f>
        <v>Y</v>
      </c>
      <c r="G3" s="17">
        <f>IF('MASTER DATA'!G80="","",'MASTER DATA'!G80)</f>
        <v>39500</v>
      </c>
      <c r="H3" s="16" t="str">
        <f>IF('MASTER DATA'!H80="","",'MASTER DATA'!H80)</f>
        <v>Synthetic Approver 04</v>
      </c>
      <c r="I3" s="15">
        <f>IF('MASTER DATA'!I80="","",'MASTER DATA'!I80)</f>
        <v>44087</v>
      </c>
      <c r="J3" s="16" t="str">
        <f>IF('MASTER DATA'!J80="","",'MASTER DATA'!J80)</f>
        <v>N</v>
      </c>
      <c r="K3" s="15" t="str">
        <f>IF('MASTER DATA'!K80="","",'MASTER DATA'!K80)</f>
        <v/>
      </c>
      <c r="L3" s="16" t="str">
        <f>IF('MASTER DATA'!L80="","",'MASTER DATA'!L80)</f>
        <v>N</v>
      </c>
      <c r="M3" s="16" t="str">
        <f>IF('MASTER DATA'!M80="","",'MASTER DATA'!M80)</f>
        <v>N</v>
      </c>
      <c r="N3" s="15" t="str">
        <f>IF('MASTER DATA'!N80="","",'MASTER DATA'!N80)</f>
        <v/>
      </c>
      <c r="O3" s="16" t="str">
        <f>IF('MASTER DATA'!O80="","",'MASTER DATA'!O80)</f>
        <v/>
      </c>
      <c r="P3" s="16" t="str">
        <f>IF('MASTER DATA'!P80="","",'MASTER DATA'!P80)</f>
        <v>Y</v>
      </c>
      <c r="Q3" s="16" t="str">
        <f>IF('MASTER DATA'!Q80="","",'MASTER DATA'!Q80)</f>
        <v>Non-Renewed Account; Surgery Requested; Specialist Consultation Requested</v>
      </c>
      <c r="R3" s="16" t="str">
        <f>IF('MASTER DATA'!R80="","",'MASTER DATA'!R80)</f>
        <v>MMI Date Reported</v>
      </c>
      <c r="S3" s="16" t="str">
        <f>IF('MASTER DATA'!S80="","",'MASTER DATA'!S80)</f>
        <v>Y</v>
      </c>
      <c r="T3" s="15">
        <f>IF('MASTER DATA'!T80="","",'MASTER DATA'!T80)</f>
        <v>44832</v>
      </c>
      <c r="U3" s="16" t="str">
        <f>IF('MASTER DATA'!U80="","",'MASTER DATA'!U80)</f>
        <v>Y</v>
      </c>
      <c r="V3" s="16" t="str">
        <f>IF('MASTER DATA'!V80="","",'MASTER DATA'!V80)</f>
        <v>Y</v>
      </c>
      <c r="W3" s="16" t="str">
        <f>IF('MASTER DATA'!W80="","",'MASTER DATA'!W80)</f>
        <v>N</v>
      </c>
      <c r="X3" s="16" t="str">
        <f>IF('MASTER DATA'!X80="","",'MASTER DATA'!X80)</f>
        <v>Y</v>
      </c>
      <c r="Y3" s="16" t="str">
        <f>IF('MASTER DATA'!Y80="","",'MASTER DATA'!Y80)</f>
        <v>Y</v>
      </c>
      <c r="Z3" s="16" t="str">
        <f>IF('MASTER DATA'!Z80="","",'MASTER DATA'!Z80)</f>
        <v>N</v>
      </c>
      <c r="AA3" s="16">
        <f>IF('MASTER DATA'!AA80="","",'MASTER DATA'!AA80)</f>
        <v>3</v>
      </c>
      <c r="AB3" s="16" t="str">
        <f>IF('MASTER DATA'!AB80="","",'MASTER DATA'!AB80)</f>
        <v>ELEVATED MULTI-SIGNAL</v>
      </c>
      <c r="AC3" s="16" t="str">
        <f>IF('MASTER DATA'!AC80="","",'MASTER DATA'!AC80)</f>
        <v>Settlement Authorization | Automated Claim Alert | Inactive Customer</v>
      </c>
    </row>
    <row r="4" spans="1:29" x14ac:dyDescent="0.45">
      <c r="A4" t="str">
        <f>IF('MASTER DATA'!A81="","",'MASTER DATA'!A81)</f>
        <v>SYN-CLM-0080</v>
      </c>
      <c r="B4" t="str">
        <f>IF('MASTER DATA'!B81="","",'MASTER DATA'!B81)</f>
        <v>Synthetic Claimant 0080</v>
      </c>
      <c r="C4" t="str">
        <f>IF('MASTER DATA'!C81="","",'MASTER DATA'!C81)</f>
        <v>Claims Analyst K</v>
      </c>
      <c r="D4" t="str">
        <f>IF('MASTER DATA'!D81="","",'MASTER DATA'!D81)</f>
        <v>Synthetic Policyholder 035, LLC</v>
      </c>
      <c r="E4" s="15">
        <f>IF('MASTER DATA'!E81="","",'MASTER DATA'!E81)</f>
        <v>45188</v>
      </c>
      <c r="F4" s="16" t="str">
        <f>IF('MASTER DATA'!F81="","",'MASTER DATA'!F81)</f>
        <v>N</v>
      </c>
      <c r="G4" s="17" t="str">
        <f>IF('MASTER DATA'!G81="","",'MASTER DATA'!G81)</f>
        <v/>
      </c>
      <c r="H4" s="16" t="str">
        <f>IF('MASTER DATA'!H81="","",'MASTER DATA'!H81)</f>
        <v/>
      </c>
      <c r="I4" s="15" t="str">
        <f>IF('MASTER DATA'!I81="","",'MASTER DATA'!I81)</f>
        <v/>
      </c>
      <c r="J4" s="16" t="str">
        <f>IF('MASTER DATA'!J81="","",'MASTER DATA'!J81)</f>
        <v>N</v>
      </c>
      <c r="K4" s="15" t="str">
        <f>IF('MASTER DATA'!K81="","",'MASTER DATA'!K81)</f>
        <v/>
      </c>
      <c r="L4" s="16" t="str">
        <f>IF('MASTER DATA'!L81="","",'MASTER DATA'!L81)</f>
        <v/>
      </c>
      <c r="M4" s="16" t="str">
        <f>IF('MASTER DATA'!M81="","",'MASTER DATA'!M81)</f>
        <v>N</v>
      </c>
      <c r="N4" s="15" t="str">
        <f>IF('MASTER DATA'!N81="","",'MASTER DATA'!N81)</f>
        <v/>
      </c>
      <c r="O4" s="16" t="str">
        <f>IF('MASTER DATA'!O81="","",'MASTER DATA'!O81)</f>
        <v/>
      </c>
      <c r="P4" s="16" t="str">
        <f>IF('MASTER DATA'!P81="","",'MASTER DATA'!P81)</f>
        <v>Y</v>
      </c>
      <c r="Q4" s="16" t="str">
        <f>IF('MASTER DATA'!Q81="","",'MASTER DATA'!Q81)</f>
        <v>Non-Renewed Account; MSA Eligible in Next 3 Years</v>
      </c>
      <c r="R4" s="16" t="str">
        <f>IF('MASTER DATA'!R81="","",'MASTER DATA'!R81)</f>
        <v/>
      </c>
      <c r="S4" s="16" t="str">
        <f>IF('MASTER DATA'!S81="","",'MASTER DATA'!S81)</f>
        <v>N</v>
      </c>
      <c r="T4" s="15" t="str">
        <f>IF('MASTER DATA'!T81="","",'MASTER DATA'!T81)</f>
        <v/>
      </c>
      <c r="U4" s="16" t="str">
        <f>IF('MASTER DATA'!U81="","",'MASTER DATA'!U81)</f>
        <v>N</v>
      </c>
      <c r="V4" s="16" t="str">
        <f>IF('MASTER DATA'!V81="","",'MASTER DATA'!V81)</f>
        <v>N</v>
      </c>
      <c r="W4" s="16" t="str">
        <f>IF('MASTER DATA'!W81="","",'MASTER DATA'!W81)</f>
        <v>N</v>
      </c>
      <c r="X4" s="16" t="str">
        <f>IF('MASTER DATA'!X81="","",'MASTER DATA'!X81)</f>
        <v>N</v>
      </c>
      <c r="Y4" s="16" t="str">
        <f>IF('MASTER DATA'!Y81="","",'MASTER DATA'!Y81)</f>
        <v>Y</v>
      </c>
      <c r="Z4" s="16" t="str">
        <f>IF('MASTER DATA'!Z81="","",'MASTER DATA'!Z81)</f>
        <v>Y</v>
      </c>
      <c r="AA4" s="16">
        <f>IF('MASTER DATA'!AA81="","",'MASTER DATA'!AA81)</f>
        <v>1</v>
      </c>
      <c r="AB4" s="16" t="str">
        <f>IF('MASTER DATA'!AB81="","",'MASTER DATA'!AB81)</f>
        <v>SINGLE-SIGNAL</v>
      </c>
      <c r="AC4" s="16" t="str">
        <f>IF('MASTER DATA'!AC81="","",'MASTER DATA'!AC81)</f>
        <v>Automated Claim Alert</v>
      </c>
    </row>
    <row r="5" spans="1:29" x14ac:dyDescent="0.45">
      <c r="A5" t="str">
        <f>IF('MASTER DATA'!A82="","",'MASTER DATA'!A82)</f>
        <v>SYN-CLM-0081</v>
      </c>
      <c r="B5" t="str">
        <f>IF('MASTER DATA'!B82="","",'MASTER DATA'!B82)</f>
        <v>Synthetic Claimant 0081</v>
      </c>
      <c r="C5" t="str">
        <f>IF('MASTER DATA'!C82="","",'MASTER DATA'!C82)</f>
        <v>Claims Analyst K</v>
      </c>
      <c r="D5" t="str">
        <f>IF('MASTER DATA'!D82="","",'MASTER DATA'!D82)</f>
        <v>Synthetic Policyholder 122, LLC</v>
      </c>
      <c r="E5" s="15">
        <f>IF('MASTER DATA'!E82="","",'MASTER DATA'!E82)</f>
        <v>44380</v>
      </c>
      <c r="F5" s="16" t="str">
        <f>IF('MASTER DATA'!F82="","",'MASTER DATA'!F82)</f>
        <v>N</v>
      </c>
      <c r="G5" s="17" t="str">
        <f>IF('MASTER DATA'!G82="","",'MASTER DATA'!G82)</f>
        <v/>
      </c>
      <c r="H5" s="16" t="str">
        <f>IF('MASTER DATA'!H82="","",'MASTER DATA'!H82)</f>
        <v/>
      </c>
      <c r="I5" s="15" t="str">
        <f>IF('MASTER DATA'!I82="","",'MASTER DATA'!I82)</f>
        <v/>
      </c>
      <c r="J5" s="16" t="str">
        <f>IF('MASTER DATA'!J82="","",'MASTER DATA'!J82)</f>
        <v>Y</v>
      </c>
      <c r="K5" s="15">
        <f>IF('MASTER DATA'!K82="","",'MASTER DATA'!K82)</f>
        <v>44571</v>
      </c>
      <c r="L5" s="16" t="str">
        <f>IF('MASTER DATA'!L82="","",'MASTER DATA'!L82)</f>
        <v>Y</v>
      </c>
      <c r="M5" s="16" t="str">
        <f>IF('MASTER DATA'!M82="","",'MASTER DATA'!M82)</f>
        <v>N</v>
      </c>
      <c r="N5" s="15" t="str">
        <f>IF('MASTER DATA'!N82="","",'MASTER DATA'!N82)</f>
        <v/>
      </c>
      <c r="O5" s="16" t="str">
        <f>IF('MASTER DATA'!O82="","",'MASTER DATA'!O82)</f>
        <v/>
      </c>
      <c r="P5" s="16" t="str">
        <f>IF('MASTER DATA'!P82="","",'MASTER DATA'!P82)</f>
        <v>N</v>
      </c>
      <c r="Q5" s="16" t="str">
        <f>IF('MASTER DATA'!Q82="","",'MASTER DATA'!Q82)</f>
        <v/>
      </c>
      <c r="R5" s="16" t="str">
        <f>IF('MASTER DATA'!R82="","",'MASTER DATA'!R82)</f>
        <v/>
      </c>
      <c r="S5" s="16" t="str">
        <f>IF('MASTER DATA'!S82="","",'MASTER DATA'!S82)</f>
        <v>N</v>
      </c>
      <c r="T5" s="15" t="str">
        <f>IF('MASTER DATA'!T82="","",'MASTER DATA'!T82)</f>
        <v/>
      </c>
      <c r="U5" s="16" t="str">
        <f>IF('MASTER DATA'!U82="","",'MASTER DATA'!U82)</f>
        <v>N</v>
      </c>
      <c r="V5" s="16" t="str">
        <f>IF('MASTER DATA'!V82="","",'MASTER DATA'!V82)</f>
        <v>N</v>
      </c>
      <c r="W5" s="16" t="str">
        <f>IF('MASTER DATA'!W82="","",'MASTER DATA'!W82)</f>
        <v>N</v>
      </c>
      <c r="X5" s="16" t="str">
        <f>IF('MASTER DATA'!X82="","",'MASTER DATA'!X82)</f>
        <v>N</v>
      </c>
      <c r="Y5" s="16" t="str">
        <f>IF('MASTER DATA'!Y82="","",'MASTER DATA'!Y82)</f>
        <v>N</v>
      </c>
      <c r="Z5" s="16" t="str">
        <f>IF('MASTER DATA'!Z82="","",'MASTER DATA'!Z82)</f>
        <v>N</v>
      </c>
      <c r="AA5" s="16">
        <f>IF('MASTER DATA'!AA82="","",'MASTER DATA'!AA82)</f>
        <v>1</v>
      </c>
      <c r="AB5" s="16" t="str">
        <f>IF('MASTER DATA'!AB82="","",'MASTER DATA'!AB82)</f>
        <v>SINGLE-SIGNAL</v>
      </c>
      <c r="AC5" s="16" t="str">
        <f>IF('MASTER DATA'!AC82="","",'MASTER DATA'!AC82)</f>
        <v>Open Stipulation</v>
      </c>
    </row>
    <row r="6" spans="1:29" x14ac:dyDescent="0.45">
      <c r="A6" t="str">
        <f>IF('MASTER DATA'!A83="","",'MASTER DATA'!A83)</f>
        <v>SYN-CLM-0082</v>
      </c>
      <c r="B6" t="str">
        <f>IF('MASTER DATA'!B83="","",'MASTER DATA'!B83)</f>
        <v>Synthetic Claimant 0082</v>
      </c>
      <c r="C6" t="str">
        <f>IF('MASTER DATA'!C83="","",'MASTER DATA'!C83)</f>
        <v>Claims Analyst K</v>
      </c>
      <c r="D6" t="str">
        <f>IF('MASTER DATA'!D83="","",'MASTER DATA'!D83)</f>
        <v>Synthetic Policyholder 075, LLC</v>
      </c>
      <c r="E6" s="15">
        <f>IF('MASTER DATA'!E83="","",'MASTER DATA'!E83)</f>
        <v>43153</v>
      </c>
      <c r="F6" s="16" t="str">
        <f>IF('MASTER DATA'!F83="","",'MASTER DATA'!F83)</f>
        <v>Y</v>
      </c>
      <c r="G6" s="17">
        <f>IF('MASTER DATA'!G83="","",'MASTER DATA'!G83)</f>
        <v>141000</v>
      </c>
      <c r="H6" s="16" t="str">
        <f>IF('MASTER DATA'!H83="","",'MASTER DATA'!H83)</f>
        <v>Synthetic Approver 05</v>
      </c>
      <c r="I6" s="15">
        <f>IF('MASTER DATA'!I83="","",'MASTER DATA'!I83)</f>
        <v>43254</v>
      </c>
      <c r="J6" s="16" t="str">
        <f>IF('MASTER DATA'!J83="","",'MASTER DATA'!J83)</f>
        <v>N</v>
      </c>
      <c r="K6" s="15" t="str">
        <f>IF('MASTER DATA'!K83="","",'MASTER DATA'!K83)</f>
        <v/>
      </c>
      <c r="L6" s="16" t="str">
        <f>IF('MASTER DATA'!L83="","",'MASTER DATA'!L83)</f>
        <v>N</v>
      </c>
      <c r="M6" s="16" t="str">
        <f>IF('MASTER DATA'!M83="","",'MASTER DATA'!M83)</f>
        <v>N</v>
      </c>
      <c r="N6" s="15" t="str">
        <f>IF('MASTER DATA'!N83="","",'MASTER DATA'!N83)</f>
        <v/>
      </c>
      <c r="O6" s="16" t="str">
        <f>IF('MASTER DATA'!O83="","",'MASTER DATA'!O83)</f>
        <v/>
      </c>
      <c r="P6" s="16" t="str">
        <f>IF('MASTER DATA'!P83="","",'MASTER DATA'!P83)</f>
        <v>N</v>
      </c>
      <c r="Q6" s="16" t="str">
        <f>IF('MASTER DATA'!Q83="","",'MASTER DATA'!Q83)</f>
        <v/>
      </c>
      <c r="R6" s="16" t="str">
        <f>IF('MASTER DATA'!R83="","",'MASTER DATA'!R83)</f>
        <v/>
      </c>
      <c r="S6" s="16" t="str">
        <f>IF('MASTER DATA'!S83="","",'MASTER DATA'!S83)</f>
        <v>N</v>
      </c>
      <c r="T6" s="15" t="str">
        <f>IF('MASTER DATA'!T83="","",'MASTER DATA'!T83)</f>
        <v/>
      </c>
      <c r="U6" s="16" t="str">
        <f>IF('MASTER DATA'!U83="","",'MASTER DATA'!U83)</f>
        <v>N</v>
      </c>
      <c r="V6" s="16" t="str">
        <f>IF('MASTER DATA'!V83="","",'MASTER DATA'!V83)</f>
        <v>N</v>
      </c>
      <c r="W6" s="16" t="str">
        <f>IF('MASTER DATA'!W83="","",'MASTER DATA'!W83)</f>
        <v>N</v>
      </c>
      <c r="X6" s="16" t="str">
        <f>IF('MASTER DATA'!X83="","",'MASTER DATA'!X83)</f>
        <v>N</v>
      </c>
      <c r="Y6" s="16" t="str">
        <f>IF('MASTER DATA'!Y83="","",'MASTER DATA'!Y83)</f>
        <v>N</v>
      </c>
      <c r="Z6" s="16" t="str">
        <f>IF('MASTER DATA'!Z83="","",'MASTER DATA'!Z83)</f>
        <v>N</v>
      </c>
      <c r="AA6" s="16">
        <f>IF('MASTER DATA'!AA83="","",'MASTER DATA'!AA83)</f>
        <v>1</v>
      </c>
      <c r="AB6" s="16" t="str">
        <f>IF('MASTER DATA'!AB83="","",'MASTER DATA'!AB83)</f>
        <v>SINGLE-SIGNAL</v>
      </c>
      <c r="AC6" s="16" t="str">
        <f>IF('MASTER DATA'!AC83="","",'MASTER DATA'!AC83)</f>
        <v>Settlement Authorization</v>
      </c>
    </row>
    <row r="7" spans="1:29" x14ac:dyDescent="0.45">
      <c r="A7" t="str">
        <f>IF('MASTER DATA'!A84="","",'MASTER DATA'!A84)</f>
        <v>SYN-CLM-0083</v>
      </c>
      <c r="B7" t="str">
        <f>IF('MASTER DATA'!B84="","",'MASTER DATA'!B84)</f>
        <v>Synthetic Claimant 0083</v>
      </c>
      <c r="C7" t="str">
        <f>IF('MASTER DATA'!C84="","",'MASTER DATA'!C84)</f>
        <v>Claims Analyst K</v>
      </c>
      <c r="D7" t="str">
        <f>IF('MASTER DATA'!D84="","",'MASTER DATA'!D84)</f>
        <v>Synthetic Policyholder 068, LLC</v>
      </c>
      <c r="E7" s="15">
        <f>IF('MASTER DATA'!E84="","",'MASTER DATA'!E84)</f>
        <v>45387</v>
      </c>
      <c r="F7" s="16" t="str">
        <f>IF('MASTER DATA'!F84="","",'MASTER DATA'!F84)</f>
        <v>N</v>
      </c>
      <c r="G7" s="17" t="str">
        <f>IF('MASTER DATA'!G84="","",'MASTER DATA'!G84)</f>
        <v/>
      </c>
      <c r="H7" s="16" t="str">
        <f>IF('MASTER DATA'!H84="","",'MASTER DATA'!H84)</f>
        <v/>
      </c>
      <c r="I7" s="15" t="str">
        <f>IF('MASTER DATA'!I84="","",'MASTER DATA'!I84)</f>
        <v/>
      </c>
      <c r="J7" s="16" t="str">
        <f>IF('MASTER DATA'!J84="","",'MASTER DATA'!J84)</f>
        <v>N</v>
      </c>
      <c r="K7" s="15" t="str">
        <f>IF('MASTER DATA'!K84="","",'MASTER DATA'!K84)</f>
        <v/>
      </c>
      <c r="L7" s="16" t="str">
        <f>IF('MASTER DATA'!L84="","",'MASTER DATA'!L84)</f>
        <v/>
      </c>
      <c r="M7" s="16" t="str">
        <f>IF('MASTER DATA'!M84="","",'MASTER DATA'!M84)</f>
        <v>N</v>
      </c>
      <c r="N7" s="15" t="str">
        <f>IF('MASTER DATA'!N84="","",'MASTER DATA'!N84)</f>
        <v/>
      </c>
      <c r="O7" s="16" t="str">
        <f>IF('MASTER DATA'!O84="","",'MASTER DATA'!O84)</f>
        <v/>
      </c>
      <c r="P7" s="16" t="str">
        <f>IF('MASTER DATA'!P84="","",'MASTER DATA'!P84)</f>
        <v>N</v>
      </c>
      <c r="Q7" s="16" t="str">
        <f>IF('MASTER DATA'!Q84="","",'MASTER DATA'!Q84)</f>
        <v/>
      </c>
      <c r="R7" s="16" t="str">
        <f>IF('MASTER DATA'!R84="","",'MASTER DATA'!R84)</f>
        <v/>
      </c>
      <c r="S7" s="16" t="str">
        <f>IF('MASTER DATA'!S84="","",'MASTER DATA'!S84)</f>
        <v>Y</v>
      </c>
      <c r="T7" s="15">
        <f>IF('MASTER DATA'!T84="","",'MASTER DATA'!T84)</f>
        <v>47334</v>
      </c>
      <c r="U7" s="16" t="str">
        <f>IF('MASTER DATA'!U84="","",'MASTER DATA'!U84)</f>
        <v>N</v>
      </c>
      <c r="V7" s="16" t="str">
        <f>IF('MASTER DATA'!V84="","",'MASTER DATA'!V84)</f>
        <v>N</v>
      </c>
      <c r="W7" s="16" t="str">
        <f>IF('MASTER DATA'!W84="","",'MASTER DATA'!W84)</f>
        <v>N</v>
      </c>
      <c r="X7" s="16" t="str">
        <f>IF('MASTER DATA'!X84="","",'MASTER DATA'!X84)</f>
        <v>N</v>
      </c>
      <c r="Y7" s="16" t="str">
        <f>IF('MASTER DATA'!Y84="","",'MASTER DATA'!Y84)</f>
        <v>N</v>
      </c>
      <c r="Z7" s="16" t="str">
        <f>IF('MASTER DATA'!Z84="","",'MASTER DATA'!Z84)</f>
        <v>N</v>
      </c>
      <c r="AA7" s="16">
        <f>IF('MASTER DATA'!AA84="","",'MASTER DATA'!AA84)</f>
        <v>1</v>
      </c>
      <c r="AB7" s="16" t="str">
        <f>IF('MASTER DATA'!AB84="","",'MASTER DATA'!AB84)</f>
        <v>SINGLE-SIGNAL</v>
      </c>
      <c r="AC7" s="16" t="str">
        <f>IF('MASTER DATA'!AC84="","",'MASTER DATA'!AC84)</f>
        <v>Inactive Customer</v>
      </c>
    </row>
    <row r="8" spans="1:29" x14ac:dyDescent="0.45">
      <c r="A8" t="str">
        <f>IF('MASTER DATA'!A85="","",'MASTER DATA'!A85)</f>
        <v>SYN-CLM-0084</v>
      </c>
      <c r="B8" t="str">
        <f>IF('MASTER DATA'!B85="","",'MASTER DATA'!B85)</f>
        <v>Synthetic Claimant 0084</v>
      </c>
      <c r="C8" t="str">
        <f>IF('MASTER DATA'!C85="","",'MASTER DATA'!C85)</f>
        <v>Claims Analyst K</v>
      </c>
      <c r="D8" t="str">
        <f>IF('MASTER DATA'!D85="","",'MASTER DATA'!D85)</f>
        <v>Synthetic Policyholder 014, LLC</v>
      </c>
      <c r="E8" s="15">
        <f>IF('MASTER DATA'!E85="","",'MASTER DATA'!E85)</f>
        <v>43826</v>
      </c>
      <c r="F8" s="16" t="str">
        <f>IF('MASTER DATA'!F85="","",'MASTER DATA'!F85)</f>
        <v>N</v>
      </c>
      <c r="G8" s="17" t="str">
        <f>IF('MASTER DATA'!G85="","",'MASTER DATA'!G85)</f>
        <v/>
      </c>
      <c r="H8" s="16" t="str">
        <f>IF('MASTER DATA'!H85="","",'MASTER DATA'!H85)</f>
        <v/>
      </c>
      <c r="I8" s="15" t="str">
        <f>IF('MASTER DATA'!I85="","",'MASTER DATA'!I85)</f>
        <v/>
      </c>
      <c r="J8" s="16" t="str">
        <f>IF('MASTER DATA'!J85="","",'MASTER DATA'!J85)</f>
        <v>Y</v>
      </c>
      <c r="K8" s="15">
        <f>IF('MASTER DATA'!K85="","",'MASTER DATA'!K85)</f>
        <v>44859</v>
      </c>
      <c r="L8" s="16" t="str">
        <f>IF('MASTER DATA'!L85="","",'MASTER DATA'!L85)</f>
        <v>Y</v>
      </c>
      <c r="M8" s="16" t="str">
        <f>IF('MASTER DATA'!M85="","",'MASTER DATA'!M85)</f>
        <v>N</v>
      </c>
      <c r="N8" s="15" t="str">
        <f>IF('MASTER DATA'!N85="","",'MASTER DATA'!N85)</f>
        <v/>
      </c>
      <c r="O8" s="16" t="str">
        <f>IF('MASTER DATA'!O85="","",'MASTER DATA'!O85)</f>
        <v/>
      </c>
      <c r="P8" s="16" t="str">
        <f>IF('MASTER DATA'!P85="","",'MASTER DATA'!P85)</f>
        <v>N</v>
      </c>
      <c r="Q8" s="16" t="str">
        <f>IF('MASTER DATA'!Q85="","",'MASTER DATA'!Q85)</f>
        <v/>
      </c>
      <c r="R8" s="16" t="str">
        <f>IF('MASTER DATA'!R85="","",'MASTER DATA'!R85)</f>
        <v/>
      </c>
      <c r="S8" s="16" t="str">
        <f>IF('MASTER DATA'!S85="","",'MASTER DATA'!S85)</f>
        <v>N</v>
      </c>
      <c r="T8" s="15" t="str">
        <f>IF('MASTER DATA'!T85="","",'MASTER DATA'!T85)</f>
        <v/>
      </c>
      <c r="U8" s="16" t="str">
        <f>IF('MASTER DATA'!U85="","",'MASTER DATA'!U85)</f>
        <v>N</v>
      </c>
      <c r="V8" s="16" t="str">
        <f>IF('MASTER DATA'!V85="","",'MASTER DATA'!V85)</f>
        <v>N</v>
      </c>
      <c r="W8" s="16" t="str">
        <f>IF('MASTER DATA'!W85="","",'MASTER DATA'!W85)</f>
        <v>N</v>
      </c>
      <c r="X8" s="16" t="str">
        <f>IF('MASTER DATA'!X85="","",'MASTER DATA'!X85)</f>
        <v>N</v>
      </c>
      <c r="Y8" s="16" t="str">
        <f>IF('MASTER DATA'!Y85="","",'MASTER DATA'!Y85)</f>
        <v>N</v>
      </c>
      <c r="Z8" s="16" t="str">
        <f>IF('MASTER DATA'!Z85="","",'MASTER DATA'!Z85)</f>
        <v>N</v>
      </c>
      <c r="AA8" s="16">
        <f>IF('MASTER DATA'!AA85="","",'MASTER DATA'!AA85)</f>
        <v>1</v>
      </c>
      <c r="AB8" s="16" t="str">
        <f>IF('MASTER DATA'!AB85="","",'MASTER DATA'!AB85)</f>
        <v>SINGLE-SIGNAL</v>
      </c>
      <c r="AC8" s="16" t="str">
        <f>IF('MASTER DATA'!AC85="","",'MASTER DATA'!AC85)</f>
        <v>Open Stipulation</v>
      </c>
    </row>
    <row r="9" spans="1:29" x14ac:dyDescent="0.45">
      <c r="A9" t="str">
        <f>IF('MASTER DATA'!A86="","",'MASTER DATA'!A86)</f>
        <v>SYN-CLM-0085</v>
      </c>
      <c r="B9" t="str">
        <f>IF('MASTER DATA'!B86="","",'MASTER DATA'!B86)</f>
        <v>Synthetic Claimant 0085</v>
      </c>
      <c r="C9" t="str">
        <f>IF('MASTER DATA'!C86="","",'MASTER DATA'!C86)</f>
        <v>Claims Analyst K</v>
      </c>
      <c r="D9" t="str">
        <f>IF('MASTER DATA'!D86="","",'MASTER DATA'!D86)</f>
        <v>Synthetic Policyholder 045, LLC</v>
      </c>
      <c r="E9" s="15">
        <f>IF('MASTER DATA'!E86="","",'MASTER DATA'!E86)</f>
        <v>43599</v>
      </c>
      <c r="F9" s="16" t="str">
        <f>IF('MASTER DATA'!F86="","",'MASTER DATA'!F86)</f>
        <v>Y</v>
      </c>
      <c r="G9" s="17">
        <f>IF('MASTER DATA'!G86="","",'MASTER DATA'!G86)</f>
        <v>53500</v>
      </c>
      <c r="H9" s="16" t="str">
        <f>IF('MASTER DATA'!H86="","",'MASTER DATA'!H86)</f>
        <v>Synthetic Approver 04</v>
      </c>
      <c r="I9" s="15">
        <f>IF('MASTER DATA'!I86="","",'MASTER DATA'!I86)</f>
        <v>45186</v>
      </c>
      <c r="J9" s="16" t="str">
        <f>IF('MASTER DATA'!J86="","",'MASTER DATA'!J86)</f>
        <v>Y</v>
      </c>
      <c r="K9" s="15">
        <f>IF('MASTER DATA'!K86="","",'MASTER DATA'!K86)</f>
        <v>44129</v>
      </c>
      <c r="L9" s="16" t="str">
        <f>IF('MASTER DATA'!L86="","",'MASTER DATA'!L86)</f>
        <v>Y</v>
      </c>
      <c r="M9" s="16" t="str">
        <f>IF('MASTER DATA'!M86="","",'MASTER DATA'!M86)</f>
        <v>N</v>
      </c>
      <c r="N9" s="15" t="str">
        <f>IF('MASTER DATA'!N86="","",'MASTER DATA'!N86)</f>
        <v/>
      </c>
      <c r="O9" s="16" t="str">
        <f>IF('MASTER DATA'!O86="","",'MASTER DATA'!O86)</f>
        <v/>
      </c>
      <c r="P9" s="16" t="str">
        <f>IF('MASTER DATA'!P86="","",'MASTER DATA'!P86)</f>
        <v>N</v>
      </c>
      <c r="Q9" s="16" t="str">
        <f>IF('MASTER DATA'!Q86="","",'MASTER DATA'!Q86)</f>
        <v/>
      </c>
      <c r="R9" s="16" t="str">
        <f>IF('MASTER DATA'!R86="","",'MASTER DATA'!R86)</f>
        <v/>
      </c>
      <c r="S9" s="16" t="str">
        <f>IF('MASTER DATA'!S86="","",'MASTER DATA'!S86)</f>
        <v>Y</v>
      </c>
      <c r="T9" s="15">
        <f>IF('MASTER DATA'!T86="","",'MASTER DATA'!T86)</f>
        <v>44204</v>
      </c>
      <c r="U9" s="16" t="str">
        <f>IF('MASTER DATA'!U86="","",'MASTER DATA'!U86)</f>
        <v>N</v>
      </c>
      <c r="V9" s="16" t="str">
        <f>IF('MASTER DATA'!V86="","",'MASTER DATA'!V86)</f>
        <v>N</v>
      </c>
      <c r="W9" s="16" t="str">
        <f>IF('MASTER DATA'!W86="","",'MASTER DATA'!W86)</f>
        <v>N</v>
      </c>
      <c r="X9" s="16" t="str">
        <f>IF('MASTER DATA'!X86="","",'MASTER DATA'!X86)</f>
        <v>N</v>
      </c>
      <c r="Y9" s="16" t="str">
        <f>IF('MASTER DATA'!Y86="","",'MASTER DATA'!Y86)</f>
        <v>N</v>
      </c>
      <c r="Z9" s="16" t="str">
        <f>IF('MASTER DATA'!Z86="","",'MASTER DATA'!Z86)</f>
        <v>N</v>
      </c>
      <c r="AA9" s="16">
        <f>IF('MASTER DATA'!AA86="","",'MASTER DATA'!AA86)</f>
        <v>3</v>
      </c>
      <c r="AB9" s="16" t="str">
        <f>IF('MASTER DATA'!AB86="","",'MASTER DATA'!AB86)</f>
        <v>ELEVATED MULTI-SIGNAL</v>
      </c>
      <c r="AC9" s="16" t="str">
        <f>IF('MASTER DATA'!AC86="","",'MASTER DATA'!AC86)</f>
        <v>Settlement Authorization | Open Stipulation | Inactive Customer</v>
      </c>
    </row>
    <row r="10" spans="1:29" x14ac:dyDescent="0.45">
      <c r="A10" t="str">
        <f>IF('MASTER DATA'!A87="","",'MASTER DATA'!A87)</f>
        <v>SYN-CLM-0086</v>
      </c>
      <c r="B10" t="str">
        <f>IF('MASTER DATA'!B87="","",'MASTER DATA'!B87)</f>
        <v>Synthetic Claimant 0086</v>
      </c>
      <c r="C10" t="str">
        <f>IF('MASTER DATA'!C87="","",'MASTER DATA'!C87)</f>
        <v>Claims Analyst K</v>
      </c>
      <c r="D10" t="str">
        <f>IF('MASTER DATA'!D87="","",'MASTER DATA'!D87)</f>
        <v>Synthetic Policyholder 062, LLC</v>
      </c>
      <c r="E10" s="15">
        <f>IF('MASTER DATA'!E87="","",'MASTER DATA'!E87)</f>
        <v>43158</v>
      </c>
      <c r="F10" s="16" t="str">
        <f>IF('MASTER DATA'!F87="","",'MASTER DATA'!F87)</f>
        <v>N</v>
      </c>
      <c r="G10" s="17" t="str">
        <f>IF('MASTER DATA'!G87="","",'MASTER DATA'!G87)</f>
        <v/>
      </c>
      <c r="H10" s="16" t="str">
        <f>IF('MASTER DATA'!H87="","",'MASTER DATA'!H87)</f>
        <v/>
      </c>
      <c r="I10" s="15" t="str">
        <f>IF('MASTER DATA'!I87="","",'MASTER DATA'!I87)</f>
        <v/>
      </c>
      <c r="J10" s="16" t="str">
        <f>IF('MASTER DATA'!J87="","",'MASTER DATA'!J87)</f>
        <v>N</v>
      </c>
      <c r="K10" s="15" t="str">
        <f>IF('MASTER DATA'!K87="","",'MASTER DATA'!K87)</f>
        <v/>
      </c>
      <c r="L10" s="16" t="str">
        <f>IF('MASTER DATA'!L87="","",'MASTER DATA'!L87)</f>
        <v/>
      </c>
      <c r="M10" s="16" t="str">
        <f>IF('MASTER DATA'!M87="","",'MASTER DATA'!M87)</f>
        <v>Y</v>
      </c>
      <c r="N10" s="15">
        <f>IF('MASTER DATA'!N87="","",'MASTER DATA'!N87)</f>
        <v>44958</v>
      </c>
      <c r="O10" s="16" t="str">
        <f>IF('MASTER DATA'!O87="","",'MASTER DATA'!O87)</f>
        <v>Synthetic QME Evaluator 34</v>
      </c>
      <c r="P10" s="16" t="str">
        <f>IF('MASTER DATA'!P87="","",'MASTER DATA'!P87)</f>
        <v>N</v>
      </c>
      <c r="Q10" s="16" t="str">
        <f>IF('MASTER DATA'!Q87="","",'MASTER DATA'!Q87)</f>
        <v/>
      </c>
      <c r="R10" s="16" t="str">
        <f>IF('MASTER DATA'!R87="","",'MASTER DATA'!R87)</f>
        <v/>
      </c>
      <c r="S10" s="16" t="str">
        <f>IF('MASTER DATA'!S87="","",'MASTER DATA'!S87)</f>
        <v>N</v>
      </c>
      <c r="T10" s="15" t="str">
        <f>IF('MASTER DATA'!T87="","",'MASTER DATA'!T87)</f>
        <v/>
      </c>
      <c r="U10" s="16" t="str">
        <f>IF('MASTER DATA'!U87="","",'MASTER DATA'!U87)</f>
        <v>N</v>
      </c>
      <c r="V10" s="16" t="str">
        <f>IF('MASTER DATA'!V87="","",'MASTER DATA'!V87)</f>
        <v>N</v>
      </c>
      <c r="W10" s="16" t="str">
        <f>IF('MASTER DATA'!W87="","",'MASTER DATA'!W87)</f>
        <v>N</v>
      </c>
      <c r="X10" s="16" t="str">
        <f>IF('MASTER DATA'!X87="","",'MASTER DATA'!X87)</f>
        <v>N</v>
      </c>
      <c r="Y10" s="16" t="str">
        <f>IF('MASTER DATA'!Y87="","",'MASTER DATA'!Y87)</f>
        <v>N</v>
      </c>
      <c r="Z10" s="16" t="str">
        <f>IF('MASTER DATA'!Z87="","",'MASTER DATA'!Z87)</f>
        <v>N</v>
      </c>
      <c r="AA10" s="16">
        <f>IF('MASTER DATA'!AA87="","",'MASTER DATA'!AA87)</f>
        <v>1</v>
      </c>
      <c r="AB10" s="16" t="str">
        <f>IF('MASTER DATA'!AB87="","",'MASTER DATA'!AB87)</f>
        <v>SINGLE-SIGNAL</v>
      </c>
      <c r="AC10" s="16" t="str">
        <f>IF('MASTER DATA'!AC87="","",'MASTER DATA'!AC87)</f>
        <v>Pending QME</v>
      </c>
    </row>
    <row r="11" spans="1:29" x14ac:dyDescent="0.45">
      <c r="A11" t="str">
        <f>IF('MASTER DATA'!A88="","",'MASTER DATA'!A88)</f>
        <v>SYN-CLM-0087</v>
      </c>
      <c r="B11" t="str">
        <f>IF('MASTER DATA'!B88="","",'MASTER DATA'!B88)</f>
        <v>Synthetic Claimant 0087</v>
      </c>
      <c r="C11" t="str">
        <f>IF('MASTER DATA'!C88="","",'MASTER DATA'!C88)</f>
        <v>Claims Analyst K</v>
      </c>
      <c r="D11" t="str">
        <f>IF('MASTER DATA'!D88="","",'MASTER DATA'!D88)</f>
        <v>Synthetic Policyholder 129, LLC</v>
      </c>
      <c r="E11" s="15">
        <f>IF('MASTER DATA'!E88="","",'MASTER DATA'!E88)</f>
        <v>44304</v>
      </c>
      <c r="F11" s="16" t="str">
        <f>IF('MASTER DATA'!F88="","",'MASTER DATA'!F88)</f>
        <v>N</v>
      </c>
      <c r="G11" s="17" t="str">
        <f>IF('MASTER DATA'!G88="","",'MASTER DATA'!G88)</f>
        <v/>
      </c>
      <c r="H11" s="16" t="str">
        <f>IF('MASTER DATA'!H88="","",'MASTER DATA'!H88)</f>
        <v/>
      </c>
      <c r="I11" s="15" t="str">
        <f>IF('MASTER DATA'!I88="","",'MASTER DATA'!I88)</f>
        <v/>
      </c>
      <c r="J11" s="16" t="str">
        <f>IF('MASTER DATA'!J88="","",'MASTER DATA'!J88)</f>
        <v>Y</v>
      </c>
      <c r="K11" s="15">
        <f>IF('MASTER DATA'!K88="","",'MASTER DATA'!K88)</f>
        <v>44931</v>
      </c>
      <c r="L11" s="16" t="str">
        <f>IF('MASTER DATA'!L88="","",'MASTER DATA'!L88)</f>
        <v>N</v>
      </c>
      <c r="M11" s="16" t="str">
        <f>IF('MASTER DATA'!M88="","",'MASTER DATA'!M88)</f>
        <v>N</v>
      </c>
      <c r="N11" s="15" t="str">
        <f>IF('MASTER DATA'!N88="","",'MASTER DATA'!N88)</f>
        <v/>
      </c>
      <c r="O11" s="16" t="str">
        <f>IF('MASTER DATA'!O88="","",'MASTER DATA'!O88)</f>
        <v/>
      </c>
      <c r="P11" s="16" t="str">
        <f>IF('MASTER DATA'!P88="","",'MASTER DATA'!P88)</f>
        <v>Y</v>
      </c>
      <c r="Q11" s="16" t="str">
        <f>IF('MASTER DATA'!Q88="","",'MASTER DATA'!Q88)</f>
        <v>Non-Renewed Account; MMI Date Reported; MSA Eligible in Next 3 Years</v>
      </c>
      <c r="R11" s="16" t="str">
        <f>IF('MASTER DATA'!R88="","",'MASTER DATA'!R88)</f>
        <v>Denied Treatment Requests</v>
      </c>
      <c r="S11" s="16" t="str">
        <f>IF('MASTER DATA'!S88="","",'MASTER DATA'!S88)</f>
        <v>N</v>
      </c>
      <c r="T11" s="15" t="str">
        <f>IF('MASTER DATA'!T88="","",'MASTER DATA'!T88)</f>
        <v/>
      </c>
      <c r="U11" s="16" t="str">
        <f>IF('MASTER DATA'!U88="","",'MASTER DATA'!U88)</f>
        <v>N</v>
      </c>
      <c r="V11" s="16" t="str">
        <f>IF('MASTER DATA'!V88="","",'MASTER DATA'!V88)</f>
        <v>Y</v>
      </c>
      <c r="W11" s="16" t="str">
        <f>IF('MASTER DATA'!W88="","",'MASTER DATA'!W88)</f>
        <v>Y</v>
      </c>
      <c r="X11" s="16" t="str">
        <f>IF('MASTER DATA'!X88="","",'MASTER DATA'!X88)</f>
        <v>N</v>
      </c>
      <c r="Y11" s="16" t="str">
        <f>IF('MASTER DATA'!Y88="","",'MASTER DATA'!Y88)</f>
        <v>Y</v>
      </c>
      <c r="Z11" s="16" t="str">
        <f>IF('MASTER DATA'!Z88="","",'MASTER DATA'!Z88)</f>
        <v>Y</v>
      </c>
      <c r="AA11" s="16">
        <f>IF('MASTER DATA'!AA88="","",'MASTER DATA'!AA88)</f>
        <v>2</v>
      </c>
      <c r="AB11" s="16" t="str">
        <f>IF('MASTER DATA'!AB88="","",'MASTER DATA'!AB88)</f>
        <v>MULTI-SIGNAL</v>
      </c>
      <c r="AC11" s="16" t="str">
        <f>IF('MASTER DATA'!AC88="","",'MASTER DATA'!AC88)</f>
        <v>Open Stipulation | Automated Claim Alert</v>
      </c>
    </row>
    <row r="12" spans="1:29" x14ac:dyDescent="0.45">
      <c r="A12" t="str">
        <f>IF('MASTER DATA'!A89="","",'MASTER DATA'!A89)</f>
        <v>SYN-CLM-0088</v>
      </c>
      <c r="B12" t="str">
        <f>IF('MASTER DATA'!B89="","",'MASTER DATA'!B89)</f>
        <v>Synthetic Claimant 0088</v>
      </c>
      <c r="C12" t="str">
        <f>IF('MASTER DATA'!C89="","",'MASTER DATA'!C89)</f>
        <v>Claims Analyst K</v>
      </c>
      <c r="D12" t="str">
        <f>IF('MASTER DATA'!D89="","",'MASTER DATA'!D89)</f>
        <v>Synthetic Policyholder 179, LLC</v>
      </c>
      <c r="E12" s="15">
        <f>IF('MASTER DATA'!E89="","",'MASTER DATA'!E89)</f>
        <v>45523</v>
      </c>
      <c r="F12" s="16" t="str">
        <f>IF('MASTER DATA'!F89="","",'MASTER DATA'!F89)</f>
        <v>Y</v>
      </c>
      <c r="G12" s="17">
        <f>IF('MASTER DATA'!G89="","",'MASTER DATA'!G89)</f>
        <v>25750</v>
      </c>
      <c r="H12" s="16" t="str">
        <f>IF('MASTER DATA'!H89="","",'MASTER DATA'!H89)</f>
        <v>Synthetic Approver 02</v>
      </c>
      <c r="I12" s="15">
        <f>IF('MASTER DATA'!I89="","",'MASTER DATA'!I89)</f>
        <v>45570</v>
      </c>
      <c r="J12" s="16" t="str">
        <f>IF('MASTER DATA'!J89="","",'MASTER DATA'!J89)</f>
        <v>N</v>
      </c>
      <c r="K12" s="15" t="str">
        <f>IF('MASTER DATA'!K89="","",'MASTER DATA'!K89)</f>
        <v/>
      </c>
      <c r="L12" s="16" t="str">
        <f>IF('MASTER DATA'!L89="","",'MASTER DATA'!L89)</f>
        <v>N</v>
      </c>
      <c r="M12" s="16" t="str">
        <f>IF('MASTER DATA'!M89="","",'MASTER DATA'!M89)</f>
        <v>N</v>
      </c>
      <c r="N12" s="15" t="str">
        <f>IF('MASTER DATA'!N89="","",'MASTER DATA'!N89)</f>
        <v/>
      </c>
      <c r="O12" s="16" t="str">
        <f>IF('MASTER DATA'!O89="","",'MASTER DATA'!O89)</f>
        <v/>
      </c>
      <c r="P12" s="16" t="str">
        <f>IF('MASTER DATA'!P89="","",'MASTER DATA'!P89)</f>
        <v>N</v>
      </c>
      <c r="Q12" s="16" t="str">
        <f>IF('MASTER DATA'!Q89="","",'MASTER DATA'!Q89)</f>
        <v/>
      </c>
      <c r="R12" s="16" t="str">
        <f>IF('MASTER DATA'!R89="","",'MASTER DATA'!R89)</f>
        <v/>
      </c>
      <c r="S12" s="16" t="str">
        <f>IF('MASTER DATA'!S89="","",'MASTER DATA'!S89)</f>
        <v>N</v>
      </c>
      <c r="T12" s="15" t="str">
        <f>IF('MASTER DATA'!T89="","",'MASTER DATA'!T89)</f>
        <v/>
      </c>
      <c r="U12" s="16" t="str">
        <f>IF('MASTER DATA'!U89="","",'MASTER DATA'!U89)</f>
        <v>N</v>
      </c>
      <c r="V12" s="16" t="str">
        <f>IF('MASTER DATA'!V89="","",'MASTER DATA'!V89)</f>
        <v>N</v>
      </c>
      <c r="W12" s="16" t="str">
        <f>IF('MASTER DATA'!W89="","",'MASTER DATA'!W89)</f>
        <v>N</v>
      </c>
      <c r="X12" s="16" t="str">
        <f>IF('MASTER DATA'!X89="","",'MASTER DATA'!X89)</f>
        <v>N</v>
      </c>
      <c r="Y12" s="16" t="str">
        <f>IF('MASTER DATA'!Y89="","",'MASTER DATA'!Y89)</f>
        <v>N</v>
      </c>
      <c r="Z12" s="16" t="str">
        <f>IF('MASTER DATA'!Z89="","",'MASTER DATA'!Z89)</f>
        <v>N</v>
      </c>
      <c r="AA12" s="16">
        <f>IF('MASTER DATA'!AA89="","",'MASTER DATA'!AA89)</f>
        <v>1</v>
      </c>
      <c r="AB12" s="16" t="str">
        <f>IF('MASTER DATA'!AB89="","",'MASTER DATA'!AB89)</f>
        <v>SINGLE-SIGNAL</v>
      </c>
      <c r="AC12" s="16" t="str">
        <f>IF('MASTER DATA'!AC89="","",'MASTER DATA'!AC89)</f>
        <v>Settlement Authorization</v>
      </c>
    </row>
    <row r="13" spans="1:29" x14ac:dyDescent="0.45">
      <c r="A13" t="str">
        <f>IF('MASTER DATA'!A90="","",'MASTER DATA'!A90)</f>
        <v>SYN-CLM-0089</v>
      </c>
      <c r="B13" t="str">
        <f>IF('MASTER DATA'!B90="","",'MASTER DATA'!B90)</f>
        <v>Synthetic Claimant 0089</v>
      </c>
      <c r="C13" t="str">
        <f>IF('MASTER DATA'!C90="","",'MASTER DATA'!C90)</f>
        <v>Claims Analyst K</v>
      </c>
      <c r="D13" t="str">
        <f>IF('MASTER DATA'!D90="","",'MASTER DATA'!D90)</f>
        <v>Synthetic Policyholder 030, LLC</v>
      </c>
      <c r="E13" s="15">
        <f>IF('MASTER DATA'!E90="","",'MASTER DATA'!E90)</f>
        <v>45143</v>
      </c>
      <c r="F13" s="16" t="str">
        <f>IF('MASTER DATA'!F90="","",'MASTER DATA'!F90)</f>
        <v>Y</v>
      </c>
      <c r="G13" s="17">
        <f>IF('MASTER DATA'!G90="","",'MASTER DATA'!G90)</f>
        <v>118500</v>
      </c>
      <c r="H13" s="16" t="str">
        <f>IF('MASTER DATA'!H90="","",'MASTER DATA'!H90)</f>
        <v>Synthetic Approver 04</v>
      </c>
      <c r="I13" s="15">
        <f>IF('MASTER DATA'!I90="","",'MASTER DATA'!I90)</f>
        <v>45662</v>
      </c>
      <c r="J13" s="16" t="str">
        <f>IF('MASTER DATA'!J90="","",'MASTER DATA'!J90)</f>
        <v>N</v>
      </c>
      <c r="K13" s="15" t="str">
        <f>IF('MASTER DATA'!K90="","",'MASTER DATA'!K90)</f>
        <v/>
      </c>
      <c r="L13" s="16" t="str">
        <f>IF('MASTER DATA'!L90="","",'MASTER DATA'!L90)</f>
        <v>N</v>
      </c>
      <c r="M13" s="16" t="str">
        <f>IF('MASTER DATA'!M90="","",'MASTER DATA'!M90)</f>
        <v>N</v>
      </c>
      <c r="N13" s="15" t="str">
        <f>IF('MASTER DATA'!N90="","",'MASTER DATA'!N90)</f>
        <v/>
      </c>
      <c r="O13" s="16" t="str">
        <f>IF('MASTER DATA'!O90="","",'MASTER DATA'!O90)</f>
        <v/>
      </c>
      <c r="P13" s="16" t="str">
        <f>IF('MASTER DATA'!P90="","",'MASTER DATA'!P90)</f>
        <v>N</v>
      </c>
      <c r="Q13" s="16" t="str">
        <f>IF('MASTER DATA'!Q90="","",'MASTER DATA'!Q90)</f>
        <v/>
      </c>
      <c r="R13" s="16" t="str">
        <f>IF('MASTER DATA'!R90="","",'MASTER DATA'!R90)</f>
        <v/>
      </c>
      <c r="S13" s="16" t="str">
        <f>IF('MASTER DATA'!S90="","",'MASTER DATA'!S90)</f>
        <v>N</v>
      </c>
      <c r="T13" s="15" t="str">
        <f>IF('MASTER DATA'!T90="","",'MASTER DATA'!T90)</f>
        <v/>
      </c>
      <c r="U13" s="16" t="str">
        <f>IF('MASTER DATA'!U90="","",'MASTER DATA'!U90)</f>
        <v>N</v>
      </c>
      <c r="V13" s="16" t="str">
        <f>IF('MASTER DATA'!V90="","",'MASTER DATA'!V90)</f>
        <v>N</v>
      </c>
      <c r="W13" s="16" t="str">
        <f>IF('MASTER DATA'!W90="","",'MASTER DATA'!W90)</f>
        <v>N</v>
      </c>
      <c r="X13" s="16" t="str">
        <f>IF('MASTER DATA'!X90="","",'MASTER DATA'!X90)</f>
        <v>N</v>
      </c>
      <c r="Y13" s="16" t="str">
        <f>IF('MASTER DATA'!Y90="","",'MASTER DATA'!Y90)</f>
        <v>N</v>
      </c>
      <c r="Z13" s="16" t="str">
        <f>IF('MASTER DATA'!Z90="","",'MASTER DATA'!Z90)</f>
        <v>N</v>
      </c>
      <c r="AA13" s="16">
        <f>IF('MASTER DATA'!AA90="","",'MASTER DATA'!AA90)</f>
        <v>1</v>
      </c>
      <c r="AB13" s="16" t="str">
        <f>IF('MASTER DATA'!AB90="","",'MASTER DATA'!AB90)</f>
        <v>SINGLE-SIGNAL</v>
      </c>
      <c r="AC13" s="16" t="str">
        <f>IF('MASTER DATA'!AC90="","",'MASTER DATA'!AC90)</f>
        <v>Settlement Authorization</v>
      </c>
    </row>
    <row r="14" spans="1:29" x14ac:dyDescent="0.45">
      <c r="A14" t="str">
        <f>IF('MASTER DATA'!A91="","",'MASTER DATA'!A91)</f>
        <v>SYN-CLM-0090</v>
      </c>
      <c r="B14" t="str">
        <f>IF('MASTER DATA'!B91="","",'MASTER DATA'!B91)</f>
        <v>Synthetic Claimant 0090</v>
      </c>
      <c r="C14" t="str">
        <f>IF('MASTER DATA'!C91="","",'MASTER DATA'!C91)</f>
        <v>Claims Analyst K</v>
      </c>
      <c r="D14" t="str">
        <f>IF('MASTER DATA'!D91="","",'MASTER DATA'!D91)</f>
        <v>Synthetic Policyholder 096, LLC</v>
      </c>
      <c r="E14" s="15">
        <f>IF('MASTER DATA'!E91="","",'MASTER DATA'!E91)</f>
        <v>43868</v>
      </c>
      <c r="F14" s="16" t="str">
        <f>IF('MASTER DATA'!F91="","",'MASTER DATA'!F91)</f>
        <v>N</v>
      </c>
      <c r="G14" s="17" t="str">
        <f>IF('MASTER DATA'!G91="","",'MASTER DATA'!G91)</f>
        <v/>
      </c>
      <c r="H14" s="16" t="str">
        <f>IF('MASTER DATA'!H91="","",'MASTER DATA'!H91)</f>
        <v/>
      </c>
      <c r="I14" s="15" t="str">
        <f>IF('MASTER DATA'!I91="","",'MASTER DATA'!I91)</f>
        <v/>
      </c>
      <c r="J14" s="16" t="str">
        <f>IF('MASTER DATA'!J91="","",'MASTER DATA'!J91)</f>
        <v>N</v>
      </c>
      <c r="K14" s="15" t="str">
        <f>IF('MASTER DATA'!K91="","",'MASTER DATA'!K91)</f>
        <v/>
      </c>
      <c r="L14" s="16" t="str">
        <f>IF('MASTER DATA'!L91="","",'MASTER DATA'!L91)</f>
        <v/>
      </c>
      <c r="M14" s="16" t="str">
        <f>IF('MASTER DATA'!M91="","",'MASTER DATA'!M91)</f>
        <v>Y</v>
      </c>
      <c r="N14" s="15">
        <f>IF('MASTER DATA'!N91="","",'MASTER DATA'!N91)</f>
        <v>44837</v>
      </c>
      <c r="O14" s="16" t="str">
        <f>IF('MASTER DATA'!O91="","",'MASTER DATA'!O91)</f>
        <v>Synthetic QME Evaluator 23</v>
      </c>
      <c r="P14" s="16" t="str">
        <f>IF('MASTER DATA'!P91="","",'MASTER DATA'!P91)</f>
        <v>Y</v>
      </c>
      <c r="Q14" s="16" t="str">
        <f>IF('MASTER DATA'!Q91="","",'MASTER DATA'!Q91)</f>
        <v>Denied Treatment Requests; MSA Eligible in Next 3 Years</v>
      </c>
      <c r="R14" s="16" t="str">
        <f>IF('MASTER DATA'!R91="","",'MASTER DATA'!R91)</f>
        <v>Specialist Consultation Requested</v>
      </c>
      <c r="S14" s="16" t="str">
        <f>IF('MASTER DATA'!S91="","",'MASTER DATA'!S91)</f>
        <v>N</v>
      </c>
      <c r="T14" s="15" t="str">
        <f>IF('MASTER DATA'!T91="","",'MASTER DATA'!T91)</f>
        <v/>
      </c>
      <c r="U14" s="16" t="str">
        <f>IF('MASTER DATA'!U91="","",'MASTER DATA'!U91)</f>
        <v>N</v>
      </c>
      <c r="V14" s="16" t="str">
        <f>IF('MASTER DATA'!V91="","",'MASTER DATA'!V91)</f>
        <v>N</v>
      </c>
      <c r="W14" s="16" t="str">
        <f>IF('MASTER DATA'!W91="","",'MASTER DATA'!W91)</f>
        <v>Y</v>
      </c>
      <c r="X14" s="16" t="str">
        <f>IF('MASTER DATA'!X91="","",'MASTER DATA'!X91)</f>
        <v>Y</v>
      </c>
      <c r="Y14" s="16" t="str">
        <f>IF('MASTER DATA'!Y91="","",'MASTER DATA'!Y91)</f>
        <v>N</v>
      </c>
      <c r="Z14" s="16" t="str">
        <f>IF('MASTER DATA'!Z91="","",'MASTER DATA'!Z91)</f>
        <v>Y</v>
      </c>
      <c r="AA14" s="16">
        <f>IF('MASTER DATA'!AA91="","",'MASTER DATA'!AA91)</f>
        <v>2</v>
      </c>
      <c r="AB14" s="16" t="str">
        <f>IF('MASTER DATA'!AB91="","",'MASTER DATA'!AB91)</f>
        <v>MULTI-SIGNAL</v>
      </c>
      <c r="AC14" s="16" t="str">
        <f>IF('MASTER DATA'!AC91="","",'MASTER DATA'!AC91)</f>
        <v>Pending QME | Automated Claim Alert</v>
      </c>
    </row>
    <row r="15" spans="1:29" x14ac:dyDescent="0.45">
      <c r="A15" t="str">
        <f>IF('MASTER DATA'!A92="","",'MASTER DATA'!A92)</f>
        <v>SYN-CLM-0091</v>
      </c>
      <c r="B15" t="str">
        <f>IF('MASTER DATA'!B92="","",'MASTER DATA'!B92)</f>
        <v>Synthetic Claimant 0091</v>
      </c>
      <c r="C15" t="str">
        <f>IF('MASTER DATA'!C92="","",'MASTER DATA'!C92)</f>
        <v>Claims Analyst K</v>
      </c>
      <c r="D15" t="str">
        <f>IF('MASTER DATA'!D92="","",'MASTER DATA'!D92)</f>
        <v>Synthetic Policyholder 033, LLC</v>
      </c>
      <c r="E15" s="15">
        <f>IF('MASTER DATA'!E92="","",'MASTER DATA'!E92)</f>
        <v>44672</v>
      </c>
      <c r="F15" s="16" t="str">
        <f>IF('MASTER DATA'!F92="","",'MASTER DATA'!F92)</f>
        <v>N</v>
      </c>
      <c r="G15" s="17" t="str">
        <f>IF('MASTER DATA'!G92="","",'MASTER DATA'!G92)</f>
        <v/>
      </c>
      <c r="H15" s="16" t="str">
        <f>IF('MASTER DATA'!H92="","",'MASTER DATA'!H92)</f>
        <v/>
      </c>
      <c r="I15" s="15" t="str">
        <f>IF('MASTER DATA'!I92="","",'MASTER DATA'!I92)</f>
        <v/>
      </c>
      <c r="J15" s="16" t="str">
        <f>IF('MASTER DATA'!J92="","",'MASTER DATA'!J92)</f>
        <v>Y</v>
      </c>
      <c r="K15" s="15">
        <f>IF('MASTER DATA'!K92="","",'MASTER DATA'!K92)</f>
        <v>46048</v>
      </c>
      <c r="L15" s="16" t="str">
        <f>IF('MASTER DATA'!L92="","",'MASTER DATA'!L92)</f>
        <v>N</v>
      </c>
      <c r="M15" s="16" t="str">
        <f>IF('MASTER DATA'!M92="","",'MASTER DATA'!M92)</f>
        <v>N</v>
      </c>
      <c r="N15" s="15" t="str">
        <f>IF('MASTER DATA'!N92="","",'MASTER DATA'!N92)</f>
        <v/>
      </c>
      <c r="O15" s="16" t="str">
        <f>IF('MASTER DATA'!O92="","",'MASTER DATA'!O92)</f>
        <v/>
      </c>
      <c r="P15" s="16" t="str">
        <f>IF('MASTER DATA'!P92="","",'MASTER DATA'!P92)</f>
        <v>N</v>
      </c>
      <c r="Q15" s="16" t="str">
        <f>IF('MASTER DATA'!Q92="","",'MASTER DATA'!Q92)</f>
        <v/>
      </c>
      <c r="R15" s="16" t="str">
        <f>IF('MASTER DATA'!R92="","",'MASTER DATA'!R92)</f>
        <v/>
      </c>
      <c r="S15" s="16" t="str">
        <f>IF('MASTER DATA'!S92="","",'MASTER DATA'!S92)</f>
        <v>N</v>
      </c>
      <c r="T15" s="15" t="str">
        <f>IF('MASTER DATA'!T92="","",'MASTER DATA'!T92)</f>
        <v/>
      </c>
      <c r="U15" s="16" t="str">
        <f>IF('MASTER DATA'!U92="","",'MASTER DATA'!U92)</f>
        <v>N</v>
      </c>
      <c r="V15" s="16" t="str">
        <f>IF('MASTER DATA'!V92="","",'MASTER DATA'!V92)</f>
        <v>N</v>
      </c>
      <c r="W15" s="16" t="str">
        <f>IF('MASTER DATA'!W92="","",'MASTER DATA'!W92)</f>
        <v>N</v>
      </c>
      <c r="X15" s="16" t="str">
        <f>IF('MASTER DATA'!X92="","",'MASTER DATA'!X92)</f>
        <v>N</v>
      </c>
      <c r="Y15" s="16" t="str">
        <f>IF('MASTER DATA'!Y92="","",'MASTER DATA'!Y92)</f>
        <v>N</v>
      </c>
      <c r="Z15" s="16" t="str">
        <f>IF('MASTER DATA'!Z92="","",'MASTER DATA'!Z92)</f>
        <v>N</v>
      </c>
      <c r="AA15" s="16">
        <f>IF('MASTER DATA'!AA92="","",'MASTER DATA'!AA92)</f>
        <v>1</v>
      </c>
      <c r="AB15" s="16" t="str">
        <f>IF('MASTER DATA'!AB92="","",'MASTER DATA'!AB92)</f>
        <v>SINGLE-SIGNAL</v>
      </c>
      <c r="AC15" s="16" t="str">
        <f>IF('MASTER DATA'!AC92="","",'MASTER DATA'!AC92)</f>
        <v>Open Stipulation</v>
      </c>
    </row>
    <row r="16" spans="1:29" x14ac:dyDescent="0.45">
      <c r="A16" t="str">
        <f>IF('MASTER DATA'!A93="","",'MASTER DATA'!A93)</f>
        <v>SYN-CLM-0092</v>
      </c>
      <c r="B16" t="str">
        <f>IF('MASTER DATA'!B93="","",'MASTER DATA'!B93)</f>
        <v>Synthetic Claimant 0092</v>
      </c>
      <c r="C16" t="str">
        <f>IF('MASTER DATA'!C93="","",'MASTER DATA'!C93)</f>
        <v>Claims Analyst K</v>
      </c>
      <c r="D16" t="str">
        <f>IF('MASTER DATA'!D93="","",'MASTER DATA'!D93)</f>
        <v>Synthetic Policyholder 112, LLC</v>
      </c>
      <c r="E16" s="15">
        <f>IF('MASTER DATA'!E93="","",'MASTER DATA'!E93)</f>
        <v>44015</v>
      </c>
      <c r="F16" s="16" t="str">
        <f>IF('MASTER DATA'!F93="","",'MASTER DATA'!F93)</f>
        <v>N</v>
      </c>
      <c r="G16" s="17" t="str">
        <f>IF('MASTER DATA'!G93="","",'MASTER DATA'!G93)</f>
        <v/>
      </c>
      <c r="H16" s="16" t="str">
        <f>IF('MASTER DATA'!H93="","",'MASTER DATA'!H93)</f>
        <v/>
      </c>
      <c r="I16" s="15" t="str">
        <f>IF('MASTER DATA'!I93="","",'MASTER DATA'!I93)</f>
        <v/>
      </c>
      <c r="J16" s="16" t="str">
        <f>IF('MASTER DATA'!J93="","",'MASTER DATA'!J93)</f>
        <v>N</v>
      </c>
      <c r="K16" s="15" t="str">
        <f>IF('MASTER DATA'!K93="","",'MASTER DATA'!K93)</f>
        <v/>
      </c>
      <c r="L16" s="16" t="str">
        <f>IF('MASTER DATA'!L93="","",'MASTER DATA'!L93)</f>
        <v/>
      </c>
      <c r="M16" s="16" t="str">
        <f>IF('MASTER DATA'!M93="","",'MASTER DATA'!M93)</f>
        <v>Y</v>
      </c>
      <c r="N16" s="15">
        <f>IF('MASTER DATA'!N93="","",'MASTER DATA'!N93)</f>
        <v>45475</v>
      </c>
      <c r="O16" s="16" t="str">
        <f>IF('MASTER DATA'!O93="","",'MASTER DATA'!O93)</f>
        <v>Synthetic QME Evaluator 07</v>
      </c>
      <c r="P16" s="16" t="str">
        <f>IF('MASTER DATA'!P93="","",'MASTER DATA'!P93)</f>
        <v>Y</v>
      </c>
      <c r="Q16" s="16" t="str">
        <f>IF('MASTER DATA'!Q93="","",'MASTER DATA'!Q93)</f>
        <v>Denied Treatment Requests</v>
      </c>
      <c r="R16" s="16" t="str">
        <f>IF('MASTER DATA'!R93="","",'MASTER DATA'!R93)</f>
        <v/>
      </c>
      <c r="S16" s="16" t="str">
        <f>IF('MASTER DATA'!S93="","",'MASTER DATA'!S93)</f>
        <v>N</v>
      </c>
      <c r="T16" s="15" t="str">
        <f>IF('MASTER DATA'!T93="","",'MASTER DATA'!T93)</f>
        <v/>
      </c>
      <c r="U16" s="16" t="str">
        <f>IF('MASTER DATA'!U93="","",'MASTER DATA'!U93)</f>
        <v>N</v>
      </c>
      <c r="V16" s="16" t="str">
        <f>IF('MASTER DATA'!V93="","",'MASTER DATA'!V93)</f>
        <v>N</v>
      </c>
      <c r="W16" s="16" t="str">
        <f>IF('MASTER DATA'!W93="","",'MASTER DATA'!W93)</f>
        <v>Y</v>
      </c>
      <c r="X16" s="16" t="str">
        <f>IF('MASTER DATA'!X93="","",'MASTER DATA'!X93)</f>
        <v>N</v>
      </c>
      <c r="Y16" s="16" t="str">
        <f>IF('MASTER DATA'!Y93="","",'MASTER DATA'!Y93)</f>
        <v>N</v>
      </c>
      <c r="Z16" s="16" t="str">
        <f>IF('MASTER DATA'!Z93="","",'MASTER DATA'!Z93)</f>
        <v>N</v>
      </c>
      <c r="AA16" s="16">
        <f>IF('MASTER DATA'!AA93="","",'MASTER DATA'!AA93)</f>
        <v>2</v>
      </c>
      <c r="AB16" s="16" t="str">
        <f>IF('MASTER DATA'!AB93="","",'MASTER DATA'!AB93)</f>
        <v>MULTI-SIGNAL</v>
      </c>
      <c r="AC16" s="16" t="str">
        <f>IF('MASTER DATA'!AC93="","",'MASTER DATA'!AC93)</f>
        <v>Pending QME | Automated Claim Alert</v>
      </c>
    </row>
    <row r="17" spans="1:29" x14ac:dyDescent="0.45">
      <c r="A17" t="str">
        <f>IF('MASTER DATA'!A94="","",'MASTER DATA'!A94)</f>
        <v>SYN-CLM-0093</v>
      </c>
      <c r="B17" t="str">
        <f>IF('MASTER DATA'!B94="","",'MASTER DATA'!B94)</f>
        <v>Synthetic Claimant 0093</v>
      </c>
      <c r="C17" t="str">
        <f>IF('MASTER DATA'!C94="","",'MASTER DATA'!C94)</f>
        <v>Claims Analyst K</v>
      </c>
      <c r="D17" t="str">
        <f>IF('MASTER DATA'!D94="","",'MASTER DATA'!D94)</f>
        <v>Synthetic Policyholder 057, LLC</v>
      </c>
      <c r="E17" s="15">
        <f>IF('MASTER DATA'!E94="","",'MASTER DATA'!E94)</f>
        <v>45161</v>
      </c>
      <c r="F17" s="16" t="str">
        <f>IF('MASTER DATA'!F94="","",'MASTER DATA'!F94)</f>
        <v>Y</v>
      </c>
      <c r="G17" s="17">
        <f>IF('MASTER DATA'!G94="","",'MASTER DATA'!G94)</f>
        <v>161250</v>
      </c>
      <c r="H17" s="16" t="str">
        <f>IF('MASTER DATA'!H94="","",'MASTER DATA'!H94)</f>
        <v>Synthetic Approver 01</v>
      </c>
      <c r="I17" s="15">
        <f>IF('MASTER DATA'!I94="","",'MASTER DATA'!I94)</f>
        <v>45977</v>
      </c>
      <c r="J17" s="16" t="str">
        <f>IF('MASTER DATA'!J94="","",'MASTER DATA'!J94)</f>
        <v>N</v>
      </c>
      <c r="K17" s="15" t="str">
        <f>IF('MASTER DATA'!K94="","",'MASTER DATA'!K94)</f>
        <v/>
      </c>
      <c r="L17" s="16" t="str">
        <f>IF('MASTER DATA'!L94="","",'MASTER DATA'!L94)</f>
        <v>Y</v>
      </c>
      <c r="M17" s="16" t="str">
        <f>IF('MASTER DATA'!M94="","",'MASTER DATA'!M94)</f>
        <v>N</v>
      </c>
      <c r="N17" s="15" t="str">
        <f>IF('MASTER DATA'!N94="","",'MASTER DATA'!N94)</f>
        <v/>
      </c>
      <c r="O17" s="16" t="str">
        <f>IF('MASTER DATA'!O94="","",'MASTER DATA'!O94)</f>
        <v/>
      </c>
      <c r="P17" s="16" t="str">
        <f>IF('MASTER DATA'!P94="","",'MASTER DATA'!P94)</f>
        <v>N</v>
      </c>
      <c r="Q17" s="16" t="str">
        <f>IF('MASTER DATA'!Q94="","",'MASTER DATA'!Q94)</f>
        <v/>
      </c>
      <c r="R17" s="16" t="str">
        <f>IF('MASTER DATA'!R94="","",'MASTER DATA'!R94)</f>
        <v/>
      </c>
      <c r="S17" s="16" t="str">
        <f>IF('MASTER DATA'!S94="","",'MASTER DATA'!S94)</f>
        <v>N</v>
      </c>
      <c r="T17" s="15" t="str">
        <f>IF('MASTER DATA'!T94="","",'MASTER DATA'!T94)</f>
        <v/>
      </c>
      <c r="U17" s="16" t="str">
        <f>IF('MASTER DATA'!U94="","",'MASTER DATA'!U94)</f>
        <v>N</v>
      </c>
      <c r="V17" s="16" t="str">
        <f>IF('MASTER DATA'!V94="","",'MASTER DATA'!V94)</f>
        <v>N</v>
      </c>
      <c r="W17" s="16" t="str">
        <f>IF('MASTER DATA'!W94="","",'MASTER DATA'!W94)</f>
        <v>N</v>
      </c>
      <c r="X17" s="16" t="str">
        <f>IF('MASTER DATA'!X94="","",'MASTER DATA'!X94)</f>
        <v>N</v>
      </c>
      <c r="Y17" s="16" t="str">
        <f>IF('MASTER DATA'!Y94="","",'MASTER DATA'!Y94)</f>
        <v>N</v>
      </c>
      <c r="Z17" s="16" t="str">
        <f>IF('MASTER DATA'!Z94="","",'MASTER DATA'!Z94)</f>
        <v>N</v>
      </c>
      <c r="AA17" s="16">
        <f>IF('MASTER DATA'!AA94="","",'MASTER DATA'!AA94)</f>
        <v>1</v>
      </c>
      <c r="AB17" s="16" t="str">
        <f>IF('MASTER DATA'!AB94="","",'MASTER DATA'!AB94)</f>
        <v>SINGLE-SIGNAL</v>
      </c>
      <c r="AC17" s="16" t="str">
        <f>IF('MASTER DATA'!AC94="","",'MASTER DATA'!AC94)</f>
        <v>Settlement Authorization</v>
      </c>
    </row>
    <row r="18" spans="1:29" x14ac:dyDescent="0.45">
      <c r="A18" t="str">
        <f>IF('MASTER DATA'!A95="","",'MASTER DATA'!A95)</f>
        <v>SYN-CLM-0094</v>
      </c>
      <c r="B18" t="str">
        <f>IF('MASTER DATA'!B95="","",'MASTER DATA'!B95)</f>
        <v>Synthetic Claimant 0094</v>
      </c>
      <c r="C18" t="str">
        <f>IF('MASTER DATA'!C95="","",'MASTER DATA'!C95)</f>
        <v>Claims Analyst K</v>
      </c>
      <c r="D18" t="str">
        <f>IF('MASTER DATA'!D95="","",'MASTER DATA'!D95)</f>
        <v>Synthetic Policyholder 164, LLC</v>
      </c>
      <c r="E18" s="15">
        <f>IF('MASTER DATA'!E95="","",'MASTER DATA'!E95)</f>
        <v>43736</v>
      </c>
      <c r="F18" s="16" t="str">
        <f>IF('MASTER DATA'!F95="","",'MASTER DATA'!F95)</f>
        <v>Y</v>
      </c>
      <c r="G18" s="17">
        <f>IF('MASTER DATA'!G95="","",'MASTER DATA'!G95)</f>
        <v>134500</v>
      </c>
      <c r="H18" s="16" t="str">
        <f>IF('MASTER DATA'!H95="","",'MASTER DATA'!H95)</f>
        <v>Synthetic Approver 10</v>
      </c>
      <c r="I18" s="15">
        <f>IF('MASTER DATA'!I95="","",'MASTER DATA'!I95)</f>
        <v>44033</v>
      </c>
      <c r="J18" s="16" t="str">
        <f>IF('MASTER DATA'!J95="","",'MASTER DATA'!J95)</f>
        <v>Y</v>
      </c>
      <c r="K18" s="15">
        <f>IF('MASTER DATA'!K95="","",'MASTER DATA'!K95)</f>
        <v>43782</v>
      </c>
      <c r="L18" s="16" t="str">
        <f>IF('MASTER DATA'!L95="","",'MASTER DATA'!L95)</f>
        <v>N</v>
      </c>
      <c r="M18" s="16" t="str">
        <f>IF('MASTER DATA'!M95="","",'MASTER DATA'!M95)</f>
        <v>N</v>
      </c>
      <c r="N18" s="15" t="str">
        <f>IF('MASTER DATA'!N95="","",'MASTER DATA'!N95)</f>
        <v/>
      </c>
      <c r="O18" s="16" t="str">
        <f>IF('MASTER DATA'!O95="","",'MASTER DATA'!O95)</f>
        <v/>
      </c>
      <c r="P18" s="16" t="str">
        <f>IF('MASTER DATA'!P95="","",'MASTER DATA'!P95)</f>
        <v>N</v>
      </c>
      <c r="Q18" s="16" t="str">
        <f>IF('MASTER DATA'!Q95="","",'MASTER DATA'!Q95)</f>
        <v/>
      </c>
      <c r="R18" s="16" t="str">
        <f>IF('MASTER DATA'!R95="","",'MASTER DATA'!R95)</f>
        <v/>
      </c>
      <c r="S18" s="16" t="str">
        <f>IF('MASTER DATA'!S95="","",'MASTER DATA'!S95)</f>
        <v>Y</v>
      </c>
      <c r="T18" s="15">
        <f>IF('MASTER DATA'!T95="","",'MASTER DATA'!T95)</f>
        <v>45617</v>
      </c>
      <c r="U18" s="16" t="str">
        <f>IF('MASTER DATA'!U95="","",'MASTER DATA'!U95)</f>
        <v>N</v>
      </c>
      <c r="V18" s="16" t="str">
        <f>IF('MASTER DATA'!V95="","",'MASTER DATA'!V95)</f>
        <v>N</v>
      </c>
      <c r="W18" s="16" t="str">
        <f>IF('MASTER DATA'!W95="","",'MASTER DATA'!W95)</f>
        <v>N</v>
      </c>
      <c r="X18" s="16" t="str">
        <f>IF('MASTER DATA'!X95="","",'MASTER DATA'!X95)</f>
        <v>N</v>
      </c>
      <c r="Y18" s="16" t="str">
        <f>IF('MASTER DATA'!Y95="","",'MASTER DATA'!Y95)</f>
        <v>N</v>
      </c>
      <c r="Z18" s="16" t="str">
        <f>IF('MASTER DATA'!Z95="","",'MASTER DATA'!Z95)</f>
        <v>N</v>
      </c>
      <c r="AA18" s="16">
        <f>IF('MASTER DATA'!AA95="","",'MASTER DATA'!AA95)</f>
        <v>3</v>
      </c>
      <c r="AB18" s="16" t="str">
        <f>IF('MASTER DATA'!AB95="","",'MASTER DATA'!AB95)</f>
        <v>ELEVATED MULTI-SIGNAL</v>
      </c>
      <c r="AC18" s="16" t="str">
        <f>IF('MASTER DATA'!AC95="","",'MASTER DATA'!AC95)</f>
        <v>Settlement Authorization | Open Stipulation | Inactive Customer</v>
      </c>
    </row>
    <row r="19" spans="1:29" x14ac:dyDescent="0.45">
      <c r="A19" t="str">
        <f>IF('MASTER DATA'!A96="","",'MASTER DATA'!A96)</f>
        <v>SYN-CLM-0095</v>
      </c>
      <c r="B19" t="str">
        <f>IF('MASTER DATA'!B96="","",'MASTER DATA'!B96)</f>
        <v>Synthetic Claimant 0095</v>
      </c>
      <c r="C19" t="str">
        <f>IF('MASTER DATA'!C96="","",'MASTER DATA'!C96)</f>
        <v>Claims Analyst K</v>
      </c>
      <c r="D19" t="str">
        <f>IF('MASTER DATA'!D96="","",'MASTER DATA'!D96)</f>
        <v>Synthetic Policyholder 170, LLC</v>
      </c>
      <c r="E19" s="15">
        <f>IF('MASTER DATA'!E96="","",'MASTER DATA'!E96)</f>
        <v>43145</v>
      </c>
      <c r="F19" s="16" t="str">
        <f>IF('MASTER DATA'!F96="","",'MASTER DATA'!F96)</f>
        <v>Y</v>
      </c>
      <c r="G19" s="17">
        <f>IF('MASTER DATA'!G96="","",'MASTER DATA'!G96)</f>
        <v>171500</v>
      </c>
      <c r="H19" s="16" t="str">
        <f>IF('MASTER DATA'!H96="","",'MASTER DATA'!H96)</f>
        <v>Synthetic Approver 12</v>
      </c>
      <c r="I19" s="15">
        <f>IF('MASTER DATA'!I96="","",'MASTER DATA'!I96)</f>
        <v>43921</v>
      </c>
      <c r="J19" s="16" t="str">
        <f>IF('MASTER DATA'!J96="","",'MASTER DATA'!J96)</f>
        <v>N</v>
      </c>
      <c r="K19" s="15" t="str">
        <f>IF('MASTER DATA'!K96="","",'MASTER DATA'!K96)</f>
        <v/>
      </c>
      <c r="L19" s="16" t="str">
        <f>IF('MASTER DATA'!L96="","",'MASTER DATA'!L96)</f>
        <v>N</v>
      </c>
      <c r="M19" s="16" t="str">
        <f>IF('MASTER DATA'!M96="","",'MASTER DATA'!M96)</f>
        <v>Y</v>
      </c>
      <c r="N19" s="15">
        <f>IF('MASTER DATA'!N96="","",'MASTER DATA'!N96)</f>
        <v>44416</v>
      </c>
      <c r="O19" s="16" t="str">
        <f>IF('MASTER DATA'!O96="","",'MASTER DATA'!O96)</f>
        <v>Synthetic QME Evaluator 11</v>
      </c>
      <c r="P19" s="16" t="str">
        <f>IF('MASTER DATA'!P96="","",'MASTER DATA'!P96)</f>
        <v>N</v>
      </c>
      <c r="Q19" s="16" t="str">
        <f>IF('MASTER DATA'!Q96="","",'MASTER DATA'!Q96)</f>
        <v/>
      </c>
      <c r="R19" s="16" t="str">
        <f>IF('MASTER DATA'!R96="","",'MASTER DATA'!R96)</f>
        <v/>
      </c>
      <c r="S19" s="16" t="str">
        <f>IF('MASTER DATA'!S96="","",'MASTER DATA'!S96)</f>
        <v>N</v>
      </c>
      <c r="T19" s="15" t="str">
        <f>IF('MASTER DATA'!T96="","",'MASTER DATA'!T96)</f>
        <v/>
      </c>
      <c r="U19" s="16" t="str">
        <f>IF('MASTER DATA'!U96="","",'MASTER DATA'!U96)</f>
        <v>N</v>
      </c>
      <c r="V19" s="16" t="str">
        <f>IF('MASTER DATA'!V96="","",'MASTER DATA'!V96)</f>
        <v>N</v>
      </c>
      <c r="W19" s="16" t="str">
        <f>IF('MASTER DATA'!W96="","",'MASTER DATA'!W96)</f>
        <v>N</v>
      </c>
      <c r="X19" s="16" t="str">
        <f>IF('MASTER DATA'!X96="","",'MASTER DATA'!X96)</f>
        <v>N</v>
      </c>
      <c r="Y19" s="16" t="str">
        <f>IF('MASTER DATA'!Y96="","",'MASTER DATA'!Y96)</f>
        <v>N</v>
      </c>
      <c r="Z19" s="16" t="str">
        <f>IF('MASTER DATA'!Z96="","",'MASTER DATA'!Z96)</f>
        <v>N</v>
      </c>
      <c r="AA19" s="16">
        <f>IF('MASTER DATA'!AA96="","",'MASTER DATA'!AA96)</f>
        <v>2</v>
      </c>
      <c r="AB19" s="16" t="str">
        <f>IF('MASTER DATA'!AB96="","",'MASTER DATA'!AB96)</f>
        <v>MULTI-SIGNAL</v>
      </c>
      <c r="AC19" s="16" t="str">
        <f>IF('MASTER DATA'!AC96="","",'MASTER DATA'!AC96)</f>
        <v>Settlement Authorization | Pending QME</v>
      </c>
    </row>
    <row r="20" spans="1:29" x14ac:dyDescent="0.45">
      <c r="A20" t="str">
        <f>IF('MASTER DATA'!A456="","",'MASTER DATA'!A456)</f>
        <v>SYN-CLM-0455</v>
      </c>
      <c r="B20" t="str">
        <f>IF('MASTER DATA'!B456="","",'MASTER DATA'!B456)</f>
        <v>Synthetic Claimant 0455</v>
      </c>
      <c r="C20" t="str">
        <f>IF('MASTER DATA'!C456="","",'MASTER DATA'!C456)</f>
        <v>Claims Analyst K</v>
      </c>
      <c r="D20" t="str">
        <f>IF('MASTER DATA'!D456="","",'MASTER DATA'!D456)</f>
        <v>Synthetic Policyholder 124, LLC</v>
      </c>
      <c r="E20" s="15">
        <f>IF('MASTER DATA'!E456="","",'MASTER DATA'!E456)</f>
        <v>44671</v>
      </c>
      <c r="F20" s="16" t="str">
        <f>IF('MASTER DATA'!F456="","",'MASTER DATA'!F456)</f>
        <v>Y</v>
      </c>
      <c r="G20" s="17">
        <f>IF('MASTER DATA'!G456="","",'MASTER DATA'!G456)</f>
        <v>122000</v>
      </c>
      <c r="H20" s="16" t="str">
        <f>IF('MASTER DATA'!H456="","",'MASTER DATA'!H456)</f>
        <v>Synthetic Approver 03</v>
      </c>
      <c r="I20" s="15">
        <f>IF('MASTER DATA'!I456="","",'MASTER DATA'!I456)</f>
        <v>45604</v>
      </c>
      <c r="J20" s="16" t="str">
        <f>IF('MASTER DATA'!J456="","",'MASTER DATA'!J456)</f>
        <v>N</v>
      </c>
      <c r="K20" s="15" t="str">
        <f>IF('MASTER DATA'!K456="","",'MASTER DATA'!K456)</f>
        <v/>
      </c>
      <c r="L20" s="16" t="str">
        <f>IF('MASTER DATA'!L456="","",'MASTER DATA'!L456)</f>
        <v>N</v>
      </c>
      <c r="M20" s="16" t="str">
        <f>IF('MASTER DATA'!M456="","",'MASTER DATA'!M456)</f>
        <v>N</v>
      </c>
      <c r="N20" s="15" t="str">
        <f>IF('MASTER DATA'!N456="","",'MASTER DATA'!N456)</f>
        <v/>
      </c>
      <c r="O20" s="16" t="str">
        <f>IF('MASTER DATA'!O456="","",'MASTER DATA'!O456)</f>
        <v/>
      </c>
      <c r="P20" s="16" t="str">
        <f>IF('MASTER DATA'!P456="","",'MASTER DATA'!P456)</f>
        <v>N</v>
      </c>
      <c r="Q20" s="16" t="str">
        <f>IF('MASTER DATA'!Q456="","",'MASTER DATA'!Q456)</f>
        <v/>
      </c>
      <c r="R20" s="16" t="str">
        <f>IF('MASTER DATA'!R456="","",'MASTER DATA'!R456)</f>
        <v/>
      </c>
      <c r="S20" s="16" t="str">
        <f>IF('MASTER DATA'!S456="","",'MASTER DATA'!S456)</f>
        <v>N</v>
      </c>
      <c r="T20" s="15" t="str">
        <f>IF('MASTER DATA'!T456="","",'MASTER DATA'!T456)</f>
        <v/>
      </c>
      <c r="U20" s="16" t="str">
        <f>IF('MASTER DATA'!U456="","",'MASTER DATA'!U456)</f>
        <v>N</v>
      </c>
      <c r="V20" s="16" t="str">
        <f>IF('MASTER DATA'!V456="","",'MASTER DATA'!V456)</f>
        <v>N</v>
      </c>
      <c r="W20" s="16" t="str">
        <f>IF('MASTER DATA'!W456="","",'MASTER DATA'!W456)</f>
        <v>N</v>
      </c>
      <c r="X20" s="16" t="str">
        <f>IF('MASTER DATA'!X456="","",'MASTER DATA'!X456)</f>
        <v>N</v>
      </c>
      <c r="Y20" s="16" t="str">
        <f>IF('MASTER DATA'!Y456="","",'MASTER DATA'!Y456)</f>
        <v>N</v>
      </c>
      <c r="Z20" s="16" t="str">
        <f>IF('MASTER DATA'!Z456="","",'MASTER DATA'!Z456)</f>
        <v>N</v>
      </c>
      <c r="AA20" s="16">
        <f>IF('MASTER DATA'!AA456="","",'MASTER DATA'!AA456)</f>
        <v>1</v>
      </c>
      <c r="AB20" s="16" t="str">
        <f>IF('MASTER DATA'!AB456="","",'MASTER DATA'!AB456)</f>
        <v>SINGLE-SIGNAL</v>
      </c>
      <c r="AC20" s="16" t="str">
        <f>IF('MASTER DATA'!AC456="","",'MASTER DATA'!AC456)</f>
        <v>Settlement Authorization</v>
      </c>
    </row>
    <row r="21" spans="1:29" x14ac:dyDescent="0.45">
      <c r="A21" t="str">
        <f>IF('MASTER DATA'!A457="","",'MASTER DATA'!A457)</f>
        <v>SYN-CLM-0456</v>
      </c>
      <c r="B21" t="str">
        <f>IF('MASTER DATA'!B457="","",'MASTER DATA'!B457)</f>
        <v>Synthetic Claimant 0456</v>
      </c>
      <c r="C21" t="str">
        <f>IF('MASTER DATA'!C457="","",'MASTER DATA'!C457)</f>
        <v>Claims Analyst K</v>
      </c>
      <c r="D21" t="str">
        <f>IF('MASTER DATA'!D457="","",'MASTER DATA'!D457)</f>
        <v>Synthetic Policyholder 064, LLC</v>
      </c>
      <c r="E21" s="15">
        <f>IF('MASTER DATA'!E457="","",'MASTER DATA'!E457)</f>
        <v>43499</v>
      </c>
      <c r="F21" s="16" t="str">
        <f>IF('MASTER DATA'!F457="","",'MASTER DATA'!F457)</f>
        <v>Y</v>
      </c>
      <c r="G21" s="17">
        <f>IF('MASTER DATA'!G457="","",'MASTER DATA'!G457)</f>
        <v>85000</v>
      </c>
      <c r="H21" s="16" t="str">
        <f>IF('MASTER DATA'!H457="","",'MASTER DATA'!H457)</f>
        <v>Synthetic Approver 04</v>
      </c>
      <c r="I21" s="15">
        <f>IF('MASTER DATA'!I457="","",'MASTER DATA'!I457)</f>
        <v>44559</v>
      </c>
      <c r="J21" s="16" t="str">
        <f>IF('MASTER DATA'!J457="","",'MASTER DATA'!J457)</f>
        <v>N</v>
      </c>
      <c r="K21" s="15" t="str">
        <f>IF('MASTER DATA'!K457="","",'MASTER DATA'!K457)</f>
        <v/>
      </c>
      <c r="L21" s="16" t="str">
        <f>IF('MASTER DATA'!L457="","",'MASTER DATA'!L457)</f>
        <v>Y</v>
      </c>
      <c r="M21" s="16" t="str">
        <f>IF('MASTER DATA'!M457="","",'MASTER DATA'!M457)</f>
        <v>N</v>
      </c>
      <c r="N21" s="15" t="str">
        <f>IF('MASTER DATA'!N457="","",'MASTER DATA'!N457)</f>
        <v/>
      </c>
      <c r="O21" s="16" t="str">
        <f>IF('MASTER DATA'!O457="","",'MASTER DATA'!O457)</f>
        <v/>
      </c>
      <c r="P21" s="16" t="str">
        <f>IF('MASTER DATA'!P457="","",'MASTER DATA'!P457)</f>
        <v>Y</v>
      </c>
      <c r="Q21" s="16" t="str">
        <f>IF('MASTER DATA'!Q457="","",'MASTER DATA'!Q457)</f>
        <v>MSA Eligible in Next 3 Years; Non-Renewed Account</v>
      </c>
      <c r="R21" s="16" t="str">
        <f>IF('MASTER DATA'!R457="","",'MASTER DATA'!R457)</f>
        <v>MMI Date Reported; Surgery Requested</v>
      </c>
      <c r="S21" s="16" t="str">
        <f>IF('MASTER DATA'!S457="","",'MASTER DATA'!S457)</f>
        <v>Y</v>
      </c>
      <c r="T21" s="15">
        <f>IF('MASTER DATA'!T457="","",'MASTER DATA'!T457)</f>
        <v>43937</v>
      </c>
      <c r="U21" s="16" t="str">
        <f>IF('MASTER DATA'!U457="","",'MASTER DATA'!U457)</f>
        <v>Y</v>
      </c>
      <c r="V21" s="16" t="str">
        <f>IF('MASTER DATA'!V457="","",'MASTER DATA'!V457)</f>
        <v>Y</v>
      </c>
      <c r="W21" s="16" t="str">
        <f>IF('MASTER DATA'!W457="","",'MASTER DATA'!W457)</f>
        <v>N</v>
      </c>
      <c r="X21" s="16" t="str">
        <f>IF('MASTER DATA'!X457="","",'MASTER DATA'!X457)</f>
        <v>N</v>
      </c>
      <c r="Y21" s="16" t="str">
        <f>IF('MASTER DATA'!Y457="","",'MASTER DATA'!Y457)</f>
        <v>Y</v>
      </c>
      <c r="Z21" s="16" t="str">
        <f>IF('MASTER DATA'!Z457="","",'MASTER DATA'!Z457)</f>
        <v>Y</v>
      </c>
      <c r="AA21" s="16">
        <f>IF('MASTER DATA'!AA457="","",'MASTER DATA'!AA457)</f>
        <v>3</v>
      </c>
      <c r="AB21" s="16" t="str">
        <f>IF('MASTER DATA'!AB457="","",'MASTER DATA'!AB457)</f>
        <v>ELEVATED MULTI-SIGNAL</v>
      </c>
      <c r="AC21" s="16" t="str">
        <f>IF('MASTER DATA'!AC457="","",'MASTER DATA'!AC457)</f>
        <v>Settlement Authorization | Automated Claim Alert | Inactive Customer</v>
      </c>
    </row>
    <row r="22" spans="1:29" x14ac:dyDescent="0.45">
      <c r="A22" t="str">
        <f>IF('MASTER DATA'!A458="","",'MASTER DATA'!A458)</f>
        <v>SYN-CLM-0457</v>
      </c>
      <c r="B22" t="str">
        <f>IF('MASTER DATA'!B458="","",'MASTER DATA'!B458)</f>
        <v>Synthetic Claimant 0457</v>
      </c>
      <c r="C22" t="str">
        <f>IF('MASTER DATA'!C458="","",'MASTER DATA'!C458)</f>
        <v>Claims Analyst K</v>
      </c>
      <c r="D22" t="str">
        <f>IF('MASTER DATA'!D458="","",'MASTER DATA'!D458)</f>
        <v>Synthetic Policyholder 172, LLC</v>
      </c>
      <c r="E22" s="15">
        <f>IF('MASTER DATA'!E458="","",'MASTER DATA'!E458)</f>
        <v>44821</v>
      </c>
      <c r="F22" s="16" t="str">
        <f>IF('MASTER DATA'!F458="","",'MASTER DATA'!F458)</f>
        <v>N</v>
      </c>
      <c r="G22" s="17" t="str">
        <f>IF('MASTER DATA'!G458="","",'MASTER DATA'!G458)</f>
        <v/>
      </c>
      <c r="H22" s="16" t="str">
        <f>IF('MASTER DATA'!H458="","",'MASTER DATA'!H458)</f>
        <v/>
      </c>
      <c r="I22" s="15" t="str">
        <f>IF('MASTER DATA'!I458="","",'MASTER DATA'!I458)</f>
        <v/>
      </c>
      <c r="J22" s="16" t="str">
        <f>IF('MASTER DATA'!J458="","",'MASTER DATA'!J458)</f>
        <v>N</v>
      </c>
      <c r="K22" s="15" t="str">
        <f>IF('MASTER DATA'!K458="","",'MASTER DATA'!K458)</f>
        <v/>
      </c>
      <c r="L22" s="16" t="str">
        <f>IF('MASTER DATA'!L458="","",'MASTER DATA'!L458)</f>
        <v/>
      </c>
      <c r="M22" s="16" t="str">
        <f>IF('MASTER DATA'!M458="","",'MASTER DATA'!M458)</f>
        <v>Y</v>
      </c>
      <c r="N22" s="15">
        <f>IF('MASTER DATA'!N458="","",'MASTER DATA'!N458)</f>
        <v>45320</v>
      </c>
      <c r="O22" s="16" t="str">
        <f>IF('MASTER DATA'!O458="","",'MASTER DATA'!O458)</f>
        <v>Synthetic QME Evaluator 22</v>
      </c>
      <c r="P22" s="16" t="str">
        <f>IF('MASTER DATA'!P458="","",'MASTER DATA'!P458)</f>
        <v>N</v>
      </c>
      <c r="Q22" s="16" t="str">
        <f>IF('MASTER DATA'!Q458="","",'MASTER DATA'!Q458)</f>
        <v/>
      </c>
      <c r="R22" s="16" t="str">
        <f>IF('MASTER DATA'!R458="","",'MASTER DATA'!R458)</f>
        <v/>
      </c>
      <c r="S22" s="16" t="str">
        <f>IF('MASTER DATA'!S458="","",'MASTER DATA'!S458)</f>
        <v>N</v>
      </c>
      <c r="T22" s="15" t="str">
        <f>IF('MASTER DATA'!T458="","",'MASTER DATA'!T458)</f>
        <v/>
      </c>
      <c r="U22" s="16" t="str">
        <f>IF('MASTER DATA'!U458="","",'MASTER DATA'!U458)</f>
        <v>N</v>
      </c>
      <c r="V22" s="16" t="str">
        <f>IF('MASTER DATA'!V458="","",'MASTER DATA'!V458)</f>
        <v>N</v>
      </c>
      <c r="W22" s="16" t="str">
        <f>IF('MASTER DATA'!W458="","",'MASTER DATA'!W458)</f>
        <v>N</v>
      </c>
      <c r="X22" s="16" t="str">
        <f>IF('MASTER DATA'!X458="","",'MASTER DATA'!X458)</f>
        <v>N</v>
      </c>
      <c r="Y22" s="16" t="str">
        <f>IF('MASTER DATA'!Y458="","",'MASTER DATA'!Y458)</f>
        <v>N</v>
      </c>
      <c r="Z22" s="16" t="str">
        <f>IF('MASTER DATA'!Z458="","",'MASTER DATA'!Z458)</f>
        <v>N</v>
      </c>
      <c r="AA22" s="16">
        <f>IF('MASTER DATA'!AA458="","",'MASTER DATA'!AA458)</f>
        <v>1</v>
      </c>
      <c r="AB22" s="16" t="str">
        <f>IF('MASTER DATA'!AB458="","",'MASTER DATA'!AB458)</f>
        <v>SINGLE-SIGNAL</v>
      </c>
      <c r="AC22" s="16" t="str">
        <f>IF('MASTER DATA'!AC458="","",'MASTER DATA'!AC458)</f>
        <v>Pending QME</v>
      </c>
    </row>
    <row r="23" spans="1:29" x14ac:dyDescent="0.45">
      <c r="A23" t="str">
        <f>IF('MASTER DATA'!A459="","",'MASTER DATA'!A459)</f>
        <v>SYN-CLM-0458</v>
      </c>
      <c r="B23" t="str">
        <f>IF('MASTER DATA'!B459="","",'MASTER DATA'!B459)</f>
        <v>Synthetic Claimant 0458</v>
      </c>
      <c r="C23" t="str">
        <f>IF('MASTER DATA'!C459="","",'MASTER DATA'!C459)</f>
        <v>Claims Analyst K</v>
      </c>
      <c r="D23" t="str">
        <f>IF('MASTER DATA'!D459="","",'MASTER DATA'!D459)</f>
        <v>Synthetic Policyholder 118, LLC</v>
      </c>
      <c r="E23" s="15">
        <f>IF('MASTER DATA'!E459="","",'MASTER DATA'!E459)</f>
        <v>45804</v>
      </c>
      <c r="F23" s="16" t="str">
        <f>IF('MASTER DATA'!F459="","",'MASTER DATA'!F459)</f>
        <v>N</v>
      </c>
      <c r="G23" s="17" t="str">
        <f>IF('MASTER DATA'!G459="","",'MASTER DATA'!G459)</f>
        <v/>
      </c>
      <c r="H23" s="16" t="str">
        <f>IF('MASTER DATA'!H459="","",'MASTER DATA'!H459)</f>
        <v/>
      </c>
      <c r="I23" s="15" t="str">
        <f>IF('MASTER DATA'!I459="","",'MASTER DATA'!I459)</f>
        <v/>
      </c>
      <c r="J23" s="16" t="str">
        <f>IF('MASTER DATA'!J459="","",'MASTER DATA'!J459)</f>
        <v>N</v>
      </c>
      <c r="K23" s="15" t="str">
        <f>IF('MASTER DATA'!K459="","",'MASTER DATA'!K459)</f>
        <v/>
      </c>
      <c r="L23" s="16" t="str">
        <f>IF('MASTER DATA'!L459="","",'MASTER DATA'!L459)</f>
        <v/>
      </c>
      <c r="M23" s="16" t="str">
        <f>IF('MASTER DATA'!M459="","",'MASTER DATA'!M459)</f>
        <v>Y</v>
      </c>
      <c r="N23" s="15">
        <f>IF('MASTER DATA'!N459="","",'MASTER DATA'!N459)</f>
        <v>47483</v>
      </c>
      <c r="O23" s="16" t="str">
        <f>IF('MASTER DATA'!O459="","",'MASTER DATA'!O459)</f>
        <v>Synthetic QME Evaluator 19</v>
      </c>
      <c r="P23" s="16" t="str">
        <f>IF('MASTER DATA'!P459="","",'MASTER DATA'!P459)</f>
        <v>N</v>
      </c>
      <c r="Q23" s="16" t="str">
        <f>IF('MASTER DATA'!Q459="","",'MASTER DATA'!Q459)</f>
        <v/>
      </c>
      <c r="R23" s="16" t="str">
        <f>IF('MASTER DATA'!R459="","",'MASTER DATA'!R459)</f>
        <v/>
      </c>
      <c r="S23" s="16" t="str">
        <f>IF('MASTER DATA'!S459="","",'MASTER DATA'!S459)</f>
        <v>N</v>
      </c>
      <c r="T23" s="15" t="str">
        <f>IF('MASTER DATA'!T459="","",'MASTER DATA'!T459)</f>
        <v/>
      </c>
      <c r="U23" s="16" t="str">
        <f>IF('MASTER DATA'!U459="","",'MASTER DATA'!U459)</f>
        <v>N</v>
      </c>
      <c r="V23" s="16" t="str">
        <f>IF('MASTER DATA'!V459="","",'MASTER DATA'!V459)</f>
        <v>N</v>
      </c>
      <c r="W23" s="16" t="str">
        <f>IF('MASTER DATA'!W459="","",'MASTER DATA'!W459)</f>
        <v>N</v>
      </c>
      <c r="X23" s="16" t="str">
        <f>IF('MASTER DATA'!X459="","",'MASTER DATA'!X459)</f>
        <v>N</v>
      </c>
      <c r="Y23" s="16" t="str">
        <f>IF('MASTER DATA'!Y459="","",'MASTER DATA'!Y459)</f>
        <v>N</v>
      </c>
      <c r="Z23" s="16" t="str">
        <f>IF('MASTER DATA'!Z459="","",'MASTER DATA'!Z459)</f>
        <v>N</v>
      </c>
      <c r="AA23" s="16">
        <f>IF('MASTER DATA'!AA459="","",'MASTER DATA'!AA459)</f>
        <v>1</v>
      </c>
      <c r="AB23" s="16" t="str">
        <f>IF('MASTER DATA'!AB459="","",'MASTER DATA'!AB459)</f>
        <v>SINGLE-SIGNAL</v>
      </c>
      <c r="AC23" s="16" t="str">
        <f>IF('MASTER DATA'!AC459="","",'MASTER DATA'!AC459)</f>
        <v>Pending QME</v>
      </c>
    </row>
    <row r="24" spans="1:29" x14ac:dyDescent="0.45">
      <c r="A24" t="str">
        <f>IF('MASTER DATA'!A460="","",'MASTER DATA'!A460)</f>
        <v>SYN-CLM-0459</v>
      </c>
      <c r="B24" t="str">
        <f>IF('MASTER DATA'!B460="","",'MASTER DATA'!B460)</f>
        <v>Synthetic Claimant 0459</v>
      </c>
      <c r="C24" t="str">
        <f>IF('MASTER DATA'!C460="","",'MASTER DATA'!C460)</f>
        <v>Claims Analyst K</v>
      </c>
      <c r="D24" t="str">
        <f>IF('MASTER DATA'!D460="","",'MASTER DATA'!D460)</f>
        <v>Synthetic Policyholder 039, LLC</v>
      </c>
      <c r="E24" s="15">
        <f>IF('MASTER DATA'!E460="","",'MASTER DATA'!E460)</f>
        <v>45436</v>
      </c>
      <c r="F24" s="16" t="str">
        <f>IF('MASTER DATA'!F460="","",'MASTER DATA'!F460)</f>
        <v>N</v>
      </c>
      <c r="G24" s="17" t="str">
        <f>IF('MASTER DATA'!G460="","",'MASTER DATA'!G460)</f>
        <v/>
      </c>
      <c r="H24" s="16" t="str">
        <f>IF('MASTER DATA'!H460="","",'MASTER DATA'!H460)</f>
        <v/>
      </c>
      <c r="I24" s="15" t="str">
        <f>IF('MASTER DATA'!I460="","",'MASTER DATA'!I460)</f>
        <v/>
      </c>
      <c r="J24" s="16" t="str">
        <f>IF('MASTER DATA'!J460="","",'MASTER DATA'!J460)</f>
        <v>N</v>
      </c>
      <c r="K24" s="15" t="str">
        <f>IF('MASTER DATA'!K460="","",'MASTER DATA'!K460)</f>
        <v/>
      </c>
      <c r="L24" s="16" t="str">
        <f>IF('MASTER DATA'!L460="","",'MASTER DATA'!L460)</f>
        <v/>
      </c>
      <c r="M24" s="16" t="str">
        <f>IF('MASTER DATA'!M460="","",'MASTER DATA'!M460)</f>
        <v>N</v>
      </c>
      <c r="N24" s="15" t="str">
        <f>IF('MASTER DATA'!N460="","",'MASTER DATA'!N460)</f>
        <v/>
      </c>
      <c r="O24" s="16" t="str">
        <f>IF('MASTER DATA'!O460="","",'MASTER DATA'!O460)</f>
        <v/>
      </c>
      <c r="P24" s="16" t="str">
        <f>IF('MASTER DATA'!P460="","",'MASTER DATA'!P460)</f>
        <v>Y</v>
      </c>
      <c r="Q24" s="16" t="str">
        <f>IF('MASTER DATA'!Q460="","",'MASTER DATA'!Q460)</f>
        <v>MMI Date Reported; Denied Treatment Requests; Specialist Consultation Requested</v>
      </c>
      <c r="R24" s="16" t="str">
        <f>IF('MASTER DATA'!R460="","",'MASTER DATA'!R460)</f>
        <v>Non-Renewed Account</v>
      </c>
      <c r="S24" s="16" t="str">
        <f>IF('MASTER DATA'!S460="","",'MASTER DATA'!S460)</f>
        <v>N</v>
      </c>
      <c r="T24" s="15" t="str">
        <f>IF('MASTER DATA'!T460="","",'MASTER DATA'!T460)</f>
        <v/>
      </c>
      <c r="U24" s="16" t="str">
        <f>IF('MASTER DATA'!U460="","",'MASTER DATA'!U460)</f>
        <v>N</v>
      </c>
      <c r="V24" s="16" t="str">
        <f>IF('MASTER DATA'!V460="","",'MASTER DATA'!V460)</f>
        <v>Y</v>
      </c>
      <c r="W24" s="16" t="str">
        <f>IF('MASTER DATA'!W460="","",'MASTER DATA'!W460)</f>
        <v>Y</v>
      </c>
      <c r="X24" s="16" t="str">
        <f>IF('MASTER DATA'!X460="","",'MASTER DATA'!X460)</f>
        <v>Y</v>
      </c>
      <c r="Y24" s="16" t="str">
        <f>IF('MASTER DATA'!Y460="","",'MASTER DATA'!Y460)</f>
        <v>Y</v>
      </c>
      <c r="Z24" s="16" t="str">
        <f>IF('MASTER DATA'!Z460="","",'MASTER DATA'!Z460)</f>
        <v>N</v>
      </c>
      <c r="AA24" s="16">
        <f>IF('MASTER DATA'!AA460="","",'MASTER DATA'!AA460)</f>
        <v>1</v>
      </c>
      <c r="AB24" s="16" t="str">
        <f>IF('MASTER DATA'!AB460="","",'MASTER DATA'!AB460)</f>
        <v>SINGLE-SIGNAL</v>
      </c>
      <c r="AC24" s="16" t="str">
        <f>IF('MASTER DATA'!AC460="","",'MASTER DATA'!AC460)</f>
        <v>Automated Claim Alert</v>
      </c>
    </row>
    <row r="25" spans="1:29" x14ac:dyDescent="0.45">
      <c r="A25" t="str">
        <f>IF('MASTER DATA'!A461="","",'MASTER DATA'!A461)</f>
        <v>SYN-CLM-0460</v>
      </c>
      <c r="B25" t="str">
        <f>IF('MASTER DATA'!B461="","",'MASTER DATA'!B461)</f>
        <v>Synthetic Claimant 0460</v>
      </c>
      <c r="C25" t="str">
        <f>IF('MASTER DATA'!C461="","",'MASTER DATA'!C461)</f>
        <v>Claims Analyst K</v>
      </c>
      <c r="D25" t="str">
        <f>IF('MASTER DATA'!D461="","",'MASTER DATA'!D461)</f>
        <v>Synthetic Policyholder 169, LLC</v>
      </c>
      <c r="E25" s="15">
        <f>IF('MASTER DATA'!E461="","",'MASTER DATA'!E461)</f>
        <v>45157</v>
      </c>
      <c r="F25" s="16" t="str">
        <f>IF('MASTER DATA'!F461="","",'MASTER DATA'!F461)</f>
        <v>N</v>
      </c>
      <c r="G25" s="17" t="str">
        <f>IF('MASTER DATA'!G461="","",'MASTER DATA'!G461)</f>
        <v/>
      </c>
      <c r="H25" s="16" t="str">
        <f>IF('MASTER DATA'!H461="","",'MASTER DATA'!H461)</f>
        <v/>
      </c>
      <c r="I25" s="15" t="str">
        <f>IF('MASTER DATA'!I461="","",'MASTER DATA'!I461)</f>
        <v/>
      </c>
      <c r="J25" s="16" t="str">
        <f>IF('MASTER DATA'!J461="","",'MASTER DATA'!J461)</f>
        <v>Y</v>
      </c>
      <c r="K25" s="15">
        <f>IF('MASTER DATA'!K461="","",'MASTER DATA'!K461)</f>
        <v>45727</v>
      </c>
      <c r="L25" s="16" t="str">
        <f>IF('MASTER DATA'!L461="","",'MASTER DATA'!L461)</f>
        <v>Y</v>
      </c>
      <c r="M25" s="16" t="str">
        <f>IF('MASTER DATA'!M461="","",'MASTER DATA'!M461)</f>
        <v>N</v>
      </c>
      <c r="N25" s="15" t="str">
        <f>IF('MASTER DATA'!N461="","",'MASTER DATA'!N461)</f>
        <v/>
      </c>
      <c r="O25" s="16" t="str">
        <f>IF('MASTER DATA'!O461="","",'MASTER DATA'!O461)</f>
        <v/>
      </c>
      <c r="P25" s="16" t="str">
        <f>IF('MASTER DATA'!P461="","",'MASTER DATA'!P461)</f>
        <v>N</v>
      </c>
      <c r="Q25" s="16" t="str">
        <f>IF('MASTER DATA'!Q461="","",'MASTER DATA'!Q461)</f>
        <v/>
      </c>
      <c r="R25" s="16" t="str">
        <f>IF('MASTER DATA'!R461="","",'MASTER DATA'!R461)</f>
        <v/>
      </c>
      <c r="S25" s="16" t="str">
        <f>IF('MASTER DATA'!S461="","",'MASTER DATA'!S461)</f>
        <v>N</v>
      </c>
      <c r="T25" s="15" t="str">
        <f>IF('MASTER DATA'!T461="","",'MASTER DATA'!T461)</f>
        <v/>
      </c>
      <c r="U25" s="16" t="str">
        <f>IF('MASTER DATA'!U461="","",'MASTER DATA'!U461)</f>
        <v>N</v>
      </c>
      <c r="V25" s="16" t="str">
        <f>IF('MASTER DATA'!V461="","",'MASTER DATA'!V461)</f>
        <v>N</v>
      </c>
      <c r="W25" s="16" t="str">
        <f>IF('MASTER DATA'!W461="","",'MASTER DATA'!W461)</f>
        <v>N</v>
      </c>
      <c r="X25" s="16" t="str">
        <f>IF('MASTER DATA'!X461="","",'MASTER DATA'!X461)</f>
        <v>N</v>
      </c>
      <c r="Y25" s="16" t="str">
        <f>IF('MASTER DATA'!Y461="","",'MASTER DATA'!Y461)</f>
        <v>N</v>
      </c>
      <c r="Z25" s="16" t="str">
        <f>IF('MASTER DATA'!Z461="","",'MASTER DATA'!Z461)</f>
        <v>N</v>
      </c>
      <c r="AA25" s="16">
        <f>IF('MASTER DATA'!AA461="","",'MASTER DATA'!AA461)</f>
        <v>1</v>
      </c>
      <c r="AB25" s="16" t="str">
        <f>IF('MASTER DATA'!AB461="","",'MASTER DATA'!AB461)</f>
        <v>SINGLE-SIGNAL</v>
      </c>
      <c r="AC25" s="16" t="str">
        <f>IF('MASTER DATA'!AC461="","",'MASTER DATA'!AC461)</f>
        <v>Open Stipulation</v>
      </c>
    </row>
    <row r="26" spans="1:29" x14ac:dyDescent="0.45">
      <c r="A26" t="str">
        <f>IF('MASTER DATA'!A462="","",'MASTER DATA'!A462)</f>
        <v>SYN-CLM-0461</v>
      </c>
      <c r="B26" t="str">
        <f>IF('MASTER DATA'!B462="","",'MASTER DATA'!B462)</f>
        <v>Synthetic Claimant 0461</v>
      </c>
      <c r="C26" t="str">
        <f>IF('MASTER DATA'!C462="","",'MASTER DATA'!C462)</f>
        <v>Claims Analyst K</v>
      </c>
      <c r="D26" t="str">
        <f>IF('MASTER DATA'!D462="","",'MASTER DATA'!D462)</f>
        <v>Synthetic Policyholder 010, LLC</v>
      </c>
      <c r="E26" s="15">
        <f>IF('MASTER DATA'!E462="","",'MASTER DATA'!E462)</f>
        <v>45785</v>
      </c>
      <c r="F26" s="16" t="str">
        <f>IF('MASTER DATA'!F462="","",'MASTER DATA'!F462)</f>
        <v>N</v>
      </c>
      <c r="G26" s="17" t="str">
        <f>IF('MASTER DATA'!G462="","",'MASTER DATA'!G462)</f>
        <v/>
      </c>
      <c r="H26" s="16" t="str">
        <f>IF('MASTER DATA'!H462="","",'MASTER DATA'!H462)</f>
        <v/>
      </c>
      <c r="I26" s="15" t="str">
        <f>IF('MASTER DATA'!I462="","",'MASTER DATA'!I462)</f>
        <v/>
      </c>
      <c r="J26" s="16" t="str">
        <f>IF('MASTER DATA'!J462="","",'MASTER DATA'!J462)</f>
        <v>N</v>
      </c>
      <c r="K26" s="15" t="str">
        <f>IF('MASTER DATA'!K462="","",'MASTER DATA'!K462)</f>
        <v/>
      </c>
      <c r="L26" s="16" t="str">
        <f>IF('MASTER DATA'!L462="","",'MASTER DATA'!L462)</f>
        <v/>
      </c>
      <c r="M26" s="16" t="str">
        <f>IF('MASTER DATA'!M462="","",'MASTER DATA'!M462)</f>
        <v>N</v>
      </c>
      <c r="N26" s="15" t="str">
        <f>IF('MASTER DATA'!N462="","",'MASTER DATA'!N462)</f>
        <v/>
      </c>
      <c r="O26" s="16" t="str">
        <f>IF('MASTER DATA'!O462="","",'MASTER DATA'!O462)</f>
        <v/>
      </c>
      <c r="P26" s="16" t="str">
        <f>IF('MASTER DATA'!P462="","",'MASTER DATA'!P462)</f>
        <v>N</v>
      </c>
      <c r="Q26" s="16" t="str">
        <f>IF('MASTER DATA'!Q462="","",'MASTER DATA'!Q462)</f>
        <v/>
      </c>
      <c r="R26" s="16" t="str">
        <f>IF('MASTER DATA'!R462="","",'MASTER DATA'!R462)</f>
        <v/>
      </c>
      <c r="S26" s="16" t="str">
        <f>IF('MASTER DATA'!S462="","",'MASTER DATA'!S462)</f>
        <v>Y</v>
      </c>
      <c r="T26" s="15">
        <f>IF('MASTER DATA'!T462="","",'MASTER DATA'!T462)</f>
        <v>47134</v>
      </c>
      <c r="U26" s="16" t="str">
        <f>IF('MASTER DATA'!U462="","",'MASTER DATA'!U462)</f>
        <v>N</v>
      </c>
      <c r="V26" s="16" t="str">
        <f>IF('MASTER DATA'!V462="","",'MASTER DATA'!V462)</f>
        <v>N</v>
      </c>
      <c r="W26" s="16" t="str">
        <f>IF('MASTER DATA'!W462="","",'MASTER DATA'!W462)</f>
        <v>N</v>
      </c>
      <c r="X26" s="16" t="str">
        <f>IF('MASTER DATA'!X462="","",'MASTER DATA'!X462)</f>
        <v>N</v>
      </c>
      <c r="Y26" s="16" t="str">
        <f>IF('MASTER DATA'!Y462="","",'MASTER DATA'!Y462)</f>
        <v>N</v>
      </c>
      <c r="Z26" s="16" t="str">
        <f>IF('MASTER DATA'!Z462="","",'MASTER DATA'!Z462)</f>
        <v>N</v>
      </c>
      <c r="AA26" s="16">
        <f>IF('MASTER DATA'!AA462="","",'MASTER DATA'!AA462)</f>
        <v>1</v>
      </c>
      <c r="AB26" s="16" t="str">
        <f>IF('MASTER DATA'!AB462="","",'MASTER DATA'!AB462)</f>
        <v>SINGLE-SIGNAL</v>
      </c>
      <c r="AC26" s="16" t="str">
        <f>IF('MASTER DATA'!AC462="","",'MASTER DATA'!AC462)</f>
        <v>Inactive Customer</v>
      </c>
    </row>
    <row r="27" spans="1:29" x14ac:dyDescent="0.45">
      <c r="A27" t="str">
        <f>IF('MASTER DATA'!A463="","",'MASTER DATA'!A463)</f>
        <v>SYN-CLM-0462</v>
      </c>
      <c r="B27" t="str">
        <f>IF('MASTER DATA'!B463="","",'MASTER DATA'!B463)</f>
        <v>Synthetic Claimant 0462</v>
      </c>
      <c r="C27" t="str">
        <f>IF('MASTER DATA'!C463="","",'MASTER DATA'!C463)</f>
        <v>Claims Analyst K</v>
      </c>
      <c r="D27" t="str">
        <f>IF('MASTER DATA'!D463="","",'MASTER DATA'!D463)</f>
        <v>Synthetic Policyholder 093, LLC</v>
      </c>
      <c r="E27" s="15">
        <f>IF('MASTER DATA'!E463="","",'MASTER DATA'!E463)</f>
        <v>44100</v>
      </c>
      <c r="F27" s="16" t="str">
        <f>IF('MASTER DATA'!F463="","",'MASTER DATA'!F463)</f>
        <v>Y</v>
      </c>
      <c r="G27" s="17">
        <f>IF('MASTER DATA'!G463="","",'MASTER DATA'!G463)</f>
        <v>173000</v>
      </c>
      <c r="H27" s="16" t="str">
        <f>IF('MASTER DATA'!H463="","",'MASTER DATA'!H463)</f>
        <v>Synthetic Approver 06</v>
      </c>
      <c r="I27" s="15">
        <f>IF('MASTER DATA'!I463="","",'MASTER DATA'!I463)</f>
        <v>44423</v>
      </c>
      <c r="J27" s="16" t="str">
        <f>IF('MASTER DATA'!J463="","",'MASTER DATA'!J463)</f>
        <v>N</v>
      </c>
      <c r="K27" s="15" t="str">
        <f>IF('MASTER DATA'!K463="","",'MASTER DATA'!K463)</f>
        <v/>
      </c>
      <c r="L27" s="16" t="str">
        <f>IF('MASTER DATA'!L463="","",'MASTER DATA'!L463)</f>
        <v>Y</v>
      </c>
      <c r="M27" s="16" t="str">
        <f>IF('MASTER DATA'!M463="","",'MASTER DATA'!M463)</f>
        <v>N</v>
      </c>
      <c r="N27" s="15" t="str">
        <f>IF('MASTER DATA'!N463="","",'MASTER DATA'!N463)</f>
        <v/>
      </c>
      <c r="O27" s="16" t="str">
        <f>IF('MASTER DATA'!O463="","",'MASTER DATA'!O463)</f>
        <v/>
      </c>
      <c r="P27" s="16" t="str">
        <f>IF('MASTER DATA'!P463="","",'MASTER DATA'!P463)</f>
        <v>Y</v>
      </c>
      <c r="Q27" s="16" t="str">
        <f>IF('MASTER DATA'!Q463="","",'MASTER DATA'!Q463)</f>
        <v>Denied Treatment Requests; Surgery Requested</v>
      </c>
      <c r="R27" s="16" t="str">
        <f>IF('MASTER DATA'!R463="","",'MASTER DATA'!R463)</f>
        <v>MMI Date Reported; MSA Eligible in Next 3 Years</v>
      </c>
      <c r="S27" s="16" t="str">
        <f>IF('MASTER DATA'!S463="","",'MASTER DATA'!S463)</f>
        <v>N</v>
      </c>
      <c r="T27" s="15" t="str">
        <f>IF('MASTER DATA'!T463="","",'MASTER DATA'!T463)</f>
        <v/>
      </c>
      <c r="U27" s="16" t="str">
        <f>IF('MASTER DATA'!U463="","",'MASTER DATA'!U463)</f>
        <v>Y</v>
      </c>
      <c r="V27" s="16" t="str">
        <f>IF('MASTER DATA'!V463="","",'MASTER DATA'!V463)</f>
        <v>Y</v>
      </c>
      <c r="W27" s="16" t="str">
        <f>IF('MASTER DATA'!W463="","",'MASTER DATA'!W463)</f>
        <v>Y</v>
      </c>
      <c r="X27" s="16" t="str">
        <f>IF('MASTER DATA'!X463="","",'MASTER DATA'!X463)</f>
        <v>N</v>
      </c>
      <c r="Y27" s="16" t="str">
        <f>IF('MASTER DATA'!Y463="","",'MASTER DATA'!Y463)</f>
        <v>N</v>
      </c>
      <c r="Z27" s="16" t="str">
        <f>IF('MASTER DATA'!Z463="","",'MASTER DATA'!Z463)</f>
        <v>Y</v>
      </c>
      <c r="AA27" s="16">
        <f>IF('MASTER DATA'!AA463="","",'MASTER DATA'!AA463)</f>
        <v>2</v>
      </c>
      <c r="AB27" s="16" t="str">
        <f>IF('MASTER DATA'!AB463="","",'MASTER DATA'!AB463)</f>
        <v>MULTI-SIGNAL</v>
      </c>
      <c r="AC27" s="16" t="str">
        <f>IF('MASTER DATA'!AC463="","",'MASTER DATA'!AC463)</f>
        <v>Settlement Authorization | Automated Claim Alert</v>
      </c>
    </row>
    <row r="28" spans="1:29" x14ac:dyDescent="0.45">
      <c r="A28" t="str">
        <f>IF('MASTER DATA'!A464="","",'MASTER DATA'!A464)</f>
        <v>SYN-CLM-0463</v>
      </c>
      <c r="B28" t="str">
        <f>IF('MASTER DATA'!B464="","",'MASTER DATA'!B464)</f>
        <v>Synthetic Claimant 0463</v>
      </c>
      <c r="C28" t="str">
        <f>IF('MASTER DATA'!C464="","",'MASTER DATA'!C464)</f>
        <v>Claims Analyst K</v>
      </c>
      <c r="D28" t="str">
        <f>IF('MASTER DATA'!D464="","",'MASTER DATA'!D464)</f>
        <v>Synthetic Policyholder 140, LLC</v>
      </c>
      <c r="E28" s="15">
        <f>IF('MASTER DATA'!E464="","",'MASTER DATA'!E464)</f>
        <v>45880</v>
      </c>
      <c r="F28" s="16" t="str">
        <f>IF('MASTER DATA'!F464="","",'MASTER DATA'!F464)</f>
        <v>Y</v>
      </c>
      <c r="G28" s="17">
        <f>IF('MASTER DATA'!G464="","",'MASTER DATA'!G464)</f>
        <v>57750</v>
      </c>
      <c r="H28" s="16" t="str">
        <f>IF('MASTER DATA'!H464="","",'MASTER DATA'!H464)</f>
        <v>Synthetic Approver 07</v>
      </c>
      <c r="I28" s="15">
        <f>IF('MASTER DATA'!I464="","",'MASTER DATA'!I464)</f>
        <v>47064</v>
      </c>
      <c r="J28" s="16" t="str">
        <f>IF('MASTER DATA'!J464="","",'MASTER DATA'!J464)</f>
        <v>N</v>
      </c>
      <c r="K28" s="15" t="str">
        <f>IF('MASTER DATA'!K464="","",'MASTER DATA'!K464)</f>
        <v/>
      </c>
      <c r="L28" s="16" t="str">
        <f>IF('MASTER DATA'!L464="","",'MASTER DATA'!L464)</f>
        <v>N</v>
      </c>
      <c r="M28" s="16" t="str">
        <f>IF('MASTER DATA'!M464="","",'MASTER DATA'!M464)</f>
        <v>N</v>
      </c>
      <c r="N28" s="15" t="str">
        <f>IF('MASTER DATA'!N464="","",'MASTER DATA'!N464)</f>
        <v/>
      </c>
      <c r="O28" s="16" t="str">
        <f>IF('MASTER DATA'!O464="","",'MASTER DATA'!O464)</f>
        <v/>
      </c>
      <c r="P28" s="16" t="str">
        <f>IF('MASTER DATA'!P464="","",'MASTER DATA'!P464)</f>
        <v>N</v>
      </c>
      <c r="Q28" s="16" t="str">
        <f>IF('MASTER DATA'!Q464="","",'MASTER DATA'!Q464)</f>
        <v/>
      </c>
      <c r="R28" s="16" t="str">
        <f>IF('MASTER DATA'!R464="","",'MASTER DATA'!R464)</f>
        <v/>
      </c>
      <c r="S28" s="16" t="str">
        <f>IF('MASTER DATA'!S464="","",'MASTER DATA'!S464)</f>
        <v>N</v>
      </c>
      <c r="T28" s="15" t="str">
        <f>IF('MASTER DATA'!T464="","",'MASTER DATA'!T464)</f>
        <v/>
      </c>
      <c r="U28" s="16" t="str">
        <f>IF('MASTER DATA'!U464="","",'MASTER DATA'!U464)</f>
        <v>N</v>
      </c>
      <c r="V28" s="16" t="str">
        <f>IF('MASTER DATA'!V464="","",'MASTER DATA'!V464)</f>
        <v>N</v>
      </c>
      <c r="W28" s="16" t="str">
        <f>IF('MASTER DATA'!W464="","",'MASTER DATA'!W464)</f>
        <v>N</v>
      </c>
      <c r="X28" s="16" t="str">
        <f>IF('MASTER DATA'!X464="","",'MASTER DATA'!X464)</f>
        <v>N</v>
      </c>
      <c r="Y28" s="16" t="str">
        <f>IF('MASTER DATA'!Y464="","",'MASTER DATA'!Y464)</f>
        <v>N</v>
      </c>
      <c r="Z28" s="16" t="str">
        <f>IF('MASTER DATA'!Z464="","",'MASTER DATA'!Z464)</f>
        <v>N</v>
      </c>
      <c r="AA28" s="16">
        <f>IF('MASTER DATA'!AA464="","",'MASTER DATA'!AA464)</f>
        <v>1</v>
      </c>
      <c r="AB28" s="16" t="str">
        <f>IF('MASTER DATA'!AB464="","",'MASTER DATA'!AB464)</f>
        <v>SINGLE-SIGNAL</v>
      </c>
      <c r="AC28" s="16" t="str">
        <f>IF('MASTER DATA'!AC464="","",'MASTER DATA'!AC464)</f>
        <v>Settlement Authorization</v>
      </c>
    </row>
    <row r="29" spans="1:29" x14ac:dyDescent="0.45">
      <c r="A29" t="str">
        <f>IF('MASTER DATA'!A465="","",'MASTER DATA'!A465)</f>
        <v>SYN-CLM-0464</v>
      </c>
      <c r="B29" t="str">
        <f>IF('MASTER DATA'!B465="","",'MASTER DATA'!B465)</f>
        <v>Synthetic Claimant 0464</v>
      </c>
      <c r="C29" t="str">
        <f>IF('MASTER DATA'!C465="","",'MASTER DATA'!C465)</f>
        <v>Claims Analyst K</v>
      </c>
      <c r="D29" t="str">
        <f>IF('MASTER DATA'!D465="","",'MASTER DATA'!D465)</f>
        <v>Synthetic Policyholder 148, LLC</v>
      </c>
      <c r="E29" s="15">
        <f>IF('MASTER DATA'!E465="","",'MASTER DATA'!E465)</f>
        <v>44772</v>
      </c>
      <c r="F29" s="16" t="str">
        <f>IF('MASTER DATA'!F465="","",'MASTER DATA'!F465)</f>
        <v>Y</v>
      </c>
      <c r="G29" s="17">
        <f>IF('MASTER DATA'!G465="","",'MASTER DATA'!G465)</f>
        <v>159750</v>
      </c>
      <c r="H29" s="16" t="str">
        <f>IF('MASTER DATA'!H465="","",'MASTER DATA'!H465)</f>
        <v>Synthetic Approver 03</v>
      </c>
      <c r="I29" s="15">
        <f>IF('MASTER DATA'!I465="","",'MASTER DATA'!I465)</f>
        <v>45330</v>
      </c>
      <c r="J29" s="16" t="str">
        <f>IF('MASTER DATA'!J465="","",'MASTER DATA'!J465)</f>
        <v>N</v>
      </c>
      <c r="K29" s="15" t="str">
        <f>IF('MASTER DATA'!K465="","",'MASTER DATA'!K465)</f>
        <v/>
      </c>
      <c r="L29" s="16" t="str">
        <f>IF('MASTER DATA'!L465="","",'MASTER DATA'!L465)</f>
        <v>Y</v>
      </c>
      <c r="M29" s="16" t="str">
        <f>IF('MASTER DATA'!M465="","",'MASTER DATA'!M465)</f>
        <v>N</v>
      </c>
      <c r="N29" s="15" t="str">
        <f>IF('MASTER DATA'!N465="","",'MASTER DATA'!N465)</f>
        <v/>
      </c>
      <c r="O29" s="16" t="str">
        <f>IF('MASTER DATA'!O465="","",'MASTER DATA'!O465)</f>
        <v/>
      </c>
      <c r="P29" s="16" t="str">
        <f>IF('MASTER DATA'!P465="","",'MASTER DATA'!P465)</f>
        <v>N</v>
      </c>
      <c r="Q29" s="16" t="str">
        <f>IF('MASTER DATA'!Q465="","",'MASTER DATA'!Q465)</f>
        <v/>
      </c>
      <c r="R29" s="16" t="str">
        <f>IF('MASTER DATA'!R465="","",'MASTER DATA'!R465)</f>
        <v/>
      </c>
      <c r="S29" s="16" t="str">
        <f>IF('MASTER DATA'!S465="","",'MASTER DATA'!S465)</f>
        <v>N</v>
      </c>
      <c r="T29" s="15" t="str">
        <f>IF('MASTER DATA'!T465="","",'MASTER DATA'!T465)</f>
        <v/>
      </c>
      <c r="U29" s="16" t="str">
        <f>IF('MASTER DATA'!U465="","",'MASTER DATA'!U465)</f>
        <v>N</v>
      </c>
      <c r="V29" s="16" t="str">
        <f>IF('MASTER DATA'!V465="","",'MASTER DATA'!V465)</f>
        <v>N</v>
      </c>
      <c r="W29" s="16" t="str">
        <f>IF('MASTER DATA'!W465="","",'MASTER DATA'!W465)</f>
        <v>N</v>
      </c>
      <c r="X29" s="16" t="str">
        <f>IF('MASTER DATA'!X465="","",'MASTER DATA'!X465)</f>
        <v>N</v>
      </c>
      <c r="Y29" s="16" t="str">
        <f>IF('MASTER DATA'!Y465="","",'MASTER DATA'!Y465)</f>
        <v>N</v>
      </c>
      <c r="Z29" s="16" t="str">
        <f>IF('MASTER DATA'!Z465="","",'MASTER DATA'!Z465)</f>
        <v>N</v>
      </c>
      <c r="AA29" s="16">
        <f>IF('MASTER DATA'!AA465="","",'MASTER DATA'!AA465)</f>
        <v>1</v>
      </c>
      <c r="AB29" s="16" t="str">
        <f>IF('MASTER DATA'!AB465="","",'MASTER DATA'!AB465)</f>
        <v>SINGLE-SIGNAL</v>
      </c>
      <c r="AC29" s="16" t="str">
        <f>IF('MASTER DATA'!AC465="","",'MASTER DATA'!AC465)</f>
        <v>Settlement Authorization</v>
      </c>
    </row>
    <row r="30" spans="1:29" x14ac:dyDescent="0.45">
      <c r="A30" t="str">
        <f>IF('MASTER DATA'!A466="","",'MASTER DATA'!A466)</f>
        <v>SYN-CLM-0465</v>
      </c>
      <c r="B30" t="str">
        <f>IF('MASTER DATA'!B466="","",'MASTER DATA'!B466)</f>
        <v>Synthetic Claimant 0465</v>
      </c>
      <c r="C30" t="str">
        <f>IF('MASTER DATA'!C466="","",'MASTER DATA'!C466)</f>
        <v>Claims Analyst K</v>
      </c>
      <c r="D30" t="str">
        <f>IF('MASTER DATA'!D466="","",'MASTER DATA'!D466)</f>
        <v>Synthetic Policyholder 163, LLC</v>
      </c>
      <c r="E30" s="15">
        <f>IF('MASTER DATA'!E466="","",'MASTER DATA'!E466)</f>
        <v>43647</v>
      </c>
      <c r="F30" s="16" t="str">
        <f>IF('MASTER DATA'!F466="","",'MASTER DATA'!F466)</f>
        <v>N</v>
      </c>
      <c r="G30" s="17" t="str">
        <f>IF('MASTER DATA'!G466="","",'MASTER DATA'!G466)</f>
        <v/>
      </c>
      <c r="H30" s="16" t="str">
        <f>IF('MASTER DATA'!H466="","",'MASTER DATA'!H466)</f>
        <v/>
      </c>
      <c r="I30" s="15" t="str">
        <f>IF('MASTER DATA'!I466="","",'MASTER DATA'!I466)</f>
        <v/>
      </c>
      <c r="J30" s="16" t="str">
        <f>IF('MASTER DATA'!J466="","",'MASTER DATA'!J466)</f>
        <v>N</v>
      </c>
      <c r="K30" s="15" t="str">
        <f>IF('MASTER DATA'!K466="","",'MASTER DATA'!K466)</f>
        <v/>
      </c>
      <c r="L30" s="16" t="str">
        <f>IF('MASTER DATA'!L466="","",'MASTER DATA'!L466)</f>
        <v/>
      </c>
      <c r="M30" s="16" t="str">
        <f>IF('MASTER DATA'!M466="","",'MASTER DATA'!M466)</f>
        <v>N</v>
      </c>
      <c r="N30" s="15" t="str">
        <f>IF('MASTER DATA'!N466="","",'MASTER DATA'!N466)</f>
        <v/>
      </c>
      <c r="O30" s="16" t="str">
        <f>IF('MASTER DATA'!O466="","",'MASTER DATA'!O466)</f>
        <v/>
      </c>
      <c r="P30" s="16" t="str">
        <f>IF('MASTER DATA'!P466="","",'MASTER DATA'!P466)</f>
        <v>N</v>
      </c>
      <c r="Q30" s="16" t="str">
        <f>IF('MASTER DATA'!Q466="","",'MASTER DATA'!Q466)</f>
        <v/>
      </c>
      <c r="R30" s="16" t="str">
        <f>IF('MASTER DATA'!R466="","",'MASTER DATA'!R466)</f>
        <v/>
      </c>
      <c r="S30" s="16" t="str">
        <f>IF('MASTER DATA'!S466="","",'MASTER DATA'!S466)</f>
        <v>Y</v>
      </c>
      <c r="T30" s="15">
        <f>IF('MASTER DATA'!T466="","",'MASTER DATA'!T466)</f>
        <v>44107</v>
      </c>
      <c r="U30" s="16" t="str">
        <f>IF('MASTER DATA'!U466="","",'MASTER DATA'!U466)</f>
        <v>N</v>
      </c>
      <c r="V30" s="16" t="str">
        <f>IF('MASTER DATA'!V466="","",'MASTER DATA'!V466)</f>
        <v>N</v>
      </c>
      <c r="W30" s="16" t="str">
        <f>IF('MASTER DATA'!W466="","",'MASTER DATA'!W466)</f>
        <v>N</v>
      </c>
      <c r="X30" s="16" t="str">
        <f>IF('MASTER DATA'!X466="","",'MASTER DATA'!X466)</f>
        <v>N</v>
      </c>
      <c r="Y30" s="16" t="str">
        <f>IF('MASTER DATA'!Y466="","",'MASTER DATA'!Y466)</f>
        <v>N</v>
      </c>
      <c r="Z30" s="16" t="str">
        <f>IF('MASTER DATA'!Z466="","",'MASTER DATA'!Z466)</f>
        <v>N</v>
      </c>
      <c r="AA30" s="16">
        <f>IF('MASTER DATA'!AA466="","",'MASTER DATA'!AA466)</f>
        <v>1</v>
      </c>
      <c r="AB30" s="16" t="str">
        <f>IF('MASTER DATA'!AB466="","",'MASTER DATA'!AB466)</f>
        <v>SINGLE-SIGNAL</v>
      </c>
      <c r="AC30" s="16" t="str">
        <f>IF('MASTER DATA'!AC466="","",'MASTER DATA'!AC466)</f>
        <v>Inactive Customer</v>
      </c>
    </row>
    <row r="31" spans="1:29" x14ac:dyDescent="0.45">
      <c r="A31" t="str">
        <f>IF('MASTER DATA'!A467="","",'MASTER DATA'!A467)</f>
        <v>SYN-CLM-0466</v>
      </c>
      <c r="B31" t="str">
        <f>IF('MASTER DATA'!B467="","",'MASTER DATA'!B467)</f>
        <v>Synthetic Claimant 0466</v>
      </c>
      <c r="C31" t="str">
        <f>IF('MASTER DATA'!C467="","",'MASTER DATA'!C467)</f>
        <v>Claims Analyst K</v>
      </c>
      <c r="D31" t="str">
        <f>IF('MASTER DATA'!D467="","",'MASTER DATA'!D467)</f>
        <v>Synthetic Policyholder 104, LLC</v>
      </c>
      <c r="E31" s="15">
        <f>IF('MASTER DATA'!E467="","",'MASTER DATA'!E467)</f>
        <v>43455</v>
      </c>
      <c r="F31" s="16" t="str">
        <f>IF('MASTER DATA'!F467="","",'MASTER DATA'!F467)</f>
        <v>N</v>
      </c>
      <c r="G31" s="17" t="str">
        <f>IF('MASTER DATA'!G467="","",'MASTER DATA'!G467)</f>
        <v/>
      </c>
      <c r="H31" s="16" t="str">
        <f>IF('MASTER DATA'!H467="","",'MASTER DATA'!H467)</f>
        <v/>
      </c>
      <c r="I31" s="15" t="str">
        <f>IF('MASTER DATA'!I467="","",'MASTER DATA'!I467)</f>
        <v/>
      </c>
      <c r="J31" s="16" t="str">
        <f>IF('MASTER DATA'!J467="","",'MASTER DATA'!J467)</f>
        <v>N</v>
      </c>
      <c r="K31" s="15" t="str">
        <f>IF('MASTER DATA'!K467="","",'MASTER DATA'!K467)</f>
        <v/>
      </c>
      <c r="L31" s="16" t="str">
        <f>IF('MASTER DATA'!L467="","",'MASTER DATA'!L467)</f>
        <v/>
      </c>
      <c r="M31" s="16" t="str">
        <f>IF('MASTER DATA'!M467="","",'MASTER DATA'!M467)</f>
        <v>N</v>
      </c>
      <c r="N31" s="15" t="str">
        <f>IF('MASTER DATA'!N467="","",'MASTER DATA'!N467)</f>
        <v/>
      </c>
      <c r="O31" s="16" t="str">
        <f>IF('MASTER DATA'!O467="","",'MASTER DATA'!O467)</f>
        <v/>
      </c>
      <c r="P31" s="16" t="str">
        <f>IF('MASTER DATA'!P467="","",'MASTER DATA'!P467)</f>
        <v>Y</v>
      </c>
      <c r="Q31" s="16" t="str">
        <f>IF('MASTER DATA'!Q467="","",'MASTER DATA'!Q467)</f>
        <v>Denied Treatment Requests; MSA Eligible in Next 3 Years</v>
      </c>
      <c r="R31" s="16" t="str">
        <f>IF('MASTER DATA'!R467="","",'MASTER DATA'!R467)</f>
        <v>Non-Renewed Account; Surgery Requested</v>
      </c>
      <c r="S31" s="16" t="str">
        <f>IF('MASTER DATA'!S467="","",'MASTER DATA'!S467)</f>
        <v>Y</v>
      </c>
      <c r="T31" s="15">
        <f>IF('MASTER DATA'!T467="","",'MASTER DATA'!T467)</f>
        <v>44971</v>
      </c>
      <c r="U31" s="16" t="str">
        <f>IF('MASTER DATA'!U467="","",'MASTER DATA'!U467)</f>
        <v>Y</v>
      </c>
      <c r="V31" s="16" t="str">
        <f>IF('MASTER DATA'!V467="","",'MASTER DATA'!V467)</f>
        <v>N</v>
      </c>
      <c r="W31" s="16" t="str">
        <f>IF('MASTER DATA'!W467="","",'MASTER DATA'!W467)</f>
        <v>Y</v>
      </c>
      <c r="X31" s="16" t="str">
        <f>IF('MASTER DATA'!X467="","",'MASTER DATA'!X467)</f>
        <v>N</v>
      </c>
      <c r="Y31" s="16" t="str">
        <f>IF('MASTER DATA'!Y467="","",'MASTER DATA'!Y467)</f>
        <v>Y</v>
      </c>
      <c r="Z31" s="16" t="str">
        <f>IF('MASTER DATA'!Z467="","",'MASTER DATA'!Z467)</f>
        <v>Y</v>
      </c>
      <c r="AA31" s="16">
        <f>IF('MASTER DATA'!AA467="","",'MASTER DATA'!AA467)</f>
        <v>2</v>
      </c>
      <c r="AB31" s="16" t="str">
        <f>IF('MASTER DATA'!AB467="","",'MASTER DATA'!AB467)</f>
        <v>MULTI-SIGNAL</v>
      </c>
      <c r="AC31" s="16" t="str">
        <f>IF('MASTER DATA'!AC467="","",'MASTER DATA'!AC467)</f>
        <v>Automated Claim Alert | Inactive Customer</v>
      </c>
    </row>
    <row r="32" spans="1:29" x14ac:dyDescent="0.45">
      <c r="A32" t="str">
        <f>IF('MASTER DATA'!A468="","",'MASTER DATA'!A468)</f>
        <v>SYN-CLM-0467</v>
      </c>
      <c r="B32" t="str">
        <f>IF('MASTER DATA'!B468="","",'MASTER DATA'!B468)</f>
        <v>Synthetic Claimant 0467</v>
      </c>
      <c r="C32" t="str">
        <f>IF('MASTER DATA'!C468="","",'MASTER DATA'!C468)</f>
        <v>Claims Analyst K</v>
      </c>
      <c r="D32" t="str">
        <f>IF('MASTER DATA'!D468="","",'MASTER DATA'!D468)</f>
        <v>Synthetic Policyholder 040, LLC</v>
      </c>
      <c r="E32" s="15">
        <f>IF('MASTER DATA'!E468="","",'MASTER DATA'!E468)</f>
        <v>43287</v>
      </c>
      <c r="F32" s="16" t="str">
        <f>IF('MASTER DATA'!F468="","",'MASTER DATA'!F468)</f>
        <v>Y</v>
      </c>
      <c r="G32" s="17">
        <f>IF('MASTER DATA'!G468="","",'MASTER DATA'!G468)</f>
        <v>110500</v>
      </c>
      <c r="H32" s="16" t="str">
        <f>IF('MASTER DATA'!H468="","",'MASTER DATA'!H468)</f>
        <v>Synthetic Approver 07</v>
      </c>
      <c r="I32" s="15">
        <f>IF('MASTER DATA'!I468="","",'MASTER DATA'!I468)</f>
        <v>44579</v>
      </c>
      <c r="J32" s="16" t="str">
        <f>IF('MASTER DATA'!J468="","",'MASTER DATA'!J468)</f>
        <v>N</v>
      </c>
      <c r="K32" s="15" t="str">
        <f>IF('MASTER DATA'!K468="","",'MASTER DATA'!K468)</f>
        <v/>
      </c>
      <c r="L32" s="16" t="str">
        <f>IF('MASTER DATA'!L468="","",'MASTER DATA'!L468)</f>
        <v>N</v>
      </c>
      <c r="M32" s="16" t="str">
        <f>IF('MASTER DATA'!M468="","",'MASTER DATA'!M468)</f>
        <v>N</v>
      </c>
      <c r="N32" s="15" t="str">
        <f>IF('MASTER DATA'!N468="","",'MASTER DATA'!N468)</f>
        <v/>
      </c>
      <c r="O32" s="16" t="str">
        <f>IF('MASTER DATA'!O468="","",'MASTER DATA'!O468)</f>
        <v/>
      </c>
      <c r="P32" s="16" t="str">
        <f>IF('MASTER DATA'!P468="","",'MASTER DATA'!P468)</f>
        <v>N</v>
      </c>
      <c r="Q32" s="16" t="str">
        <f>IF('MASTER DATA'!Q468="","",'MASTER DATA'!Q468)</f>
        <v/>
      </c>
      <c r="R32" s="16" t="str">
        <f>IF('MASTER DATA'!R468="","",'MASTER DATA'!R468)</f>
        <v/>
      </c>
      <c r="S32" s="16" t="str">
        <f>IF('MASTER DATA'!S468="","",'MASTER DATA'!S468)</f>
        <v>N</v>
      </c>
      <c r="T32" s="15" t="str">
        <f>IF('MASTER DATA'!T468="","",'MASTER DATA'!T468)</f>
        <v/>
      </c>
      <c r="U32" s="16" t="str">
        <f>IF('MASTER DATA'!U468="","",'MASTER DATA'!U468)</f>
        <v>N</v>
      </c>
      <c r="V32" s="16" t="str">
        <f>IF('MASTER DATA'!V468="","",'MASTER DATA'!V468)</f>
        <v>N</v>
      </c>
      <c r="W32" s="16" t="str">
        <f>IF('MASTER DATA'!W468="","",'MASTER DATA'!W468)</f>
        <v>N</v>
      </c>
      <c r="X32" s="16" t="str">
        <f>IF('MASTER DATA'!X468="","",'MASTER DATA'!X468)</f>
        <v>N</v>
      </c>
      <c r="Y32" s="16" t="str">
        <f>IF('MASTER DATA'!Y468="","",'MASTER DATA'!Y468)</f>
        <v>N</v>
      </c>
      <c r="Z32" s="16" t="str">
        <f>IF('MASTER DATA'!Z468="","",'MASTER DATA'!Z468)</f>
        <v>N</v>
      </c>
      <c r="AA32" s="16">
        <f>IF('MASTER DATA'!AA468="","",'MASTER DATA'!AA468)</f>
        <v>1</v>
      </c>
      <c r="AB32" s="16" t="str">
        <f>IF('MASTER DATA'!AB468="","",'MASTER DATA'!AB468)</f>
        <v>SINGLE-SIGNAL</v>
      </c>
      <c r="AC32" s="16" t="str">
        <f>IF('MASTER DATA'!AC468="","",'MASTER DATA'!AC468)</f>
        <v>Settlement Authorization</v>
      </c>
    </row>
    <row r="33" spans="1:29" x14ac:dyDescent="0.45">
      <c r="A33" t="str">
        <f>IF('MASTER DATA'!A469="","",'MASTER DATA'!A469)</f>
        <v>SYN-CLM-0468</v>
      </c>
      <c r="B33" t="str">
        <f>IF('MASTER DATA'!B469="","",'MASTER DATA'!B469)</f>
        <v>Synthetic Claimant 0468</v>
      </c>
      <c r="C33" t="str">
        <f>IF('MASTER DATA'!C469="","",'MASTER DATA'!C469)</f>
        <v>Claims Analyst K</v>
      </c>
      <c r="D33" t="str">
        <f>IF('MASTER DATA'!D469="","",'MASTER DATA'!D469)</f>
        <v>Synthetic Policyholder 072, LLC</v>
      </c>
      <c r="E33" s="15">
        <f>IF('MASTER DATA'!E469="","",'MASTER DATA'!E469)</f>
        <v>44693</v>
      </c>
      <c r="F33" s="16" t="str">
        <f>IF('MASTER DATA'!F469="","",'MASTER DATA'!F469)</f>
        <v>Y</v>
      </c>
      <c r="G33" s="17">
        <f>IF('MASTER DATA'!G469="","",'MASTER DATA'!G469)</f>
        <v>160750</v>
      </c>
      <c r="H33" s="16" t="str">
        <f>IF('MASTER DATA'!H469="","",'MASTER DATA'!H469)</f>
        <v>Synthetic Approver 07</v>
      </c>
      <c r="I33" s="15">
        <f>IF('MASTER DATA'!I469="","",'MASTER DATA'!I469)</f>
        <v>46089</v>
      </c>
      <c r="J33" s="16" t="str">
        <f>IF('MASTER DATA'!J469="","",'MASTER DATA'!J469)</f>
        <v>N</v>
      </c>
      <c r="K33" s="15" t="str">
        <f>IF('MASTER DATA'!K469="","",'MASTER DATA'!K469)</f>
        <v/>
      </c>
      <c r="L33" s="16" t="str">
        <f>IF('MASTER DATA'!L469="","",'MASTER DATA'!L469)</f>
        <v>Y</v>
      </c>
      <c r="M33" s="16" t="str">
        <f>IF('MASTER DATA'!M469="","",'MASTER DATA'!M469)</f>
        <v>N</v>
      </c>
      <c r="N33" s="15" t="str">
        <f>IF('MASTER DATA'!N469="","",'MASTER DATA'!N469)</f>
        <v/>
      </c>
      <c r="O33" s="16" t="str">
        <f>IF('MASTER DATA'!O469="","",'MASTER DATA'!O469)</f>
        <v/>
      </c>
      <c r="P33" s="16" t="str">
        <f>IF('MASTER DATA'!P469="","",'MASTER DATA'!P469)</f>
        <v>N</v>
      </c>
      <c r="Q33" s="16" t="str">
        <f>IF('MASTER DATA'!Q469="","",'MASTER DATA'!Q469)</f>
        <v/>
      </c>
      <c r="R33" s="16" t="str">
        <f>IF('MASTER DATA'!R469="","",'MASTER DATA'!R469)</f>
        <v/>
      </c>
      <c r="S33" s="16" t="str">
        <f>IF('MASTER DATA'!S469="","",'MASTER DATA'!S469)</f>
        <v>N</v>
      </c>
      <c r="T33" s="15" t="str">
        <f>IF('MASTER DATA'!T469="","",'MASTER DATA'!T469)</f>
        <v/>
      </c>
      <c r="U33" s="16" t="str">
        <f>IF('MASTER DATA'!U469="","",'MASTER DATA'!U469)</f>
        <v>N</v>
      </c>
      <c r="V33" s="16" t="str">
        <f>IF('MASTER DATA'!V469="","",'MASTER DATA'!V469)</f>
        <v>N</v>
      </c>
      <c r="W33" s="16" t="str">
        <f>IF('MASTER DATA'!W469="","",'MASTER DATA'!W469)</f>
        <v>N</v>
      </c>
      <c r="X33" s="16" t="str">
        <f>IF('MASTER DATA'!X469="","",'MASTER DATA'!X469)</f>
        <v>N</v>
      </c>
      <c r="Y33" s="16" t="str">
        <f>IF('MASTER DATA'!Y469="","",'MASTER DATA'!Y469)</f>
        <v>N</v>
      </c>
      <c r="Z33" s="16" t="str">
        <f>IF('MASTER DATA'!Z469="","",'MASTER DATA'!Z469)</f>
        <v>N</v>
      </c>
      <c r="AA33" s="16">
        <f>IF('MASTER DATA'!AA469="","",'MASTER DATA'!AA469)</f>
        <v>1</v>
      </c>
      <c r="AB33" s="16" t="str">
        <f>IF('MASTER DATA'!AB469="","",'MASTER DATA'!AB469)</f>
        <v>SINGLE-SIGNAL</v>
      </c>
      <c r="AC33" s="16" t="str">
        <f>IF('MASTER DATA'!AC469="","",'MASTER DATA'!AC469)</f>
        <v>Settlement Authorization</v>
      </c>
    </row>
    <row r="34" spans="1:29" x14ac:dyDescent="0.45">
      <c r="A34" t="str">
        <f>IF('MASTER DATA'!A470="","",'MASTER DATA'!A470)</f>
        <v>SYN-CLM-0469</v>
      </c>
      <c r="B34" t="str">
        <f>IF('MASTER DATA'!B470="","",'MASTER DATA'!B470)</f>
        <v>Synthetic Claimant 0469</v>
      </c>
      <c r="C34" t="str">
        <f>IF('MASTER DATA'!C470="","",'MASTER DATA'!C470)</f>
        <v>Claims Analyst K</v>
      </c>
      <c r="D34" t="str">
        <f>IF('MASTER DATA'!D470="","",'MASTER DATA'!D470)</f>
        <v>Synthetic Policyholder 148, LLC</v>
      </c>
      <c r="E34" s="15">
        <f>IF('MASTER DATA'!E470="","",'MASTER DATA'!E470)</f>
        <v>44030</v>
      </c>
      <c r="F34" s="16" t="str">
        <f>IF('MASTER DATA'!F470="","",'MASTER DATA'!F470)</f>
        <v>N</v>
      </c>
      <c r="G34" s="17" t="str">
        <f>IF('MASTER DATA'!G470="","",'MASTER DATA'!G470)</f>
        <v/>
      </c>
      <c r="H34" s="16" t="str">
        <f>IF('MASTER DATA'!H470="","",'MASTER DATA'!H470)</f>
        <v/>
      </c>
      <c r="I34" s="15" t="str">
        <f>IF('MASTER DATA'!I470="","",'MASTER DATA'!I470)</f>
        <v/>
      </c>
      <c r="J34" s="16" t="str">
        <f>IF('MASTER DATA'!J470="","",'MASTER DATA'!J470)</f>
        <v>N</v>
      </c>
      <c r="K34" s="15" t="str">
        <f>IF('MASTER DATA'!K470="","",'MASTER DATA'!K470)</f>
        <v/>
      </c>
      <c r="L34" s="16" t="str">
        <f>IF('MASTER DATA'!L470="","",'MASTER DATA'!L470)</f>
        <v/>
      </c>
      <c r="M34" s="16" t="str">
        <f>IF('MASTER DATA'!M470="","",'MASTER DATA'!M470)</f>
        <v>N</v>
      </c>
      <c r="N34" s="15" t="str">
        <f>IF('MASTER DATA'!N470="","",'MASTER DATA'!N470)</f>
        <v/>
      </c>
      <c r="O34" s="16" t="str">
        <f>IF('MASTER DATA'!O470="","",'MASTER DATA'!O470)</f>
        <v/>
      </c>
      <c r="P34" s="16" t="str">
        <f>IF('MASTER DATA'!P470="","",'MASTER DATA'!P470)</f>
        <v>N</v>
      </c>
      <c r="Q34" s="16" t="str">
        <f>IF('MASTER DATA'!Q470="","",'MASTER DATA'!Q470)</f>
        <v/>
      </c>
      <c r="R34" s="16" t="str">
        <f>IF('MASTER DATA'!R470="","",'MASTER DATA'!R470)</f>
        <v/>
      </c>
      <c r="S34" s="16" t="str">
        <f>IF('MASTER DATA'!S470="","",'MASTER DATA'!S470)</f>
        <v>Y</v>
      </c>
      <c r="T34" s="15">
        <f>IF('MASTER DATA'!T470="","",'MASTER DATA'!T470)</f>
        <v>44520</v>
      </c>
      <c r="U34" s="16" t="str">
        <f>IF('MASTER DATA'!U470="","",'MASTER DATA'!U470)</f>
        <v>N</v>
      </c>
      <c r="V34" s="16" t="str">
        <f>IF('MASTER DATA'!V470="","",'MASTER DATA'!V470)</f>
        <v>N</v>
      </c>
      <c r="W34" s="16" t="str">
        <f>IF('MASTER DATA'!W470="","",'MASTER DATA'!W470)</f>
        <v>N</v>
      </c>
      <c r="X34" s="16" t="str">
        <f>IF('MASTER DATA'!X470="","",'MASTER DATA'!X470)</f>
        <v>N</v>
      </c>
      <c r="Y34" s="16" t="str">
        <f>IF('MASTER DATA'!Y470="","",'MASTER DATA'!Y470)</f>
        <v>N</v>
      </c>
      <c r="Z34" s="16" t="str">
        <f>IF('MASTER DATA'!Z470="","",'MASTER DATA'!Z470)</f>
        <v>N</v>
      </c>
      <c r="AA34" s="16">
        <f>IF('MASTER DATA'!AA470="","",'MASTER DATA'!AA470)</f>
        <v>1</v>
      </c>
      <c r="AB34" s="16" t="str">
        <f>IF('MASTER DATA'!AB470="","",'MASTER DATA'!AB470)</f>
        <v>SINGLE-SIGNAL</v>
      </c>
      <c r="AC34" s="16" t="str">
        <f>IF('MASTER DATA'!AC470="","",'MASTER DATA'!AC470)</f>
        <v>Inactive Customer</v>
      </c>
    </row>
    <row r="35" spans="1:29" x14ac:dyDescent="0.45">
      <c r="A35" t="str">
        <f>IF('MASTER DATA'!A471="","",'MASTER DATA'!A471)</f>
        <v>SYN-CLM-0470</v>
      </c>
      <c r="B35" t="str">
        <f>IF('MASTER DATA'!B471="","",'MASTER DATA'!B471)</f>
        <v>Synthetic Claimant 0470</v>
      </c>
      <c r="C35" t="str">
        <f>IF('MASTER DATA'!C471="","",'MASTER DATA'!C471)</f>
        <v>Claims Analyst K</v>
      </c>
      <c r="D35" t="str">
        <f>IF('MASTER DATA'!D471="","",'MASTER DATA'!D471)</f>
        <v>Synthetic Policyholder 102, LLC</v>
      </c>
      <c r="E35" s="15">
        <f>IF('MASTER DATA'!E471="","",'MASTER DATA'!E471)</f>
        <v>43826</v>
      </c>
      <c r="F35" s="16" t="str">
        <f>IF('MASTER DATA'!F471="","",'MASTER DATA'!F471)</f>
        <v>N</v>
      </c>
      <c r="G35" s="17" t="str">
        <f>IF('MASTER DATA'!G471="","",'MASTER DATA'!G471)</f>
        <v/>
      </c>
      <c r="H35" s="16" t="str">
        <f>IF('MASTER DATA'!H471="","",'MASTER DATA'!H471)</f>
        <v/>
      </c>
      <c r="I35" s="15" t="str">
        <f>IF('MASTER DATA'!I471="","",'MASTER DATA'!I471)</f>
        <v/>
      </c>
      <c r="J35" s="16" t="str">
        <f>IF('MASTER DATA'!J471="","",'MASTER DATA'!J471)</f>
        <v>Y</v>
      </c>
      <c r="K35" s="15">
        <f>IF('MASTER DATA'!K471="","",'MASTER DATA'!K471)</f>
        <v>43900</v>
      </c>
      <c r="L35" s="16" t="str">
        <f>IF('MASTER DATA'!L471="","",'MASTER DATA'!L471)</f>
        <v>Y</v>
      </c>
      <c r="M35" s="16" t="str">
        <f>IF('MASTER DATA'!M471="","",'MASTER DATA'!M471)</f>
        <v>N</v>
      </c>
      <c r="N35" s="15" t="str">
        <f>IF('MASTER DATA'!N471="","",'MASTER DATA'!N471)</f>
        <v/>
      </c>
      <c r="O35" s="16" t="str">
        <f>IF('MASTER DATA'!O471="","",'MASTER DATA'!O471)</f>
        <v/>
      </c>
      <c r="P35" s="16" t="str">
        <f>IF('MASTER DATA'!P471="","",'MASTER DATA'!P471)</f>
        <v>Y</v>
      </c>
      <c r="Q35" s="16" t="str">
        <f>IF('MASTER DATA'!Q471="","",'MASTER DATA'!Q471)</f>
        <v>Non-Renewed Account</v>
      </c>
      <c r="R35" s="16" t="str">
        <f>IF('MASTER DATA'!R471="","",'MASTER DATA'!R471)</f>
        <v>Denied Treatment Requests; Specialist Consultation Requested</v>
      </c>
      <c r="S35" s="16" t="str">
        <f>IF('MASTER DATA'!S471="","",'MASTER DATA'!S471)</f>
        <v>Y</v>
      </c>
      <c r="T35" s="15">
        <f>IF('MASTER DATA'!T471="","",'MASTER DATA'!T471)</f>
        <v>45623</v>
      </c>
      <c r="U35" s="16" t="str">
        <f>IF('MASTER DATA'!U471="","",'MASTER DATA'!U471)</f>
        <v>N</v>
      </c>
      <c r="V35" s="16" t="str">
        <f>IF('MASTER DATA'!V471="","",'MASTER DATA'!V471)</f>
        <v>N</v>
      </c>
      <c r="W35" s="16" t="str">
        <f>IF('MASTER DATA'!W471="","",'MASTER DATA'!W471)</f>
        <v>Y</v>
      </c>
      <c r="X35" s="16" t="str">
        <f>IF('MASTER DATA'!X471="","",'MASTER DATA'!X471)</f>
        <v>Y</v>
      </c>
      <c r="Y35" s="16" t="str">
        <f>IF('MASTER DATA'!Y471="","",'MASTER DATA'!Y471)</f>
        <v>Y</v>
      </c>
      <c r="Z35" s="16" t="str">
        <f>IF('MASTER DATA'!Z471="","",'MASTER DATA'!Z471)</f>
        <v>N</v>
      </c>
      <c r="AA35" s="16">
        <f>IF('MASTER DATA'!AA471="","",'MASTER DATA'!AA471)</f>
        <v>3</v>
      </c>
      <c r="AB35" s="16" t="str">
        <f>IF('MASTER DATA'!AB471="","",'MASTER DATA'!AB471)</f>
        <v>ELEVATED MULTI-SIGNAL</v>
      </c>
      <c r="AC35" s="16" t="str">
        <f>IF('MASTER DATA'!AC471="","",'MASTER DATA'!AC471)</f>
        <v>Open Stipulation | Automated Claim Alert | Inactive Customer</v>
      </c>
    </row>
    <row r="36" spans="1:29" x14ac:dyDescent="0.45">
      <c r="A36" t="str">
        <f>IF('MASTER DATA'!A472="","",'MASTER DATA'!A472)</f>
        <v>SYN-CLM-0471</v>
      </c>
      <c r="B36" t="str">
        <f>IF('MASTER DATA'!B472="","",'MASTER DATA'!B472)</f>
        <v>Synthetic Claimant 0471</v>
      </c>
      <c r="C36" t="str">
        <f>IF('MASTER DATA'!C472="","",'MASTER DATA'!C472)</f>
        <v>Claims Analyst K</v>
      </c>
      <c r="D36" t="str">
        <f>IF('MASTER DATA'!D472="","",'MASTER DATA'!D472)</f>
        <v>Synthetic Policyholder 164, LLC</v>
      </c>
      <c r="E36" s="15">
        <f>IF('MASTER DATA'!E472="","",'MASTER DATA'!E472)</f>
        <v>44721</v>
      </c>
      <c r="F36" s="16" t="str">
        <f>IF('MASTER DATA'!F472="","",'MASTER DATA'!F472)</f>
        <v>Y</v>
      </c>
      <c r="G36" s="17">
        <f>IF('MASTER DATA'!G472="","",'MASTER DATA'!G472)</f>
        <v>18500</v>
      </c>
      <c r="H36" s="16" t="str">
        <f>IF('MASTER DATA'!H472="","",'MASTER DATA'!H472)</f>
        <v>Synthetic Approver 03</v>
      </c>
      <c r="I36" s="15">
        <f>IF('MASTER DATA'!I472="","",'MASTER DATA'!I472)</f>
        <v>45682</v>
      </c>
      <c r="J36" s="16" t="str">
        <f>IF('MASTER DATA'!J472="","",'MASTER DATA'!J472)</f>
        <v>Y</v>
      </c>
      <c r="K36" s="15">
        <f>IF('MASTER DATA'!K472="","",'MASTER DATA'!K472)</f>
        <v>45089</v>
      </c>
      <c r="L36" s="16" t="str">
        <f>IF('MASTER DATA'!L472="","",'MASTER DATA'!L472)</f>
        <v>N</v>
      </c>
      <c r="M36" s="16" t="str">
        <f>IF('MASTER DATA'!M472="","",'MASTER DATA'!M472)</f>
        <v>N</v>
      </c>
      <c r="N36" s="15" t="str">
        <f>IF('MASTER DATA'!N472="","",'MASTER DATA'!N472)</f>
        <v/>
      </c>
      <c r="O36" s="16" t="str">
        <f>IF('MASTER DATA'!O472="","",'MASTER DATA'!O472)</f>
        <v/>
      </c>
      <c r="P36" s="16" t="str">
        <f>IF('MASTER DATA'!P472="","",'MASTER DATA'!P472)</f>
        <v>N</v>
      </c>
      <c r="Q36" s="16" t="str">
        <f>IF('MASTER DATA'!Q472="","",'MASTER DATA'!Q472)</f>
        <v/>
      </c>
      <c r="R36" s="16" t="str">
        <f>IF('MASTER DATA'!R472="","",'MASTER DATA'!R472)</f>
        <v/>
      </c>
      <c r="S36" s="16" t="str">
        <f>IF('MASTER DATA'!S472="","",'MASTER DATA'!S472)</f>
        <v>N</v>
      </c>
      <c r="T36" s="15" t="str">
        <f>IF('MASTER DATA'!T472="","",'MASTER DATA'!T472)</f>
        <v/>
      </c>
      <c r="U36" s="16" t="str">
        <f>IF('MASTER DATA'!U472="","",'MASTER DATA'!U472)</f>
        <v>N</v>
      </c>
      <c r="V36" s="16" t="str">
        <f>IF('MASTER DATA'!V472="","",'MASTER DATA'!V472)</f>
        <v>N</v>
      </c>
      <c r="W36" s="16" t="str">
        <f>IF('MASTER DATA'!W472="","",'MASTER DATA'!W472)</f>
        <v>N</v>
      </c>
      <c r="X36" s="16" t="str">
        <f>IF('MASTER DATA'!X472="","",'MASTER DATA'!X472)</f>
        <v>N</v>
      </c>
      <c r="Y36" s="16" t="str">
        <f>IF('MASTER DATA'!Y472="","",'MASTER DATA'!Y472)</f>
        <v>N</v>
      </c>
      <c r="Z36" s="16" t="str">
        <f>IF('MASTER DATA'!Z472="","",'MASTER DATA'!Z472)</f>
        <v>N</v>
      </c>
      <c r="AA36" s="16">
        <f>IF('MASTER DATA'!AA472="","",'MASTER DATA'!AA472)</f>
        <v>2</v>
      </c>
      <c r="AB36" s="16" t="str">
        <f>IF('MASTER DATA'!AB472="","",'MASTER DATA'!AB472)</f>
        <v>MULTI-SIGNAL</v>
      </c>
      <c r="AC36" s="16" t="str">
        <f>IF('MASTER DATA'!AC472="","",'MASTER DATA'!AC472)</f>
        <v>Settlement Authorization | Open Stipulation</v>
      </c>
    </row>
    <row r="37" spans="1:29" x14ac:dyDescent="0.45">
      <c r="A37" t="str">
        <f>IF('MASTER DATA'!A473="","",'MASTER DATA'!A473)</f>
        <v>SYN-CLM-0472</v>
      </c>
      <c r="B37" t="str">
        <f>IF('MASTER DATA'!B473="","",'MASTER DATA'!B473)</f>
        <v>Synthetic Claimant 0472</v>
      </c>
      <c r="C37" t="str">
        <f>IF('MASTER DATA'!C473="","",'MASTER DATA'!C473)</f>
        <v>Claims Analyst K</v>
      </c>
      <c r="D37" t="str">
        <f>IF('MASTER DATA'!D473="","",'MASTER DATA'!D473)</f>
        <v>Synthetic Policyholder 106, LLC</v>
      </c>
      <c r="E37" s="15">
        <f>IF('MASTER DATA'!E473="","",'MASTER DATA'!E473)</f>
        <v>44198</v>
      </c>
      <c r="F37" s="16" t="str">
        <f>IF('MASTER DATA'!F473="","",'MASTER DATA'!F473)</f>
        <v>Y</v>
      </c>
      <c r="G37" s="17">
        <f>IF('MASTER DATA'!G473="","",'MASTER DATA'!G473)</f>
        <v>5500</v>
      </c>
      <c r="H37" s="16" t="str">
        <f>IF('MASTER DATA'!H473="","",'MASTER DATA'!H473)</f>
        <v>Synthetic Approver 04</v>
      </c>
      <c r="I37" s="15">
        <f>IF('MASTER DATA'!I473="","",'MASTER DATA'!I473)</f>
        <v>45863</v>
      </c>
      <c r="J37" s="16" t="str">
        <f>IF('MASTER DATA'!J473="","",'MASTER DATA'!J473)</f>
        <v>Y</v>
      </c>
      <c r="K37" s="15">
        <f>IF('MASTER DATA'!K473="","",'MASTER DATA'!K473)</f>
        <v>45045</v>
      </c>
      <c r="L37" s="16" t="str">
        <f>IF('MASTER DATA'!L473="","",'MASTER DATA'!L473)</f>
        <v>N</v>
      </c>
      <c r="M37" s="16" t="str">
        <f>IF('MASTER DATA'!M473="","",'MASTER DATA'!M473)</f>
        <v>N</v>
      </c>
      <c r="N37" s="15" t="str">
        <f>IF('MASTER DATA'!N473="","",'MASTER DATA'!N473)</f>
        <v/>
      </c>
      <c r="O37" s="16" t="str">
        <f>IF('MASTER DATA'!O473="","",'MASTER DATA'!O473)</f>
        <v/>
      </c>
      <c r="P37" s="16" t="str">
        <f>IF('MASTER DATA'!P473="","",'MASTER DATA'!P473)</f>
        <v>N</v>
      </c>
      <c r="Q37" s="16" t="str">
        <f>IF('MASTER DATA'!Q473="","",'MASTER DATA'!Q473)</f>
        <v/>
      </c>
      <c r="R37" s="16" t="str">
        <f>IF('MASTER DATA'!R473="","",'MASTER DATA'!R473)</f>
        <v/>
      </c>
      <c r="S37" s="16" t="str">
        <f>IF('MASTER DATA'!S473="","",'MASTER DATA'!S473)</f>
        <v>N</v>
      </c>
      <c r="T37" s="15" t="str">
        <f>IF('MASTER DATA'!T473="","",'MASTER DATA'!T473)</f>
        <v/>
      </c>
      <c r="U37" s="16" t="str">
        <f>IF('MASTER DATA'!U473="","",'MASTER DATA'!U473)</f>
        <v>N</v>
      </c>
      <c r="V37" s="16" t="str">
        <f>IF('MASTER DATA'!V473="","",'MASTER DATA'!V473)</f>
        <v>N</v>
      </c>
      <c r="W37" s="16" t="str">
        <f>IF('MASTER DATA'!W473="","",'MASTER DATA'!W473)</f>
        <v>N</v>
      </c>
      <c r="X37" s="16" t="str">
        <f>IF('MASTER DATA'!X473="","",'MASTER DATA'!X473)</f>
        <v>N</v>
      </c>
      <c r="Y37" s="16" t="str">
        <f>IF('MASTER DATA'!Y473="","",'MASTER DATA'!Y473)</f>
        <v>N</v>
      </c>
      <c r="Z37" s="16" t="str">
        <f>IF('MASTER DATA'!Z473="","",'MASTER DATA'!Z473)</f>
        <v>N</v>
      </c>
      <c r="AA37" s="16">
        <f>IF('MASTER DATA'!AA473="","",'MASTER DATA'!AA473)</f>
        <v>2</v>
      </c>
      <c r="AB37" s="16" t="str">
        <f>IF('MASTER DATA'!AB473="","",'MASTER DATA'!AB473)</f>
        <v>MULTI-SIGNAL</v>
      </c>
      <c r="AC37" s="16" t="str">
        <f>IF('MASTER DATA'!AC473="","",'MASTER DATA'!AC473)</f>
        <v>Settlement Authorization | Open Stipulation</v>
      </c>
    </row>
    <row r="38" spans="1:29" x14ac:dyDescent="0.45">
      <c r="A38" t="str">
        <f>IF('MASTER DATA'!A474="","",'MASTER DATA'!A474)</f>
        <v>SYN-CLM-0473</v>
      </c>
      <c r="B38" t="str">
        <f>IF('MASTER DATA'!B474="","",'MASTER DATA'!B474)</f>
        <v>Synthetic Claimant 0473</v>
      </c>
      <c r="C38" t="str">
        <f>IF('MASTER DATA'!C474="","",'MASTER DATA'!C474)</f>
        <v>Claims Analyst K</v>
      </c>
      <c r="D38" t="str">
        <f>IF('MASTER DATA'!D474="","",'MASTER DATA'!D474)</f>
        <v>Synthetic Policyholder 154, LLC</v>
      </c>
      <c r="E38" s="15">
        <f>IF('MASTER DATA'!E474="","",'MASTER DATA'!E474)</f>
        <v>45307</v>
      </c>
      <c r="F38" s="16" t="str">
        <f>IF('MASTER DATA'!F474="","",'MASTER DATA'!F474)</f>
        <v>Y</v>
      </c>
      <c r="G38" s="17">
        <f>IF('MASTER DATA'!G474="","",'MASTER DATA'!G474)</f>
        <v>109750</v>
      </c>
      <c r="H38" s="16" t="str">
        <f>IF('MASTER DATA'!H474="","",'MASTER DATA'!H474)</f>
        <v>Synthetic Approver 06</v>
      </c>
      <c r="I38" s="15">
        <f>IF('MASTER DATA'!I474="","",'MASTER DATA'!I474)</f>
        <v>46203</v>
      </c>
      <c r="J38" s="16" t="str">
        <f>IF('MASTER DATA'!J474="","",'MASTER DATA'!J474)</f>
        <v>N</v>
      </c>
      <c r="K38" s="15" t="str">
        <f>IF('MASTER DATA'!K474="","",'MASTER DATA'!K474)</f>
        <v/>
      </c>
      <c r="L38" s="16" t="str">
        <f>IF('MASTER DATA'!L474="","",'MASTER DATA'!L474)</f>
        <v>Y</v>
      </c>
      <c r="M38" s="16" t="str">
        <f>IF('MASTER DATA'!M474="","",'MASTER DATA'!M474)</f>
        <v>N</v>
      </c>
      <c r="N38" s="15" t="str">
        <f>IF('MASTER DATA'!N474="","",'MASTER DATA'!N474)</f>
        <v/>
      </c>
      <c r="O38" s="16" t="str">
        <f>IF('MASTER DATA'!O474="","",'MASTER DATA'!O474)</f>
        <v/>
      </c>
      <c r="P38" s="16" t="str">
        <f>IF('MASTER DATA'!P474="","",'MASTER DATA'!P474)</f>
        <v>N</v>
      </c>
      <c r="Q38" s="16" t="str">
        <f>IF('MASTER DATA'!Q474="","",'MASTER DATA'!Q474)</f>
        <v/>
      </c>
      <c r="R38" s="16" t="str">
        <f>IF('MASTER DATA'!R474="","",'MASTER DATA'!R474)</f>
        <v/>
      </c>
      <c r="S38" s="16" t="str">
        <f>IF('MASTER DATA'!S474="","",'MASTER DATA'!S474)</f>
        <v>Y</v>
      </c>
      <c r="T38" s="15">
        <f>IF('MASTER DATA'!T474="","",'MASTER DATA'!T474)</f>
        <v>47404</v>
      </c>
      <c r="U38" s="16" t="str">
        <f>IF('MASTER DATA'!U474="","",'MASTER DATA'!U474)</f>
        <v>N</v>
      </c>
      <c r="V38" s="16" t="str">
        <f>IF('MASTER DATA'!V474="","",'MASTER DATA'!V474)</f>
        <v>N</v>
      </c>
      <c r="W38" s="16" t="str">
        <f>IF('MASTER DATA'!W474="","",'MASTER DATA'!W474)</f>
        <v>N</v>
      </c>
      <c r="X38" s="16" t="str">
        <f>IF('MASTER DATA'!X474="","",'MASTER DATA'!X474)</f>
        <v>N</v>
      </c>
      <c r="Y38" s="16" t="str">
        <f>IF('MASTER DATA'!Y474="","",'MASTER DATA'!Y474)</f>
        <v>N</v>
      </c>
      <c r="Z38" s="16" t="str">
        <f>IF('MASTER DATA'!Z474="","",'MASTER DATA'!Z474)</f>
        <v>N</v>
      </c>
      <c r="AA38" s="16">
        <f>IF('MASTER DATA'!AA474="","",'MASTER DATA'!AA474)</f>
        <v>2</v>
      </c>
      <c r="AB38" s="16" t="str">
        <f>IF('MASTER DATA'!AB474="","",'MASTER DATA'!AB474)</f>
        <v>MULTI-SIGNAL</v>
      </c>
      <c r="AC38" s="16" t="str">
        <f>IF('MASTER DATA'!AC474="","",'MASTER DATA'!AC474)</f>
        <v>Settlement Authorization | Inactive Customer</v>
      </c>
    </row>
    <row r="39" spans="1:29" x14ac:dyDescent="0.45">
      <c r="A39" t="str">
        <f>IF('MASTER DATA'!A475="","",'MASTER DATA'!A475)</f>
        <v>SYN-CLM-0474</v>
      </c>
      <c r="B39" t="str">
        <f>IF('MASTER DATA'!B475="","",'MASTER DATA'!B475)</f>
        <v>Synthetic Claimant 0474</v>
      </c>
      <c r="C39" t="str">
        <f>IF('MASTER DATA'!C475="","",'MASTER DATA'!C475)</f>
        <v>Claims Analyst K</v>
      </c>
      <c r="D39" t="str">
        <f>IF('MASTER DATA'!D475="","",'MASTER DATA'!D475)</f>
        <v>Synthetic Policyholder 091, LLC</v>
      </c>
      <c r="E39" s="15">
        <f>IF('MASTER DATA'!E475="","",'MASTER DATA'!E475)</f>
        <v>44968</v>
      </c>
      <c r="F39" s="16" t="str">
        <f>IF('MASTER DATA'!F475="","",'MASTER DATA'!F475)</f>
        <v>N</v>
      </c>
      <c r="G39" s="17" t="str">
        <f>IF('MASTER DATA'!G475="","",'MASTER DATA'!G475)</f>
        <v/>
      </c>
      <c r="H39" s="16" t="str">
        <f>IF('MASTER DATA'!H475="","",'MASTER DATA'!H475)</f>
        <v/>
      </c>
      <c r="I39" s="15" t="str">
        <f>IF('MASTER DATA'!I475="","",'MASTER DATA'!I475)</f>
        <v/>
      </c>
      <c r="J39" s="16" t="str">
        <f>IF('MASTER DATA'!J475="","",'MASTER DATA'!J475)</f>
        <v>Y</v>
      </c>
      <c r="K39" s="15">
        <f>IF('MASTER DATA'!K475="","",'MASTER DATA'!K475)</f>
        <v>46006</v>
      </c>
      <c r="L39" s="16" t="str">
        <f>IF('MASTER DATA'!L475="","",'MASTER DATA'!L475)</f>
        <v>Y</v>
      </c>
      <c r="M39" s="16" t="str">
        <f>IF('MASTER DATA'!M475="","",'MASTER DATA'!M475)</f>
        <v>N</v>
      </c>
      <c r="N39" s="15" t="str">
        <f>IF('MASTER DATA'!N475="","",'MASTER DATA'!N475)</f>
        <v/>
      </c>
      <c r="O39" s="16" t="str">
        <f>IF('MASTER DATA'!O475="","",'MASTER DATA'!O475)</f>
        <v/>
      </c>
      <c r="P39" s="16" t="str">
        <f>IF('MASTER DATA'!P475="","",'MASTER DATA'!P475)</f>
        <v>N</v>
      </c>
      <c r="Q39" s="16" t="str">
        <f>IF('MASTER DATA'!Q475="","",'MASTER DATA'!Q475)</f>
        <v/>
      </c>
      <c r="R39" s="16" t="str">
        <f>IF('MASTER DATA'!R475="","",'MASTER DATA'!R475)</f>
        <v/>
      </c>
      <c r="S39" s="16" t="str">
        <f>IF('MASTER DATA'!S475="","",'MASTER DATA'!S475)</f>
        <v>Y</v>
      </c>
      <c r="T39" s="15">
        <f>IF('MASTER DATA'!T475="","",'MASTER DATA'!T475)</f>
        <v>46608</v>
      </c>
      <c r="U39" s="16" t="str">
        <f>IF('MASTER DATA'!U475="","",'MASTER DATA'!U475)</f>
        <v>N</v>
      </c>
      <c r="V39" s="16" t="str">
        <f>IF('MASTER DATA'!V475="","",'MASTER DATA'!V475)</f>
        <v>N</v>
      </c>
      <c r="W39" s="16" t="str">
        <f>IF('MASTER DATA'!W475="","",'MASTER DATA'!W475)</f>
        <v>N</v>
      </c>
      <c r="X39" s="16" t="str">
        <f>IF('MASTER DATA'!X475="","",'MASTER DATA'!X475)</f>
        <v>N</v>
      </c>
      <c r="Y39" s="16" t="str">
        <f>IF('MASTER DATA'!Y475="","",'MASTER DATA'!Y475)</f>
        <v>N</v>
      </c>
      <c r="Z39" s="16" t="str">
        <f>IF('MASTER DATA'!Z475="","",'MASTER DATA'!Z475)</f>
        <v>N</v>
      </c>
      <c r="AA39" s="16">
        <f>IF('MASTER DATA'!AA475="","",'MASTER DATA'!AA475)</f>
        <v>2</v>
      </c>
      <c r="AB39" s="16" t="str">
        <f>IF('MASTER DATA'!AB475="","",'MASTER DATA'!AB475)</f>
        <v>MULTI-SIGNAL</v>
      </c>
      <c r="AC39" s="16" t="str">
        <f>IF('MASTER DATA'!AC475="","",'MASTER DATA'!AC475)</f>
        <v>Open Stipulation | Inactive Customer</v>
      </c>
    </row>
    <row r="40" spans="1:29" x14ac:dyDescent="0.45">
      <c r="A40" t="str">
        <f>IF('MASTER DATA'!A476="","",'MASTER DATA'!A476)</f>
        <v>SYN-CLM-0475</v>
      </c>
      <c r="B40" t="str">
        <f>IF('MASTER DATA'!B476="","",'MASTER DATA'!B476)</f>
        <v>Synthetic Claimant 0475</v>
      </c>
      <c r="C40" t="str">
        <f>IF('MASTER DATA'!C476="","",'MASTER DATA'!C476)</f>
        <v>Claims Analyst K</v>
      </c>
      <c r="D40" t="str">
        <f>IF('MASTER DATA'!D476="","",'MASTER DATA'!D476)</f>
        <v>Synthetic Policyholder 177, LLC</v>
      </c>
      <c r="E40" s="15">
        <f>IF('MASTER DATA'!E476="","",'MASTER DATA'!E476)</f>
        <v>45778</v>
      </c>
      <c r="F40" s="16" t="str">
        <f>IF('MASTER DATA'!F476="","",'MASTER DATA'!F476)</f>
        <v>Y</v>
      </c>
      <c r="G40" s="17">
        <f>IF('MASTER DATA'!G476="","",'MASTER DATA'!G476)</f>
        <v>127000</v>
      </c>
      <c r="H40" s="16" t="str">
        <f>IF('MASTER DATA'!H476="","",'MASTER DATA'!H476)</f>
        <v>Synthetic Approver 11</v>
      </c>
      <c r="I40" s="15">
        <f>IF('MASTER DATA'!I476="","",'MASTER DATA'!I476)</f>
        <v>45946</v>
      </c>
      <c r="J40" s="16" t="str">
        <f>IF('MASTER DATA'!J476="","",'MASTER DATA'!J476)</f>
        <v>N</v>
      </c>
      <c r="K40" s="15" t="str">
        <f>IF('MASTER DATA'!K476="","",'MASTER DATA'!K476)</f>
        <v/>
      </c>
      <c r="L40" s="16" t="str">
        <f>IF('MASTER DATA'!L476="","",'MASTER DATA'!L476)</f>
        <v>Y</v>
      </c>
      <c r="M40" s="16" t="str">
        <f>IF('MASTER DATA'!M476="","",'MASTER DATA'!M476)</f>
        <v>N</v>
      </c>
      <c r="N40" s="15" t="str">
        <f>IF('MASTER DATA'!N476="","",'MASTER DATA'!N476)</f>
        <v/>
      </c>
      <c r="O40" s="16" t="str">
        <f>IF('MASTER DATA'!O476="","",'MASTER DATA'!O476)</f>
        <v/>
      </c>
      <c r="P40" s="16" t="str">
        <f>IF('MASTER DATA'!P476="","",'MASTER DATA'!P476)</f>
        <v>Y</v>
      </c>
      <c r="Q40" s="16" t="str">
        <f>IF('MASTER DATA'!Q476="","",'MASTER DATA'!Q476)</f>
        <v>Denied Treatment Requests; MSA Eligible in Next 3 Years; Non-Renewed Account</v>
      </c>
      <c r="R40" s="16" t="str">
        <f>IF('MASTER DATA'!R476="","",'MASTER DATA'!R476)</f>
        <v>Specialist Consultation Requested</v>
      </c>
      <c r="S40" s="16" t="str">
        <f>IF('MASTER DATA'!S476="","",'MASTER DATA'!S476)</f>
        <v>N</v>
      </c>
      <c r="T40" s="15" t="str">
        <f>IF('MASTER DATA'!T476="","",'MASTER DATA'!T476)</f>
        <v/>
      </c>
      <c r="U40" s="16" t="str">
        <f>IF('MASTER DATA'!U476="","",'MASTER DATA'!U476)</f>
        <v>N</v>
      </c>
      <c r="V40" s="16" t="str">
        <f>IF('MASTER DATA'!V476="","",'MASTER DATA'!V476)</f>
        <v>N</v>
      </c>
      <c r="W40" s="16" t="str">
        <f>IF('MASTER DATA'!W476="","",'MASTER DATA'!W476)</f>
        <v>Y</v>
      </c>
      <c r="X40" s="16" t="str">
        <f>IF('MASTER DATA'!X476="","",'MASTER DATA'!X476)</f>
        <v>Y</v>
      </c>
      <c r="Y40" s="16" t="str">
        <f>IF('MASTER DATA'!Y476="","",'MASTER DATA'!Y476)</f>
        <v>Y</v>
      </c>
      <c r="Z40" s="16" t="str">
        <f>IF('MASTER DATA'!Z476="","",'MASTER DATA'!Z476)</f>
        <v>Y</v>
      </c>
      <c r="AA40" s="16">
        <f>IF('MASTER DATA'!AA476="","",'MASTER DATA'!AA476)</f>
        <v>2</v>
      </c>
      <c r="AB40" s="16" t="str">
        <f>IF('MASTER DATA'!AB476="","",'MASTER DATA'!AB476)</f>
        <v>MULTI-SIGNAL</v>
      </c>
      <c r="AC40" s="16" t="str">
        <f>IF('MASTER DATA'!AC476="","",'MASTER DATA'!AC476)</f>
        <v>Settlement Authorization | Automated Claim Alert</v>
      </c>
    </row>
    <row r="41" spans="1:29" x14ac:dyDescent="0.45">
      <c r="A41" t="str">
        <f>IF('MASTER DATA'!A477="","",'MASTER DATA'!A477)</f>
        <v>SYN-CLM-0476</v>
      </c>
      <c r="B41" t="str">
        <f>IF('MASTER DATA'!B477="","",'MASTER DATA'!B477)</f>
        <v>Synthetic Claimant 0476</v>
      </c>
      <c r="C41" t="str">
        <f>IF('MASTER DATA'!C477="","",'MASTER DATA'!C477)</f>
        <v>Claims Analyst K</v>
      </c>
      <c r="D41" t="str">
        <f>IF('MASTER DATA'!D477="","",'MASTER DATA'!D477)</f>
        <v>Synthetic Policyholder 075, LLC</v>
      </c>
      <c r="E41" s="15">
        <f>IF('MASTER DATA'!E477="","",'MASTER DATA'!E477)</f>
        <v>44488</v>
      </c>
      <c r="F41" s="16" t="str">
        <f>IF('MASTER DATA'!F477="","",'MASTER DATA'!F477)</f>
        <v>N</v>
      </c>
      <c r="G41" s="17" t="str">
        <f>IF('MASTER DATA'!G477="","",'MASTER DATA'!G477)</f>
        <v/>
      </c>
      <c r="H41" s="16" t="str">
        <f>IF('MASTER DATA'!H477="","",'MASTER DATA'!H477)</f>
        <v/>
      </c>
      <c r="I41" s="15" t="str">
        <f>IF('MASTER DATA'!I477="","",'MASTER DATA'!I477)</f>
        <v/>
      </c>
      <c r="J41" s="16" t="str">
        <f>IF('MASTER DATA'!J477="","",'MASTER DATA'!J477)</f>
        <v>N</v>
      </c>
      <c r="K41" s="15" t="str">
        <f>IF('MASTER DATA'!K477="","",'MASTER DATA'!K477)</f>
        <v/>
      </c>
      <c r="L41" s="16" t="str">
        <f>IF('MASTER DATA'!L477="","",'MASTER DATA'!L477)</f>
        <v/>
      </c>
      <c r="M41" s="16" t="str">
        <f>IF('MASTER DATA'!M477="","",'MASTER DATA'!M477)</f>
        <v>N</v>
      </c>
      <c r="N41" s="15" t="str">
        <f>IF('MASTER DATA'!N477="","",'MASTER DATA'!N477)</f>
        <v/>
      </c>
      <c r="O41" s="16" t="str">
        <f>IF('MASTER DATA'!O477="","",'MASTER DATA'!O477)</f>
        <v/>
      </c>
      <c r="P41" s="16" t="str">
        <f>IF('MASTER DATA'!P477="","",'MASTER DATA'!P477)</f>
        <v>Y</v>
      </c>
      <c r="Q41" s="16" t="str">
        <f>IF('MASTER DATA'!Q477="","",'MASTER DATA'!Q477)</f>
        <v>MSA Eligible in Next 3 Years; Specialist Consultation Requested</v>
      </c>
      <c r="R41" s="16" t="str">
        <f>IF('MASTER DATA'!R477="","",'MASTER DATA'!R477)</f>
        <v/>
      </c>
      <c r="S41" s="16" t="str">
        <f>IF('MASTER DATA'!S477="","",'MASTER DATA'!S477)</f>
        <v>Y</v>
      </c>
      <c r="T41" s="15">
        <f>IF('MASTER DATA'!T477="","",'MASTER DATA'!T477)</f>
        <v>44988</v>
      </c>
      <c r="U41" s="16" t="str">
        <f>IF('MASTER DATA'!U477="","",'MASTER DATA'!U477)</f>
        <v>N</v>
      </c>
      <c r="V41" s="16" t="str">
        <f>IF('MASTER DATA'!V477="","",'MASTER DATA'!V477)</f>
        <v>N</v>
      </c>
      <c r="W41" s="16" t="str">
        <f>IF('MASTER DATA'!W477="","",'MASTER DATA'!W477)</f>
        <v>N</v>
      </c>
      <c r="X41" s="16" t="str">
        <f>IF('MASTER DATA'!X477="","",'MASTER DATA'!X477)</f>
        <v>Y</v>
      </c>
      <c r="Y41" s="16" t="str">
        <f>IF('MASTER DATA'!Y477="","",'MASTER DATA'!Y477)</f>
        <v>N</v>
      </c>
      <c r="Z41" s="16" t="str">
        <f>IF('MASTER DATA'!Z477="","",'MASTER DATA'!Z477)</f>
        <v>Y</v>
      </c>
      <c r="AA41" s="16">
        <f>IF('MASTER DATA'!AA477="","",'MASTER DATA'!AA477)</f>
        <v>2</v>
      </c>
      <c r="AB41" s="16" t="str">
        <f>IF('MASTER DATA'!AB477="","",'MASTER DATA'!AB477)</f>
        <v>MULTI-SIGNAL</v>
      </c>
      <c r="AC41" s="16" t="str">
        <f>IF('MASTER DATA'!AC477="","",'MASTER DATA'!AC477)</f>
        <v>Automated Claim Alert | Inactive Customer</v>
      </c>
    </row>
    <row r="42" spans="1:29" x14ac:dyDescent="0.45">
      <c r="A42" t="str">
        <f>IF('MASTER DATA'!A478="","",'MASTER DATA'!A478)</f>
        <v>SYN-CLM-0477</v>
      </c>
      <c r="B42" t="str">
        <f>IF('MASTER DATA'!B478="","",'MASTER DATA'!B478)</f>
        <v>Synthetic Claimant 0477</v>
      </c>
      <c r="C42" t="str">
        <f>IF('MASTER DATA'!C478="","",'MASTER DATA'!C478)</f>
        <v>Claims Analyst K</v>
      </c>
      <c r="D42" t="str">
        <f>IF('MASTER DATA'!D478="","",'MASTER DATA'!D478)</f>
        <v>Synthetic Policyholder 080, LLC</v>
      </c>
      <c r="E42" s="15">
        <f>IF('MASTER DATA'!E478="","",'MASTER DATA'!E478)</f>
        <v>44320</v>
      </c>
      <c r="F42" s="16" t="str">
        <f>IF('MASTER DATA'!F478="","",'MASTER DATA'!F478)</f>
        <v>N</v>
      </c>
      <c r="G42" s="17" t="str">
        <f>IF('MASTER DATA'!G478="","",'MASTER DATA'!G478)</f>
        <v/>
      </c>
      <c r="H42" s="16" t="str">
        <f>IF('MASTER DATA'!H478="","",'MASTER DATA'!H478)</f>
        <v/>
      </c>
      <c r="I42" s="15" t="str">
        <f>IF('MASTER DATA'!I478="","",'MASTER DATA'!I478)</f>
        <v/>
      </c>
      <c r="J42" s="16" t="str">
        <f>IF('MASTER DATA'!J478="","",'MASTER DATA'!J478)</f>
        <v>N</v>
      </c>
      <c r="K42" s="15" t="str">
        <f>IF('MASTER DATA'!K478="","",'MASTER DATA'!K478)</f>
        <v/>
      </c>
      <c r="L42" s="16" t="str">
        <f>IF('MASTER DATA'!L478="","",'MASTER DATA'!L478)</f>
        <v/>
      </c>
      <c r="M42" s="16" t="str">
        <f>IF('MASTER DATA'!M478="","",'MASTER DATA'!M478)</f>
        <v>N</v>
      </c>
      <c r="N42" s="15" t="str">
        <f>IF('MASTER DATA'!N478="","",'MASTER DATA'!N478)</f>
        <v/>
      </c>
      <c r="O42" s="16" t="str">
        <f>IF('MASTER DATA'!O478="","",'MASTER DATA'!O478)</f>
        <v/>
      </c>
      <c r="P42" s="16" t="str">
        <f>IF('MASTER DATA'!P478="","",'MASTER DATA'!P478)</f>
        <v>N</v>
      </c>
      <c r="Q42" s="16" t="str">
        <f>IF('MASTER DATA'!Q478="","",'MASTER DATA'!Q478)</f>
        <v/>
      </c>
      <c r="R42" s="16" t="str">
        <f>IF('MASTER DATA'!R478="","",'MASTER DATA'!R478)</f>
        <v/>
      </c>
      <c r="S42" s="16" t="str">
        <f>IF('MASTER DATA'!S478="","",'MASTER DATA'!S478)</f>
        <v>Y</v>
      </c>
      <c r="T42" s="15">
        <f>IF('MASTER DATA'!T478="","",'MASTER DATA'!T478)</f>
        <v>46384</v>
      </c>
      <c r="U42" s="16" t="str">
        <f>IF('MASTER DATA'!U478="","",'MASTER DATA'!U478)</f>
        <v>N</v>
      </c>
      <c r="V42" s="16" t="str">
        <f>IF('MASTER DATA'!V478="","",'MASTER DATA'!V478)</f>
        <v>N</v>
      </c>
      <c r="W42" s="16" t="str">
        <f>IF('MASTER DATA'!W478="","",'MASTER DATA'!W478)</f>
        <v>N</v>
      </c>
      <c r="X42" s="16" t="str">
        <f>IF('MASTER DATA'!X478="","",'MASTER DATA'!X478)</f>
        <v>N</v>
      </c>
      <c r="Y42" s="16" t="str">
        <f>IF('MASTER DATA'!Y478="","",'MASTER DATA'!Y478)</f>
        <v>N</v>
      </c>
      <c r="Z42" s="16" t="str">
        <f>IF('MASTER DATA'!Z478="","",'MASTER DATA'!Z478)</f>
        <v>N</v>
      </c>
      <c r="AA42" s="16">
        <f>IF('MASTER DATA'!AA478="","",'MASTER DATA'!AA478)</f>
        <v>1</v>
      </c>
      <c r="AB42" s="16" t="str">
        <f>IF('MASTER DATA'!AB478="","",'MASTER DATA'!AB478)</f>
        <v>SINGLE-SIGNAL</v>
      </c>
      <c r="AC42" s="16" t="str">
        <f>IF('MASTER DATA'!AC478="","",'MASTER DATA'!AC478)</f>
        <v>Inactive Customer</v>
      </c>
    </row>
    <row r="43" spans="1:29" x14ac:dyDescent="0.45">
      <c r="A43" t="str">
        <f>IF('MASTER DATA'!A479="","",'MASTER DATA'!A479)</f>
        <v>SYN-CLM-0478</v>
      </c>
      <c r="B43" t="str">
        <f>IF('MASTER DATA'!B479="","",'MASTER DATA'!B479)</f>
        <v>Synthetic Claimant 0478</v>
      </c>
      <c r="C43" t="str">
        <f>IF('MASTER DATA'!C479="","",'MASTER DATA'!C479)</f>
        <v>Claims Analyst K</v>
      </c>
      <c r="D43" t="str">
        <f>IF('MASTER DATA'!D479="","",'MASTER DATA'!D479)</f>
        <v>Synthetic Policyholder 150, LLC</v>
      </c>
      <c r="E43" s="15">
        <f>IF('MASTER DATA'!E479="","",'MASTER DATA'!E479)</f>
        <v>45181</v>
      </c>
      <c r="F43" s="16" t="str">
        <f>IF('MASTER DATA'!F479="","",'MASTER DATA'!F479)</f>
        <v>Y</v>
      </c>
      <c r="G43" s="17">
        <f>IF('MASTER DATA'!G479="","",'MASTER DATA'!G479)</f>
        <v>109250</v>
      </c>
      <c r="H43" s="16" t="str">
        <f>IF('MASTER DATA'!H479="","",'MASTER DATA'!H479)</f>
        <v>Synthetic Approver 03</v>
      </c>
      <c r="I43" s="15">
        <f>IF('MASTER DATA'!I479="","",'MASTER DATA'!I479)</f>
        <v>46916</v>
      </c>
      <c r="J43" s="16" t="str">
        <f>IF('MASTER DATA'!J479="","",'MASTER DATA'!J479)</f>
        <v>N</v>
      </c>
      <c r="K43" s="15" t="str">
        <f>IF('MASTER DATA'!K479="","",'MASTER DATA'!K479)</f>
        <v/>
      </c>
      <c r="L43" s="16" t="str">
        <f>IF('MASTER DATA'!L479="","",'MASTER DATA'!L479)</f>
        <v>Y</v>
      </c>
      <c r="M43" s="16" t="str">
        <f>IF('MASTER DATA'!M479="","",'MASTER DATA'!M479)</f>
        <v>N</v>
      </c>
      <c r="N43" s="15" t="str">
        <f>IF('MASTER DATA'!N479="","",'MASTER DATA'!N479)</f>
        <v/>
      </c>
      <c r="O43" s="16" t="str">
        <f>IF('MASTER DATA'!O479="","",'MASTER DATA'!O479)</f>
        <v/>
      </c>
      <c r="P43" s="16" t="str">
        <f>IF('MASTER DATA'!P479="","",'MASTER DATA'!P479)</f>
        <v>Y</v>
      </c>
      <c r="Q43" s="16" t="str">
        <f>IF('MASTER DATA'!Q479="","",'MASTER DATA'!Q479)</f>
        <v>MMI Date Reported; Denied Treatment Requests</v>
      </c>
      <c r="R43" s="16" t="str">
        <f>IF('MASTER DATA'!R479="","",'MASTER DATA'!R479)</f>
        <v/>
      </c>
      <c r="S43" s="16" t="str">
        <f>IF('MASTER DATA'!S479="","",'MASTER DATA'!S479)</f>
        <v>N</v>
      </c>
      <c r="T43" s="15" t="str">
        <f>IF('MASTER DATA'!T479="","",'MASTER DATA'!T479)</f>
        <v/>
      </c>
      <c r="U43" s="16" t="str">
        <f>IF('MASTER DATA'!U479="","",'MASTER DATA'!U479)</f>
        <v>N</v>
      </c>
      <c r="V43" s="16" t="str">
        <f>IF('MASTER DATA'!V479="","",'MASTER DATA'!V479)</f>
        <v>Y</v>
      </c>
      <c r="W43" s="16" t="str">
        <f>IF('MASTER DATA'!W479="","",'MASTER DATA'!W479)</f>
        <v>Y</v>
      </c>
      <c r="X43" s="16" t="str">
        <f>IF('MASTER DATA'!X479="","",'MASTER DATA'!X479)</f>
        <v>N</v>
      </c>
      <c r="Y43" s="16" t="str">
        <f>IF('MASTER DATA'!Y479="","",'MASTER DATA'!Y479)</f>
        <v>N</v>
      </c>
      <c r="Z43" s="16" t="str">
        <f>IF('MASTER DATA'!Z479="","",'MASTER DATA'!Z479)</f>
        <v>N</v>
      </c>
      <c r="AA43" s="16">
        <f>IF('MASTER DATA'!AA479="","",'MASTER DATA'!AA479)</f>
        <v>2</v>
      </c>
      <c r="AB43" s="16" t="str">
        <f>IF('MASTER DATA'!AB479="","",'MASTER DATA'!AB479)</f>
        <v>MULTI-SIGNAL</v>
      </c>
      <c r="AC43" s="16" t="str">
        <f>IF('MASTER DATA'!AC479="","",'MASTER DATA'!AC479)</f>
        <v>Settlement Authorization | Automated Claim Alert</v>
      </c>
    </row>
    <row r="44" spans="1:29" x14ac:dyDescent="0.45">
      <c r="A44" t="str">
        <f>IF('MASTER DATA'!A480="","",'MASTER DATA'!A480)</f>
        <v>SYN-CLM-0479</v>
      </c>
      <c r="B44" t="str">
        <f>IF('MASTER DATA'!B480="","",'MASTER DATA'!B480)</f>
        <v>Synthetic Claimant 0479</v>
      </c>
      <c r="C44" t="str">
        <f>IF('MASTER DATA'!C480="","",'MASTER DATA'!C480)</f>
        <v>Claims Analyst K</v>
      </c>
      <c r="D44" t="str">
        <f>IF('MASTER DATA'!D480="","",'MASTER DATA'!D480)</f>
        <v>Synthetic Policyholder 164, LLC</v>
      </c>
      <c r="E44" s="15">
        <f>IF('MASTER DATA'!E480="","",'MASTER DATA'!E480)</f>
        <v>44053</v>
      </c>
      <c r="F44" s="16" t="str">
        <f>IF('MASTER DATA'!F480="","",'MASTER DATA'!F480)</f>
        <v>Y</v>
      </c>
      <c r="G44" s="17">
        <f>IF('MASTER DATA'!G480="","",'MASTER DATA'!G480)</f>
        <v>47000</v>
      </c>
      <c r="H44" s="16" t="str">
        <f>IF('MASTER DATA'!H480="","",'MASTER DATA'!H480)</f>
        <v>Synthetic Approver 06</v>
      </c>
      <c r="I44" s="15">
        <f>IF('MASTER DATA'!I480="","",'MASTER DATA'!I480)</f>
        <v>45783</v>
      </c>
      <c r="J44" s="16" t="str">
        <f>IF('MASTER DATA'!J480="","",'MASTER DATA'!J480)</f>
        <v>N</v>
      </c>
      <c r="K44" s="15" t="str">
        <f>IF('MASTER DATA'!K480="","",'MASTER DATA'!K480)</f>
        <v/>
      </c>
      <c r="L44" s="16" t="str">
        <f>IF('MASTER DATA'!L480="","",'MASTER DATA'!L480)</f>
        <v>Y</v>
      </c>
      <c r="M44" s="16" t="str">
        <f>IF('MASTER DATA'!M480="","",'MASTER DATA'!M480)</f>
        <v>N</v>
      </c>
      <c r="N44" s="15" t="str">
        <f>IF('MASTER DATA'!N480="","",'MASTER DATA'!N480)</f>
        <v/>
      </c>
      <c r="O44" s="16" t="str">
        <f>IF('MASTER DATA'!O480="","",'MASTER DATA'!O480)</f>
        <v/>
      </c>
      <c r="P44" s="16" t="str">
        <f>IF('MASTER DATA'!P480="","",'MASTER DATA'!P480)</f>
        <v>N</v>
      </c>
      <c r="Q44" s="16" t="str">
        <f>IF('MASTER DATA'!Q480="","",'MASTER DATA'!Q480)</f>
        <v/>
      </c>
      <c r="R44" s="16" t="str">
        <f>IF('MASTER DATA'!R480="","",'MASTER DATA'!R480)</f>
        <v/>
      </c>
      <c r="S44" s="16" t="str">
        <f>IF('MASTER DATA'!S480="","",'MASTER DATA'!S480)</f>
        <v>N</v>
      </c>
      <c r="T44" s="15" t="str">
        <f>IF('MASTER DATA'!T480="","",'MASTER DATA'!T480)</f>
        <v/>
      </c>
      <c r="U44" s="16" t="str">
        <f>IF('MASTER DATA'!U480="","",'MASTER DATA'!U480)</f>
        <v>N</v>
      </c>
      <c r="V44" s="16" t="str">
        <f>IF('MASTER DATA'!V480="","",'MASTER DATA'!V480)</f>
        <v>N</v>
      </c>
      <c r="W44" s="16" t="str">
        <f>IF('MASTER DATA'!W480="","",'MASTER DATA'!W480)</f>
        <v>N</v>
      </c>
      <c r="X44" s="16" t="str">
        <f>IF('MASTER DATA'!X480="","",'MASTER DATA'!X480)</f>
        <v>N</v>
      </c>
      <c r="Y44" s="16" t="str">
        <f>IF('MASTER DATA'!Y480="","",'MASTER DATA'!Y480)</f>
        <v>N</v>
      </c>
      <c r="Z44" s="16" t="str">
        <f>IF('MASTER DATA'!Z480="","",'MASTER DATA'!Z480)</f>
        <v>N</v>
      </c>
      <c r="AA44" s="16">
        <f>IF('MASTER DATA'!AA480="","",'MASTER DATA'!AA480)</f>
        <v>1</v>
      </c>
      <c r="AB44" s="16" t="str">
        <f>IF('MASTER DATA'!AB480="","",'MASTER DATA'!AB480)</f>
        <v>SINGLE-SIGNAL</v>
      </c>
      <c r="AC44" s="16" t="str">
        <f>IF('MASTER DATA'!AC480="","",'MASTER DATA'!AC480)</f>
        <v>Settlement Authorization</v>
      </c>
    </row>
    <row r="45" spans="1:29" x14ac:dyDescent="0.45">
      <c r="A45" t="str">
        <f>IF('MASTER DATA'!A481="","",'MASTER DATA'!A481)</f>
        <v>SYN-CLM-0480</v>
      </c>
      <c r="B45" t="str">
        <f>IF('MASTER DATA'!B481="","",'MASTER DATA'!B481)</f>
        <v>Synthetic Claimant 0480</v>
      </c>
      <c r="C45" t="str">
        <f>IF('MASTER DATA'!C481="","",'MASTER DATA'!C481)</f>
        <v>Claims Analyst K</v>
      </c>
      <c r="D45" t="str">
        <f>IF('MASTER DATA'!D481="","",'MASTER DATA'!D481)</f>
        <v>Synthetic Policyholder 159, LLC</v>
      </c>
      <c r="E45" s="15">
        <f>IF('MASTER DATA'!E481="","",'MASTER DATA'!E481)</f>
        <v>45366</v>
      </c>
      <c r="F45" s="16" t="str">
        <f>IF('MASTER DATA'!F481="","",'MASTER DATA'!F481)</f>
        <v>N</v>
      </c>
      <c r="G45" s="17" t="str">
        <f>IF('MASTER DATA'!G481="","",'MASTER DATA'!G481)</f>
        <v/>
      </c>
      <c r="H45" s="16" t="str">
        <f>IF('MASTER DATA'!H481="","",'MASTER DATA'!H481)</f>
        <v/>
      </c>
      <c r="I45" s="15" t="str">
        <f>IF('MASTER DATA'!I481="","",'MASTER DATA'!I481)</f>
        <v/>
      </c>
      <c r="J45" s="16" t="str">
        <f>IF('MASTER DATA'!J481="","",'MASTER DATA'!J481)</f>
        <v>Y</v>
      </c>
      <c r="K45" s="15">
        <f>IF('MASTER DATA'!K481="","",'MASTER DATA'!K481)</f>
        <v>45467</v>
      </c>
      <c r="L45" s="16" t="str">
        <f>IF('MASTER DATA'!L481="","",'MASTER DATA'!L481)</f>
        <v>Y</v>
      </c>
      <c r="M45" s="16" t="str">
        <f>IF('MASTER DATA'!M481="","",'MASTER DATA'!M481)</f>
        <v>N</v>
      </c>
      <c r="N45" s="15" t="str">
        <f>IF('MASTER DATA'!N481="","",'MASTER DATA'!N481)</f>
        <v/>
      </c>
      <c r="O45" s="16" t="str">
        <f>IF('MASTER DATA'!O481="","",'MASTER DATA'!O481)</f>
        <v/>
      </c>
      <c r="P45" s="16" t="str">
        <f>IF('MASTER DATA'!P481="","",'MASTER DATA'!P481)</f>
        <v>N</v>
      </c>
      <c r="Q45" s="16" t="str">
        <f>IF('MASTER DATA'!Q481="","",'MASTER DATA'!Q481)</f>
        <v/>
      </c>
      <c r="R45" s="16" t="str">
        <f>IF('MASTER DATA'!R481="","",'MASTER DATA'!R481)</f>
        <v/>
      </c>
      <c r="S45" s="16" t="str">
        <f>IF('MASTER DATA'!S481="","",'MASTER DATA'!S481)</f>
        <v>Y</v>
      </c>
      <c r="T45" s="15">
        <f>IF('MASTER DATA'!T481="","",'MASTER DATA'!T481)</f>
        <v>45736</v>
      </c>
      <c r="U45" s="16" t="str">
        <f>IF('MASTER DATA'!U481="","",'MASTER DATA'!U481)</f>
        <v>N</v>
      </c>
      <c r="V45" s="16" t="str">
        <f>IF('MASTER DATA'!V481="","",'MASTER DATA'!V481)</f>
        <v>N</v>
      </c>
      <c r="W45" s="16" t="str">
        <f>IF('MASTER DATA'!W481="","",'MASTER DATA'!W481)</f>
        <v>N</v>
      </c>
      <c r="X45" s="16" t="str">
        <f>IF('MASTER DATA'!X481="","",'MASTER DATA'!X481)</f>
        <v>N</v>
      </c>
      <c r="Y45" s="16" t="str">
        <f>IF('MASTER DATA'!Y481="","",'MASTER DATA'!Y481)</f>
        <v>N</v>
      </c>
      <c r="Z45" s="16" t="str">
        <f>IF('MASTER DATA'!Z481="","",'MASTER DATA'!Z481)</f>
        <v>N</v>
      </c>
      <c r="AA45" s="16">
        <f>IF('MASTER DATA'!AA481="","",'MASTER DATA'!AA481)</f>
        <v>2</v>
      </c>
      <c r="AB45" s="16" t="str">
        <f>IF('MASTER DATA'!AB481="","",'MASTER DATA'!AB481)</f>
        <v>MULTI-SIGNAL</v>
      </c>
      <c r="AC45" s="16" t="str">
        <f>IF('MASTER DATA'!AC481="","",'MASTER DATA'!AC481)</f>
        <v>Open Stipulation | Inactive Customer</v>
      </c>
    </row>
    <row r="46" spans="1:29" x14ac:dyDescent="0.45">
      <c r="A46" t="str">
        <f>IF('MASTER DATA'!A482="","",'MASTER DATA'!A482)</f>
        <v>SYN-CLM-0481</v>
      </c>
      <c r="B46" t="str">
        <f>IF('MASTER DATA'!B482="","",'MASTER DATA'!B482)</f>
        <v>Synthetic Claimant 0481</v>
      </c>
      <c r="C46" t="str">
        <f>IF('MASTER DATA'!C482="","",'MASTER DATA'!C482)</f>
        <v>Claims Analyst K</v>
      </c>
      <c r="D46" t="str">
        <f>IF('MASTER DATA'!D482="","",'MASTER DATA'!D482)</f>
        <v>Synthetic Policyholder 093, LLC</v>
      </c>
      <c r="E46" s="15">
        <f>IF('MASTER DATA'!E482="","",'MASTER DATA'!E482)</f>
        <v>44064</v>
      </c>
      <c r="F46" s="16" t="str">
        <f>IF('MASTER DATA'!F482="","",'MASTER DATA'!F482)</f>
        <v>Y</v>
      </c>
      <c r="G46" s="17">
        <f>IF('MASTER DATA'!G482="","",'MASTER DATA'!G482)</f>
        <v>130500</v>
      </c>
      <c r="H46" s="16" t="str">
        <f>IF('MASTER DATA'!H482="","",'MASTER DATA'!H482)</f>
        <v>Synthetic Approver 08</v>
      </c>
      <c r="I46" s="15">
        <f>IF('MASTER DATA'!I482="","",'MASTER DATA'!I482)</f>
        <v>45834</v>
      </c>
      <c r="J46" s="16" t="str">
        <f>IF('MASTER DATA'!J482="","",'MASTER DATA'!J482)</f>
        <v>N</v>
      </c>
      <c r="K46" s="15" t="str">
        <f>IF('MASTER DATA'!K482="","",'MASTER DATA'!K482)</f>
        <v/>
      </c>
      <c r="L46" s="16" t="str">
        <f>IF('MASTER DATA'!L482="","",'MASTER DATA'!L482)</f>
        <v>Y</v>
      </c>
      <c r="M46" s="16" t="str">
        <f>IF('MASTER DATA'!M482="","",'MASTER DATA'!M482)</f>
        <v>N</v>
      </c>
      <c r="N46" s="15" t="str">
        <f>IF('MASTER DATA'!N482="","",'MASTER DATA'!N482)</f>
        <v/>
      </c>
      <c r="O46" s="16" t="str">
        <f>IF('MASTER DATA'!O482="","",'MASTER DATA'!O482)</f>
        <v/>
      </c>
      <c r="P46" s="16" t="str">
        <f>IF('MASTER DATA'!P482="","",'MASTER DATA'!P482)</f>
        <v>N</v>
      </c>
      <c r="Q46" s="16" t="str">
        <f>IF('MASTER DATA'!Q482="","",'MASTER DATA'!Q482)</f>
        <v/>
      </c>
      <c r="R46" s="16" t="str">
        <f>IF('MASTER DATA'!R482="","",'MASTER DATA'!R482)</f>
        <v/>
      </c>
      <c r="S46" s="16" t="str">
        <f>IF('MASTER DATA'!S482="","",'MASTER DATA'!S482)</f>
        <v>N</v>
      </c>
      <c r="T46" s="15" t="str">
        <f>IF('MASTER DATA'!T482="","",'MASTER DATA'!T482)</f>
        <v/>
      </c>
      <c r="U46" s="16" t="str">
        <f>IF('MASTER DATA'!U482="","",'MASTER DATA'!U482)</f>
        <v>N</v>
      </c>
      <c r="V46" s="16" t="str">
        <f>IF('MASTER DATA'!V482="","",'MASTER DATA'!V482)</f>
        <v>N</v>
      </c>
      <c r="W46" s="16" t="str">
        <f>IF('MASTER DATA'!W482="","",'MASTER DATA'!W482)</f>
        <v>N</v>
      </c>
      <c r="X46" s="16" t="str">
        <f>IF('MASTER DATA'!X482="","",'MASTER DATA'!X482)</f>
        <v>N</v>
      </c>
      <c r="Y46" s="16" t="str">
        <f>IF('MASTER DATA'!Y482="","",'MASTER DATA'!Y482)</f>
        <v>N</v>
      </c>
      <c r="Z46" s="16" t="str">
        <f>IF('MASTER DATA'!Z482="","",'MASTER DATA'!Z482)</f>
        <v>N</v>
      </c>
      <c r="AA46" s="16">
        <f>IF('MASTER DATA'!AA482="","",'MASTER DATA'!AA482)</f>
        <v>1</v>
      </c>
      <c r="AB46" s="16" t="str">
        <f>IF('MASTER DATA'!AB482="","",'MASTER DATA'!AB482)</f>
        <v>SINGLE-SIGNAL</v>
      </c>
      <c r="AC46" s="16" t="str">
        <f>IF('MASTER DATA'!AC482="","",'MASTER DATA'!AC482)</f>
        <v>Settlement Authorization</v>
      </c>
    </row>
    <row r="47" spans="1:29" x14ac:dyDescent="0.45">
      <c r="A47" t="str">
        <f>IF('MASTER DATA'!A483="","",'MASTER DATA'!A483)</f>
        <v>SYN-CLM-0482</v>
      </c>
      <c r="B47" t="str">
        <f>IF('MASTER DATA'!B483="","",'MASTER DATA'!B483)</f>
        <v>Synthetic Claimant 0482</v>
      </c>
      <c r="C47" t="str">
        <f>IF('MASTER DATA'!C483="","",'MASTER DATA'!C483)</f>
        <v>Claims Analyst K</v>
      </c>
      <c r="D47" t="str">
        <f>IF('MASTER DATA'!D483="","",'MASTER DATA'!D483)</f>
        <v>Synthetic Policyholder 005, LLC</v>
      </c>
      <c r="E47" s="15">
        <f>IF('MASTER DATA'!E483="","",'MASTER DATA'!E483)</f>
        <v>43545</v>
      </c>
      <c r="F47" s="16" t="str">
        <f>IF('MASTER DATA'!F483="","",'MASTER DATA'!F483)</f>
        <v>N</v>
      </c>
      <c r="G47" s="17" t="str">
        <f>IF('MASTER DATA'!G483="","",'MASTER DATA'!G483)</f>
        <v/>
      </c>
      <c r="H47" s="16" t="str">
        <f>IF('MASTER DATA'!H483="","",'MASTER DATA'!H483)</f>
        <v/>
      </c>
      <c r="I47" s="15" t="str">
        <f>IF('MASTER DATA'!I483="","",'MASTER DATA'!I483)</f>
        <v/>
      </c>
      <c r="J47" s="16" t="str">
        <f>IF('MASTER DATA'!J483="","",'MASTER DATA'!J483)</f>
        <v>N</v>
      </c>
      <c r="K47" s="15" t="str">
        <f>IF('MASTER DATA'!K483="","",'MASTER DATA'!K483)</f>
        <v/>
      </c>
      <c r="L47" s="16" t="str">
        <f>IF('MASTER DATA'!L483="","",'MASTER DATA'!L483)</f>
        <v/>
      </c>
      <c r="M47" s="16" t="str">
        <f>IF('MASTER DATA'!M483="","",'MASTER DATA'!M483)</f>
        <v>N</v>
      </c>
      <c r="N47" s="15" t="str">
        <f>IF('MASTER DATA'!N483="","",'MASTER DATA'!N483)</f>
        <v/>
      </c>
      <c r="O47" s="16" t="str">
        <f>IF('MASTER DATA'!O483="","",'MASTER DATA'!O483)</f>
        <v/>
      </c>
      <c r="P47" s="16" t="str">
        <f>IF('MASTER DATA'!P483="","",'MASTER DATA'!P483)</f>
        <v>Y</v>
      </c>
      <c r="Q47" s="16" t="str">
        <f>IF('MASTER DATA'!Q483="","",'MASTER DATA'!Q483)</f>
        <v>MSA Eligible in Next 3 Years</v>
      </c>
      <c r="R47" s="16" t="str">
        <f>IF('MASTER DATA'!R483="","",'MASTER DATA'!R483)</f>
        <v/>
      </c>
      <c r="S47" s="16" t="str">
        <f>IF('MASTER DATA'!S483="","",'MASTER DATA'!S483)</f>
        <v>Y</v>
      </c>
      <c r="T47" s="15">
        <f>IF('MASTER DATA'!T483="","",'MASTER DATA'!T483)</f>
        <v>44472</v>
      </c>
      <c r="U47" s="16" t="str">
        <f>IF('MASTER DATA'!U483="","",'MASTER DATA'!U483)</f>
        <v>N</v>
      </c>
      <c r="V47" s="16" t="str">
        <f>IF('MASTER DATA'!V483="","",'MASTER DATA'!V483)</f>
        <v>N</v>
      </c>
      <c r="W47" s="16" t="str">
        <f>IF('MASTER DATA'!W483="","",'MASTER DATA'!W483)</f>
        <v>N</v>
      </c>
      <c r="X47" s="16" t="str">
        <f>IF('MASTER DATA'!X483="","",'MASTER DATA'!X483)</f>
        <v>N</v>
      </c>
      <c r="Y47" s="16" t="str">
        <f>IF('MASTER DATA'!Y483="","",'MASTER DATA'!Y483)</f>
        <v>N</v>
      </c>
      <c r="Z47" s="16" t="str">
        <f>IF('MASTER DATA'!Z483="","",'MASTER DATA'!Z483)</f>
        <v>Y</v>
      </c>
      <c r="AA47" s="16">
        <f>IF('MASTER DATA'!AA483="","",'MASTER DATA'!AA483)</f>
        <v>2</v>
      </c>
      <c r="AB47" s="16" t="str">
        <f>IF('MASTER DATA'!AB483="","",'MASTER DATA'!AB483)</f>
        <v>MULTI-SIGNAL</v>
      </c>
      <c r="AC47" s="16" t="str">
        <f>IF('MASTER DATA'!AC483="","",'MASTER DATA'!AC483)</f>
        <v>Automated Claim Alert | Inactive Customer</v>
      </c>
    </row>
    <row r="48" spans="1:29" x14ac:dyDescent="0.45">
      <c r="A48" t="str">
        <f>IF('MASTER DATA'!A484="","",'MASTER DATA'!A484)</f>
        <v>SYN-CLM-0483</v>
      </c>
      <c r="B48" t="str">
        <f>IF('MASTER DATA'!B484="","",'MASTER DATA'!B484)</f>
        <v>Synthetic Claimant 0483</v>
      </c>
      <c r="C48" t="str">
        <f>IF('MASTER DATA'!C484="","",'MASTER DATA'!C484)</f>
        <v>Claims Analyst K</v>
      </c>
      <c r="D48" t="str">
        <f>IF('MASTER DATA'!D484="","",'MASTER DATA'!D484)</f>
        <v>Synthetic Policyholder 125, LLC</v>
      </c>
      <c r="E48" s="15">
        <f>IF('MASTER DATA'!E484="","",'MASTER DATA'!E484)</f>
        <v>45986</v>
      </c>
      <c r="F48" s="16" t="str">
        <f>IF('MASTER DATA'!F484="","",'MASTER DATA'!F484)</f>
        <v>Y</v>
      </c>
      <c r="G48" s="17">
        <f>IF('MASTER DATA'!G484="","",'MASTER DATA'!G484)</f>
        <v>146000</v>
      </c>
      <c r="H48" s="16" t="str">
        <f>IF('MASTER DATA'!H484="","",'MASTER DATA'!H484)</f>
        <v>Synthetic Approver 01</v>
      </c>
      <c r="I48" s="15">
        <f>IF('MASTER DATA'!I484="","",'MASTER DATA'!I484)</f>
        <v>46936</v>
      </c>
      <c r="J48" s="16" t="str">
        <f>IF('MASTER DATA'!J484="","",'MASTER DATA'!J484)</f>
        <v>N</v>
      </c>
      <c r="K48" s="15" t="str">
        <f>IF('MASTER DATA'!K484="","",'MASTER DATA'!K484)</f>
        <v/>
      </c>
      <c r="L48" s="16" t="str">
        <f>IF('MASTER DATA'!L484="","",'MASTER DATA'!L484)</f>
        <v>N</v>
      </c>
      <c r="M48" s="16" t="str">
        <f>IF('MASTER DATA'!M484="","",'MASTER DATA'!M484)</f>
        <v>N</v>
      </c>
      <c r="N48" s="15" t="str">
        <f>IF('MASTER DATA'!N484="","",'MASTER DATA'!N484)</f>
        <v/>
      </c>
      <c r="O48" s="16" t="str">
        <f>IF('MASTER DATA'!O484="","",'MASTER DATA'!O484)</f>
        <v/>
      </c>
      <c r="P48" s="16" t="str">
        <f>IF('MASTER DATA'!P484="","",'MASTER DATA'!P484)</f>
        <v>N</v>
      </c>
      <c r="Q48" s="16" t="str">
        <f>IF('MASTER DATA'!Q484="","",'MASTER DATA'!Q484)</f>
        <v/>
      </c>
      <c r="R48" s="16" t="str">
        <f>IF('MASTER DATA'!R484="","",'MASTER DATA'!R484)</f>
        <v/>
      </c>
      <c r="S48" s="16" t="str">
        <f>IF('MASTER DATA'!S484="","",'MASTER DATA'!S484)</f>
        <v>N</v>
      </c>
      <c r="T48" s="15" t="str">
        <f>IF('MASTER DATA'!T484="","",'MASTER DATA'!T484)</f>
        <v/>
      </c>
      <c r="U48" s="16" t="str">
        <f>IF('MASTER DATA'!U484="","",'MASTER DATA'!U484)</f>
        <v>N</v>
      </c>
      <c r="V48" s="16" t="str">
        <f>IF('MASTER DATA'!V484="","",'MASTER DATA'!V484)</f>
        <v>N</v>
      </c>
      <c r="W48" s="16" t="str">
        <f>IF('MASTER DATA'!W484="","",'MASTER DATA'!W484)</f>
        <v>N</v>
      </c>
      <c r="X48" s="16" t="str">
        <f>IF('MASTER DATA'!X484="","",'MASTER DATA'!X484)</f>
        <v>N</v>
      </c>
      <c r="Y48" s="16" t="str">
        <f>IF('MASTER DATA'!Y484="","",'MASTER DATA'!Y484)</f>
        <v>N</v>
      </c>
      <c r="Z48" s="16" t="str">
        <f>IF('MASTER DATA'!Z484="","",'MASTER DATA'!Z484)</f>
        <v>N</v>
      </c>
      <c r="AA48" s="16">
        <f>IF('MASTER DATA'!AA484="","",'MASTER DATA'!AA484)</f>
        <v>1</v>
      </c>
      <c r="AB48" s="16" t="str">
        <f>IF('MASTER DATA'!AB484="","",'MASTER DATA'!AB484)</f>
        <v>SINGLE-SIGNAL</v>
      </c>
      <c r="AC48" s="16" t="str">
        <f>IF('MASTER DATA'!AC484="","",'MASTER DATA'!AC484)</f>
        <v>Settlement Authorization</v>
      </c>
    </row>
    <row r="49" spans="1:29" x14ac:dyDescent="0.45">
      <c r="A49" t="str">
        <f>IF('MASTER DATA'!A485="","",'MASTER DATA'!A485)</f>
        <v>SYN-CLM-0484</v>
      </c>
      <c r="B49" t="str">
        <f>IF('MASTER DATA'!B485="","",'MASTER DATA'!B485)</f>
        <v>Synthetic Claimant 0484</v>
      </c>
      <c r="C49" t="str">
        <f>IF('MASTER DATA'!C485="","",'MASTER DATA'!C485)</f>
        <v>Claims Analyst K</v>
      </c>
      <c r="D49" t="str">
        <f>IF('MASTER DATA'!D485="","",'MASTER DATA'!D485)</f>
        <v>Synthetic Policyholder 070, LLC</v>
      </c>
      <c r="E49" s="15">
        <f>IF('MASTER DATA'!E485="","",'MASTER DATA'!E485)</f>
        <v>43663</v>
      </c>
      <c r="F49" s="16" t="str">
        <f>IF('MASTER DATA'!F485="","",'MASTER DATA'!F485)</f>
        <v>Y</v>
      </c>
      <c r="G49" s="17">
        <f>IF('MASTER DATA'!G485="","",'MASTER DATA'!G485)</f>
        <v>40250</v>
      </c>
      <c r="H49" s="16" t="str">
        <f>IF('MASTER DATA'!H485="","",'MASTER DATA'!H485)</f>
        <v>Synthetic Approver 04</v>
      </c>
      <c r="I49" s="15">
        <f>IF('MASTER DATA'!I485="","",'MASTER DATA'!I485)</f>
        <v>44999</v>
      </c>
      <c r="J49" s="16" t="str">
        <f>IF('MASTER DATA'!J485="","",'MASTER DATA'!J485)</f>
        <v>N</v>
      </c>
      <c r="K49" s="15" t="str">
        <f>IF('MASTER DATA'!K485="","",'MASTER DATA'!K485)</f>
        <v/>
      </c>
      <c r="L49" s="16" t="str">
        <f>IF('MASTER DATA'!L485="","",'MASTER DATA'!L485)</f>
        <v>N</v>
      </c>
      <c r="M49" s="16" t="str">
        <f>IF('MASTER DATA'!M485="","",'MASTER DATA'!M485)</f>
        <v>N</v>
      </c>
      <c r="N49" s="15" t="str">
        <f>IF('MASTER DATA'!N485="","",'MASTER DATA'!N485)</f>
        <v/>
      </c>
      <c r="O49" s="16" t="str">
        <f>IF('MASTER DATA'!O485="","",'MASTER DATA'!O485)</f>
        <v/>
      </c>
      <c r="P49" s="16" t="str">
        <f>IF('MASTER DATA'!P485="","",'MASTER DATA'!P485)</f>
        <v>N</v>
      </c>
      <c r="Q49" s="16" t="str">
        <f>IF('MASTER DATA'!Q485="","",'MASTER DATA'!Q485)</f>
        <v/>
      </c>
      <c r="R49" s="16" t="str">
        <f>IF('MASTER DATA'!R485="","",'MASTER DATA'!R485)</f>
        <v/>
      </c>
      <c r="S49" s="16" t="str">
        <f>IF('MASTER DATA'!S485="","",'MASTER DATA'!S485)</f>
        <v>Y</v>
      </c>
      <c r="T49" s="15">
        <f>IF('MASTER DATA'!T485="","",'MASTER DATA'!T485)</f>
        <v>45564</v>
      </c>
      <c r="U49" s="16" t="str">
        <f>IF('MASTER DATA'!U485="","",'MASTER DATA'!U485)</f>
        <v>N</v>
      </c>
      <c r="V49" s="16" t="str">
        <f>IF('MASTER DATA'!V485="","",'MASTER DATA'!V485)</f>
        <v>N</v>
      </c>
      <c r="W49" s="16" t="str">
        <f>IF('MASTER DATA'!W485="","",'MASTER DATA'!W485)</f>
        <v>N</v>
      </c>
      <c r="X49" s="16" t="str">
        <f>IF('MASTER DATA'!X485="","",'MASTER DATA'!X485)</f>
        <v>N</v>
      </c>
      <c r="Y49" s="16" t="str">
        <f>IF('MASTER DATA'!Y485="","",'MASTER DATA'!Y485)</f>
        <v>N</v>
      </c>
      <c r="Z49" s="16" t="str">
        <f>IF('MASTER DATA'!Z485="","",'MASTER DATA'!Z485)</f>
        <v>N</v>
      </c>
      <c r="AA49" s="16">
        <f>IF('MASTER DATA'!AA485="","",'MASTER DATA'!AA485)</f>
        <v>2</v>
      </c>
      <c r="AB49" s="16" t="str">
        <f>IF('MASTER DATA'!AB485="","",'MASTER DATA'!AB485)</f>
        <v>MULTI-SIGNAL</v>
      </c>
      <c r="AC49" s="16" t="str">
        <f>IF('MASTER DATA'!AC485="","",'MASTER DATA'!AC485)</f>
        <v>Settlement Authorization | Inactive Customer</v>
      </c>
    </row>
    <row r="50" spans="1:29" x14ac:dyDescent="0.45">
      <c r="A50" t="str">
        <f>IF('MASTER DATA'!A486="","",'MASTER DATA'!A486)</f>
        <v>SYN-CLM-0485</v>
      </c>
      <c r="B50" t="str">
        <f>IF('MASTER DATA'!B486="","",'MASTER DATA'!B486)</f>
        <v>Synthetic Claimant 0485</v>
      </c>
      <c r="C50" t="str">
        <f>IF('MASTER DATA'!C486="","",'MASTER DATA'!C486)</f>
        <v>Claims Analyst K</v>
      </c>
      <c r="D50" t="str">
        <f>IF('MASTER DATA'!D486="","",'MASTER DATA'!D486)</f>
        <v>Synthetic Policyholder 116, LLC</v>
      </c>
      <c r="E50" s="15">
        <f>IF('MASTER DATA'!E486="","",'MASTER DATA'!E486)</f>
        <v>44723</v>
      </c>
      <c r="F50" s="16" t="str">
        <f>IF('MASTER DATA'!F486="","",'MASTER DATA'!F486)</f>
        <v>Y</v>
      </c>
      <c r="G50" s="17">
        <f>IF('MASTER DATA'!G486="","",'MASTER DATA'!G486)</f>
        <v>81750</v>
      </c>
      <c r="H50" s="16" t="str">
        <f>IF('MASTER DATA'!H486="","",'MASTER DATA'!H486)</f>
        <v>Synthetic Approver 04</v>
      </c>
      <c r="I50" s="15">
        <f>IF('MASTER DATA'!I486="","",'MASTER DATA'!I486)</f>
        <v>45443</v>
      </c>
      <c r="J50" s="16" t="str">
        <f>IF('MASTER DATA'!J486="","",'MASTER DATA'!J486)</f>
        <v>N</v>
      </c>
      <c r="K50" s="15" t="str">
        <f>IF('MASTER DATA'!K486="","",'MASTER DATA'!K486)</f>
        <v/>
      </c>
      <c r="L50" s="16" t="str">
        <f>IF('MASTER DATA'!L486="","",'MASTER DATA'!L486)</f>
        <v>Y</v>
      </c>
      <c r="M50" s="16" t="str">
        <f>IF('MASTER DATA'!M486="","",'MASTER DATA'!M486)</f>
        <v>N</v>
      </c>
      <c r="N50" s="15" t="str">
        <f>IF('MASTER DATA'!N486="","",'MASTER DATA'!N486)</f>
        <v/>
      </c>
      <c r="O50" s="16" t="str">
        <f>IF('MASTER DATA'!O486="","",'MASTER DATA'!O486)</f>
        <v/>
      </c>
      <c r="P50" s="16" t="str">
        <f>IF('MASTER DATA'!P486="","",'MASTER DATA'!P486)</f>
        <v>N</v>
      </c>
      <c r="Q50" s="16" t="str">
        <f>IF('MASTER DATA'!Q486="","",'MASTER DATA'!Q486)</f>
        <v/>
      </c>
      <c r="R50" s="16" t="str">
        <f>IF('MASTER DATA'!R486="","",'MASTER DATA'!R486)</f>
        <v/>
      </c>
      <c r="S50" s="16" t="str">
        <f>IF('MASTER DATA'!S486="","",'MASTER DATA'!S486)</f>
        <v>N</v>
      </c>
      <c r="T50" s="15" t="str">
        <f>IF('MASTER DATA'!T486="","",'MASTER DATA'!T486)</f>
        <v/>
      </c>
      <c r="U50" s="16" t="str">
        <f>IF('MASTER DATA'!U486="","",'MASTER DATA'!U486)</f>
        <v>N</v>
      </c>
      <c r="V50" s="16" t="str">
        <f>IF('MASTER DATA'!V486="","",'MASTER DATA'!V486)</f>
        <v>N</v>
      </c>
      <c r="W50" s="16" t="str">
        <f>IF('MASTER DATA'!W486="","",'MASTER DATA'!W486)</f>
        <v>N</v>
      </c>
      <c r="X50" s="16" t="str">
        <f>IF('MASTER DATA'!X486="","",'MASTER DATA'!X486)</f>
        <v>N</v>
      </c>
      <c r="Y50" s="16" t="str">
        <f>IF('MASTER DATA'!Y486="","",'MASTER DATA'!Y486)</f>
        <v>N</v>
      </c>
      <c r="Z50" s="16" t="str">
        <f>IF('MASTER DATA'!Z486="","",'MASTER DATA'!Z486)</f>
        <v>N</v>
      </c>
      <c r="AA50" s="16">
        <f>IF('MASTER DATA'!AA486="","",'MASTER DATA'!AA486)</f>
        <v>1</v>
      </c>
      <c r="AB50" s="16" t="str">
        <f>IF('MASTER DATA'!AB486="","",'MASTER DATA'!AB486)</f>
        <v>SINGLE-SIGNAL</v>
      </c>
      <c r="AC50" s="16" t="str">
        <f>IF('MASTER DATA'!AC486="","",'MASTER DATA'!AC486)</f>
        <v>Settlement Authorization</v>
      </c>
    </row>
    <row r="51" spans="1:29" x14ac:dyDescent="0.45">
      <c r="A51" t="str">
        <f>IF('MASTER DATA'!A487="","",'MASTER DATA'!A487)</f>
        <v>SYN-CLM-0486</v>
      </c>
      <c r="B51" t="str">
        <f>IF('MASTER DATA'!B487="","",'MASTER DATA'!B487)</f>
        <v>Synthetic Claimant 0486</v>
      </c>
      <c r="C51" t="str">
        <f>IF('MASTER DATA'!C487="","",'MASTER DATA'!C487)</f>
        <v>Claims Analyst K</v>
      </c>
      <c r="D51" t="str">
        <f>IF('MASTER DATA'!D487="","",'MASTER DATA'!D487)</f>
        <v>Synthetic Policyholder 010, LLC</v>
      </c>
      <c r="E51" s="15">
        <f>IF('MASTER DATA'!E487="","",'MASTER DATA'!E487)</f>
        <v>43535</v>
      </c>
      <c r="F51" s="16" t="str">
        <f>IF('MASTER DATA'!F487="","",'MASTER DATA'!F487)</f>
        <v>N</v>
      </c>
      <c r="G51" s="17" t="str">
        <f>IF('MASTER DATA'!G487="","",'MASTER DATA'!G487)</f>
        <v/>
      </c>
      <c r="H51" s="16" t="str">
        <f>IF('MASTER DATA'!H487="","",'MASTER DATA'!H487)</f>
        <v/>
      </c>
      <c r="I51" s="15" t="str">
        <f>IF('MASTER DATA'!I487="","",'MASTER DATA'!I487)</f>
        <v/>
      </c>
      <c r="J51" s="16" t="str">
        <f>IF('MASTER DATA'!J487="","",'MASTER DATA'!J487)</f>
        <v>N</v>
      </c>
      <c r="K51" s="15" t="str">
        <f>IF('MASTER DATA'!K487="","",'MASTER DATA'!K487)</f>
        <v/>
      </c>
      <c r="L51" s="16" t="str">
        <f>IF('MASTER DATA'!L487="","",'MASTER DATA'!L487)</f>
        <v/>
      </c>
      <c r="M51" s="16" t="str">
        <f>IF('MASTER DATA'!M487="","",'MASTER DATA'!M487)</f>
        <v>Y</v>
      </c>
      <c r="N51" s="15">
        <f>IF('MASTER DATA'!N487="","",'MASTER DATA'!N487)</f>
        <v>45394</v>
      </c>
      <c r="O51" s="16" t="str">
        <f>IF('MASTER DATA'!O487="","",'MASTER DATA'!O487)</f>
        <v>Synthetic QME Evaluator 03</v>
      </c>
      <c r="P51" s="16" t="str">
        <f>IF('MASTER DATA'!P487="","",'MASTER DATA'!P487)</f>
        <v>N</v>
      </c>
      <c r="Q51" s="16" t="str">
        <f>IF('MASTER DATA'!Q487="","",'MASTER DATA'!Q487)</f>
        <v/>
      </c>
      <c r="R51" s="16" t="str">
        <f>IF('MASTER DATA'!R487="","",'MASTER DATA'!R487)</f>
        <v/>
      </c>
      <c r="S51" s="16" t="str">
        <f>IF('MASTER DATA'!S487="","",'MASTER DATA'!S487)</f>
        <v>N</v>
      </c>
      <c r="T51" s="15" t="str">
        <f>IF('MASTER DATA'!T487="","",'MASTER DATA'!T487)</f>
        <v/>
      </c>
      <c r="U51" s="16" t="str">
        <f>IF('MASTER DATA'!U487="","",'MASTER DATA'!U487)</f>
        <v>N</v>
      </c>
      <c r="V51" s="16" t="str">
        <f>IF('MASTER DATA'!V487="","",'MASTER DATA'!V487)</f>
        <v>N</v>
      </c>
      <c r="W51" s="16" t="str">
        <f>IF('MASTER DATA'!W487="","",'MASTER DATA'!W487)</f>
        <v>N</v>
      </c>
      <c r="X51" s="16" t="str">
        <f>IF('MASTER DATA'!X487="","",'MASTER DATA'!X487)</f>
        <v>N</v>
      </c>
      <c r="Y51" s="16" t="str">
        <f>IF('MASTER DATA'!Y487="","",'MASTER DATA'!Y487)</f>
        <v>N</v>
      </c>
      <c r="Z51" s="16" t="str">
        <f>IF('MASTER DATA'!Z487="","",'MASTER DATA'!Z487)</f>
        <v>N</v>
      </c>
      <c r="AA51" s="16">
        <f>IF('MASTER DATA'!AA487="","",'MASTER DATA'!AA487)</f>
        <v>1</v>
      </c>
      <c r="AB51" s="16" t="str">
        <f>IF('MASTER DATA'!AB487="","",'MASTER DATA'!AB487)</f>
        <v>SINGLE-SIGNAL</v>
      </c>
      <c r="AC51" s="16" t="str">
        <f>IF('MASTER DATA'!AC487="","",'MASTER DATA'!AC487)</f>
        <v>Pending QME</v>
      </c>
    </row>
    <row r="52" spans="1:29" x14ac:dyDescent="0.45">
      <c r="A52" t="str">
        <f>IF('MASTER DATA'!A488="","",'MASTER DATA'!A488)</f>
        <v>SYN-CLM-0487</v>
      </c>
      <c r="B52" t="str">
        <f>IF('MASTER DATA'!B488="","",'MASTER DATA'!B488)</f>
        <v>Synthetic Claimant 0487</v>
      </c>
      <c r="C52" t="str">
        <f>IF('MASTER DATA'!C488="","",'MASTER DATA'!C488)</f>
        <v>Claims Analyst K</v>
      </c>
      <c r="D52" t="str">
        <f>IF('MASTER DATA'!D488="","",'MASTER DATA'!D488)</f>
        <v>Synthetic Policyholder 068, LLC</v>
      </c>
      <c r="E52" s="15">
        <f>IF('MASTER DATA'!E488="","",'MASTER DATA'!E488)</f>
        <v>45236</v>
      </c>
      <c r="F52" s="16" t="str">
        <f>IF('MASTER DATA'!F488="","",'MASTER DATA'!F488)</f>
        <v>Y</v>
      </c>
      <c r="G52" s="17">
        <f>IF('MASTER DATA'!G488="","",'MASTER DATA'!G488)</f>
        <v>89750</v>
      </c>
      <c r="H52" s="16" t="str">
        <f>IF('MASTER DATA'!H488="","",'MASTER DATA'!H488)</f>
        <v>Synthetic Approver 06</v>
      </c>
      <c r="I52" s="15">
        <f>IF('MASTER DATA'!I488="","",'MASTER DATA'!I488)</f>
        <v>46431</v>
      </c>
      <c r="J52" s="16" t="str">
        <f>IF('MASTER DATA'!J488="","",'MASTER DATA'!J488)</f>
        <v>N</v>
      </c>
      <c r="K52" s="15" t="str">
        <f>IF('MASTER DATA'!K488="","",'MASTER DATA'!K488)</f>
        <v/>
      </c>
      <c r="L52" s="16" t="str">
        <f>IF('MASTER DATA'!L488="","",'MASTER DATA'!L488)</f>
        <v>Y</v>
      </c>
      <c r="M52" s="16" t="str">
        <f>IF('MASTER DATA'!M488="","",'MASTER DATA'!M488)</f>
        <v>N</v>
      </c>
      <c r="N52" s="15" t="str">
        <f>IF('MASTER DATA'!N488="","",'MASTER DATA'!N488)</f>
        <v/>
      </c>
      <c r="O52" s="16" t="str">
        <f>IF('MASTER DATA'!O488="","",'MASTER DATA'!O488)</f>
        <v/>
      </c>
      <c r="P52" s="16" t="str">
        <f>IF('MASTER DATA'!P488="","",'MASTER DATA'!P488)</f>
        <v>N</v>
      </c>
      <c r="Q52" s="16" t="str">
        <f>IF('MASTER DATA'!Q488="","",'MASTER DATA'!Q488)</f>
        <v/>
      </c>
      <c r="R52" s="16" t="str">
        <f>IF('MASTER DATA'!R488="","",'MASTER DATA'!R488)</f>
        <v/>
      </c>
      <c r="S52" s="16" t="str">
        <f>IF('MASTER DATA'!S488="","",'MASTER DATA'!S488)</f>
        <v>N</v>
      </c>
      <c r="T52" s="15" t="str">
        <f>IF('MASTER DATA'!T488="","",'MASTER DATA'!T488)</f>
        <v/>
      </c>
      <c r="U52" s="16" t="str">
        <f>IF('MASTER DATA'!U488="","",'MASTER DATA'!U488)</f>
        <v>N</v>
      </c>
      <c r="V52" s="16" t="str">
        <f>IF('MASTER DATA'!V488="","",'MASTER DATA'!V488)</f>
        <v>N</v>
      </c>
      <c r="W52" s="16" t="str">
        <f>IF('MASTER DATA'!W488="","",'MASTER DATA'!W488)</f>
        <v>N</v>
      </c>
      <c r="X52" s="16" t="str">
        <f>IF('MASTER DATA'!X488="","",'MASTER DATA'!X488)</f>
        <v>N</v>
      </c>
      <c r="Y52" s="16" t="str">
        <f>IF('MASTER DATA'!Y488="","",'MASTER DATA'!Y488)</f>
        <v>N</v>
      </c>
      <c r="Z52" s="16" t="str">
        <f>IF('MASTER DATA'!Z488="","",'MASTER DATA'!Z488)</f>
        <v>N</v>
      </c>
      <c r="AA52" s="16">
        <f>IF('MASTER DATA'!AA488="","",'MASTER DATA'!AA488)</f>
        <v>1</v>
      </c>
      <c r="AB52" s="16" t="str">
        <f>IF('MASTER DATA'!AB488="","",'MASTER DATA'!AB488)</f>
        <v>SINGLE-SIGNAL</v>
      </c>
      <c r="AC52" s="16" t="str">
        <f>IF('MASTER DATA'!AC488="","",'MASTER DATA'!AC488)</f>
        <v>Settlement Authorization</v>
      </c>
    </row>
    <row r="53" spans="1:29" x14ac:dyDescent="0.45">
      <c r="A53" t="str">
        <f>IF('MASTER DATA'!A489="","",'MASTER DATA'!A489)</f>
        <v>SYN-CLM-0488</v>
      </c>
      <c r="B53" t="str">
        <f>IF('MASTER DATA'!B489="","",'MASTER DATA'!B489)</f>
        <v>Synthetic Claimant 0488</v>
      </c>
      <c r="C53" t="str">
        <f>IF('MASTER DATA'!C489="","",'MASTER DATA'!C489)</f>
        <v>Claims Analyst K</v>
      </c>
      <c r="D53" t="str">
        <f>IF('MASTER DATA'!D489="","",'MASTER DATA'!D489)</f>
        <v>Synthetic Policyholder 168, LLC</v>
      </c>
      <c r="E53" s="15">
        <f>IF('MASTER DATA'!E489="","",'MASTER DATA'!E489)</f>
        <v>45180</v>
      </c>
      <c r="F53" s="16" t="str">
        <f>IF('MASTER DATA'!F489="","",'MASTER DATA'!F489)</f>
        <v>Y</v>
      </c>
      <c r="G53" s="17">
        <f>IF('MASTER DATA'!G489="","",'MASTER DATA'!G489)</f>
        <v>42750</v>
      </c>
      <c r="H53" s="16" t="str">
        <f>IF('MASTER DATA'!H489="","",'MASTER DATA'!H489)</f>
        <v>Synthetic Approver 04</v>
      </c>
      <c r="I53" s="15">
        <f>IF('MASTER DATA'!I489="","",'MASTER DATA'!I489)</f>
        <v>46399</v>
      </c>
      <c r="J53" s="16" t="str">
        <f>IF('MASTER DATA'!J489="","",'MASTER DATA'!J489)</f>
        <v>N</v>
      </c>
      <c r="K53" s="15" t="str">
        <f>IF('MASTER DATA'!K489="","",'MASTER DATA'!K489)</f>
        <v/>
      </c>
      <c r="L53" s="16" t="str">
        <f>IF('MASTER DATA'!L489="","",'MASTER DATA'!L489)</f>
        <v>Y</v>
      </c>
      <c r="M53" s="16" t="str">
        <f>IF('MASTER DATA'!M489="","",'MASTER DATA'!M489)</f>
        <v>N</v>
      </c>
      <c r="N53" s="15" t="str">
        <f>IF('MASTER DATA'!N489="","",'MASTER DATA'!N489)</f>
        <v/>
      </c>
      <c r="O53" s="16" t="str">
        <f>IF('MASTER DATA'!O489="","",'MASTER DATA'!O489)</f>
        <v/>
      </c>
      <c r="P53" s="16" t="str">
        <f>IF('MASTER DATA'!P489="","",'MASTER DATA'!P489)</f>
        <v>N</v>
      </c>
      <c r="Q53" s="16" t="str">
        <f>IF('MASTER DATA'!Q489="","",'MASTER DATA'!Q489)</f>
        <v/>
      </c>
      <c r="R53" s="16" t="str">
        <f>IF('MASTER DATA'!R489="","",'MASTER DATA'!R489)</f>
        <v/>
      </c>
      <c r="S53" s="16" t="str">
        <f>IF('MASTER DATA'!S489="","",'MASTER DATA'!S489)</f>
        <v>N</v>
      </c>
      <c r="T53" s="15" t="str">
        <f>IF('MASTER DATA'!T489="","",'MASTER DATA'!T489)</f>
        <v/>
      </c>
      <c r="U53" s="16" t="str">
        <f>IF('MASTER DATA'!U489="","",'MASTER DATA'!U489)</f>
        <v>N</v>
      </c>
      <c r="V53" s="16" t="str">
        <f>IF('MASTER DATA'!V489="","",'MASTER DATA'!V489)</f>
        <v>N</v>
      </c>
      <c r="W53" s="16" t="str">
        <f>IF('MASTER DATA'!W489="","",'MASTER DATA'!W489)</f>
        <v>N</v>
      </c>
      <c r="X53" s="16" t="str">
        <f>IF('MASTER DATA'!X489="","",'MASTER DATA'!X489)</f>
        <v>N</v>
      </c>
      <c r="Y53" s="16" t="str">
        <f>IF('MASTER DATA'!Y489="","",'MASTER DATA'!Y489)</f>
        <v>N</v>
      </c>
      <c r="Z53" s="16" t="str">
        <f>IF('MASTER DATA'!Z489="","",'MASTER DATA'!Z489)</f>
        <v>N</v>
      </c>
      <c r="AA53" s="16">
        <f>IF('MASTER DATA'!AA489="","",'MASTER DATA'!AA489)</f>
        <v>1</v>
      </c>
      <c r="AB53" s="16" t="str">
        <f>IF('MASTER DATA'!AB489="","",'MASTER DATA'!AB489)</f>
        <v>SINGLE-SIGNAL</v>
      </c>
      <c r="AC53" s="16" t="str">
        <f>IF('MASTER DATA'!AC489="","",'MASTER DATA'!AC489)</f>
        <v>Settlement Authorization</v>
      </c>
    </row>
    <row r="54" spans="1:29" x14ac:dyDescent="0.45">
      <c r="A54" t="str">
        <f>IF('MASTER DATA'!A490="","",'MASTER DATA'!A490)</f>
        <v>SYN-CLM-0489</v>
      </c>
      <c r="B54" t="str">
        <f>IF('MASTER DATA'!B490="","",'MASTER DATA'!B490)</f>
        <v>Synthetic Claimant 0489</v>
      </c>
      <c r="C54" t="str">
        <f>IF('MASTER DATA'!C490="","",'MASTER DATA'!C490)</f>
        <v>Claims Analyst K</v>
      </c>
      <c r="D54" t="str">
        <f>IF('MASTER DATA'!D490="","",'MASTER DATA'!D490)</f>
        <v>Synthetic Policyholder 116, LLC</v>
      </c>
      <c r="E54" s="15">
        <f>IF('MASTER DATA'!E490="","",'MASTER DATA'!E490)</f>
        <v>43311</v>
      </c>
      <c r="F54" s="16" t="str">
        <f>IF('MASTER DATA'!F490="","",'MASTER DATA'!F490)</f>
        <v>Y</v>
      </c>
      <c r="G54" s="17">
        <f>IF('MASTER DATA'!G490="","",'MASTER DATA'!G490)</f>
        <v>41750</v>
      </c>
      <c r="H54" s="16" t="str">
        <f>IF('MASTER DATA'!H490="","",'MASTER DATA'!H490)</f>
        <v>Synthetic Approver 10</v>
      </c>
      <c r="I54" s="15">
        <f>IF('MASTER DATA'!I490="","",'MASTER DATA'!I490)</f>
        <v>44850</v>
      </c>
      <c r="J54" s="16" t="str">
        <f>IF('MASTER DATA'!J490="","",'MASTER DATA'!J490)</f>
        <v>N</v>
      </c>
      <c r="K54" s="15" t="str">
        <f>IF('MASTER DATA'!K490="","",'MASTER DATA'!K490)</f>
        <v/>
      </c>
      <c r="L54" s="16" t="str">
        <f>IF('MASTER DATA'!L490="","",'MASTER DATA'!L490)</f>
        <v>N</v>
      </c>
      <c r="M54" s="16" t="str">
        <f>IF('MASTER DATA'!M490="","",'MASTER DATA'!M490)</f>
        <v>N</v>
      </c>
      <c r="N54" s="15" t="str">
        <f>IF('MASTER DATA'!N490="","",'MASTER DATA'!N490)</f>
        <v/>
      </c>
      <c r="O54" s="16" t="str">
        <f>IF('MASTER DATA'!O490="","",'MASTER DATA'!O490)</f>
        <v/>
      </c>
      <c r="P54" s="16" t="str">
        <f>IF('MASTER DATA'!P490="","",'MASTER DATA'!P490)</f>
        <v>N</v>
      </c>
      <c r="Q54" s="16" t="str">
        <f>IF('MASTER DATA'!Q490="","",'MASTER DATA'!Q490)</f>
        <v/>
      </c>
      <c r="R54" s="16" t="str">
        <f>IF('MASTER DATA'!R490="","",'MASTER DATA'!R490)</f>
        <v/>
      </c>
      <c r="S54" s="16" t="str">
        <f>IF('MASTER DATA'!S490="","",'MASTER DATA'!S490)</f>
        <v>Y</v>
      </c>
      <c r="T54" s="15">
        <f>IF('MASTER DATA'!T490="","",'MASTER DATA'!T490)</f>
        <v>44776</v>
      </c>
      <c r="U54" s="16" t="str">
        <f>IF('MASTER DATA'!U490="","",'MASTER DATA'!U490)</f>
        <v>N</v>
      </c>
      <c r="V54" s="16" t="str">
        <f>IF('MASTER DATA'!V490="","",'MASTER DATA'!V490)</f>
        <v>N</v>
      </c>
      <c r="W54" s="16" t="str">
        <f>IF('MASTER DATA'!W490="","",'MASTER DATA'!W490)</f>
        <v>N</v>
      </c>
      <c r="X54" s="16" t="str">
        <f>IF('MASTER DATA'!X490="","",'MASTER DATA'!X490)</f>
        <v>N</v>
      </c>
      <c r="Y54" s="16" t="str">
        <f>IF('MASTER DATA'!Y490="","",'MASTER DATA'!Y490)</f>
        <v>N</v>
      </c>
      <c r="Z54" s="16" t="str">
        <f>IF('MASTER DATA'!Z490="","",'MASTER DATA'!Z490)</f>
        <v>N</v>
      </c>
      <c r="AA54" s="16">
        <f>IF('MASTER DATA'!AA490="","",'MASTER DATA'!AA490)</f>
        <v>2</v>
      </c>
      <c r="AB54" s="16" t="str">
        <f>IF('MASTER DATA'!AB490="","",'MASTER DATA'!AB490)</f>
        <v>MULTI-SIGNAL</v>
      </c>
      <c r="AC54" s="16" t="str">
        <f>IF('MASTER DATA'!AC490="","",'MASTER DATA'!AC490)</f>
        <v>Settlement Authorization | Inactive Customer</v>
      </c>
    </row>
    <row r="55" spans="1:29" x14ac:dyDescent="0.45">
      <c r="A55" t="str">
        <f>IF('MASTER DATA'!A491="","",'MASTER DATA'!A491)</f>
        <v>SYN-CLM-0490</v>
      </c>
      <c r="B55" t="str">
        <f>IF('MASTER DATA'!B491="","",'MASTER DATA'!B491)</f>
        <v>Synthetic Claimant 0490</v>
      </c>
      <c r="C55" t="str">
        <f>IF('MASTER DATA'!C491="","",'MASTER DATA'!C491)</f>
        <v>Claims Analyst K</v>
      </c>
      <c r="D55" t="str">
        <f>IF('MASTER DATA'!D491="","",'MASTER DATA'!D491)</f>
        <v>Synthetic Policyholder 124, LLC</v>
      </c>
      <c r="E55" s="15">
        <f>IF('MASTER DATA'!E491="","",'MASTER DATA'!E491)</f>
        <v>43578</v>
      </c>
      <c r="F55" s="16" t="str">
        <f>IF('MASTER DATA'!F491="","",'MASTER DATA'!F491)</f>
        <v>Y</v>
      </c>
      <c r="G55" s="17">
        <f>IF('MASTER DATA'!G491="","",'MASTER DATA'!G491)</f>
        <v>164500</v>
      </c>
      <c r="H55" s="16" t="str">
        <f>IF('MASTER DATA'!H491="","",'MASTER DATA'!H491)</f>
        <v>Synthetic Approver 04</v>
      </c>
      <c r="I55" s="15">
        <f>IF('MASTER DATA'!I491="","",'MASTER DATA'!I491)</f>
        <v>43755</v>
      </c>
      <c r="J55" s="16" t="str">
        <f>IF('MASTER DATA'!J491="","",'MASTER DATA'!J491)</f>
        <v>N</v>
      </c>
      <c r="K55" s="15" t="str">
        <f>IF('MASTER DATA'!K491="","",'MASTER DATA'!K491)</f>
        <v/>
      </c>
      <c r="L55" s="16" t="str">
        <f>IF('MASTER DATA'!L491="","",'MASTER DATA'!L491)</f>
        <v>Y</v>
      </c>
      <c r="M55" s="16" t="str">
        <f>IF('MASTER DATA'!M491="","",'MASTER DATA'!M491)</f>
        <v>Y</v>
      </c>
      <c r="N55" s="15">
        <f>IF('MASTER DATA'!N491="","",'MASTER DATA'!N491)</f>
        <v>45151</v>
      </c>
      <c r="O55" s="16" t="str">
        <f>IF('MASTER DATA'!O491="","",'MASTER DATA'!O491)</f>
        <v>Synthetic QME Evaluator 21</v>
      </c>
      <c r="P55" s="16" t="str">
        <f>IF('MASTER DATA'!P491="","",'MASTER DATA'!P491)</f>
        <v>N</v>
      </c>
      <c r="Q55" s="16" t="str">
        <f>IF('MASTER DATA'!Q491="","",'MASTER DATA'!Q491)</f>
        <v/>
      </c>
      <c r="R55" s="16" t="str">
        <f>IF('MASTER DATA'!R491="","",'MASTER DATA'!R491)</f>
        <v/>
      </c>
      <c r="S55" s="16" t="str">
        <f>IF('MASTER DATA'!S491="","",'MASTER DATA'!S491)</f>
        <v>Y</v>
      </c>
      <c r="T55" s="15">
        <f>IF('MASTER DATA'!T491="","",'MASTER DATA'!T491)</f>
        <v>44809</v>
      </c>
      <c r="U55" s="16" t="str">
        <f>IF('MASTER DATA'!U491="","",'MASTER DATA'!U491)</f>
        <v>N</v>
      </c>
      <c r="V55" s="16" t="str">
        <f>IF('MASTER DATA'!V491="","",'MASTER DATA'!V491)</f>
        <v>N</v>
      </c>
      <c r="W55" s="16" t="str">
        <f>IF('MASTER DATA'!W491="","",'MASTER DATA'!W491)</f>
        <v>N</v>
      </c>
      <c r="X55" s="16" t="str">
        <f>IF('MASTER DATA'!X491="","",'MASTER DATA'!X491)</f>
        <v>N</v>
      </c>
      <c r="Y55" s="16" t="str">
        <f>IF('MASTER DATA'!Y491="","",'MASTER DATA'!Y491)</f>
        <v>N</v>
      </c>
      <c r="Z55" s="16" t="str">
        <f>IF('MASTER DATA'!Z491="","",'MASTER DATA'!Z491)</f>
        <v>N</v>
      </c>
      <c r="AA55" s="16">
        <f>IF('MASTER DATA'!AA491="","",'MASTER DATA'!AA491)</f>
        <v>3</v>
      </c>
      <c r="AB55" s="16" t="str">
        <f>IF('MASTER DATA'!AB491="","",'MASTER DATA'!AB491)</f>
        <v>ELEVATED MULTI-SIGNAL</v>
      </c>
      <c r="AC55" s="16" t="str">
        <f>IF('MASTER DATA'!AC491="","",'MASTER DATA'!AC491)</f>
        <v>Settlement Authorization | Pending QME | Inactive Customer</v>
      </c>
    </row>
    <row r="56" spans="1:29" x14ac:dyDescent="0.45">
      <c r="A56" t="str">
        <f>IF('MASTER DATA'!A492="","",'MASTER DATA'!A492)</f>
        <v>SYN-CLM-0491</v>
      </c>
      <c r="B56" t="str">
        <f>IF('MASTER DATA'!B492="","",'MASTER DATA'!B492)</f>
        <v>Synthetic Claimant 0491</v>
      </c>
      <c r="C56" t="str">
        <f>IF('MASTER DATA'!C492="","",'MASTER DATA'!C492)</f>
        <v>Claims Analyst K</v>
      </c>
      <c r="D56" t="str">
        <f>IF('MASTER DATA'!D492="","",'MASTER DATA'!D492)</f>
        <v>Synthetic Policyholder 129, LLC</v>
      </c>
      <c r="E56" s="15">
        <f>IF('MASTER DATA'!E492="","",'MASTER DATA'!E492)</f>
        <v>45214</v>
      </c>
      <c r="F56" s="16" t="str">
        <f>IF('MASTER DATA'!F492="","",'MASTER DATA'!F492)</f>
        <v>Y</v>
      </c>
      <c r="G56" s="17">
        <f>IF('MASTER DATA'!G492="","",'MASTER DATA'!G492)</f>
        <v>20750</v>
      </c>
      <c r="H56" s="16" t="str">
        <f>IF('MASTER DATA'!H492="","",'MASTER DATA'!H492)</f>
        <v>Synthetic Approver 01</v>
      </c>
      <c r="I56" s="15">
        <f>IF('MASTER DATA'!I492="","",'MASTER DATA'!I492)</f>
        <v>46090</v>
      </c>
      <c r="J56" s="16" t="str">
        <f>IF('MASTER DATA'!J492="","",'MASTER DATA'!J492)</f>
        <v>N</v>
      </c>
      <c r="K56" s="15" t="str">
        <f>IF('MASTER DATA'!K492="","",'MASTER DATA'!K492)</f>
        <v/>
      </c>
      <c r="L56" s="16" t="str">
        <f>IF('MASTER DATA'!L492="","",'MASTER DATA'!L492)</f>
        <v>N</v>
      </c>
      <c r="M56" s="16" t="str">
        <f>IF('MASTER DATA'!M492="","",'MASTER DATA'!M492)</f>
        <v>N</v>
      </c>
      <c r="N56" s="15" t="str">
        <f>IF('MASTER DATA'!N492="","",'MASTER DATA'!N492)</f>
        <v/>
      </c>
      <c r="O56" s="16" t="str">
        <f>IF('MASTER DATA'!O492="","",'MASTER DATA'!O492)</f>
        <v/>
      </c>
      <c r="P56" s="16" t="str">
        <f>IF('MASTER DATA'!P492="","",'MASTER DATA'!P492)</f>
        <v>Y</v>
      </c>
      <c r="Q56" s="16" t="str">
        <f>IF('MASTER DATA'!Q492="","",'MASTER DATA'!Q492)</f>
        <v>MMI Date Reported; MSA Eligible in Next 3 Years; Non-Renewed Account</v>
      </c>
      <c r="R56" s="16" t="str">
        <f>IF('MASTER DATA'!R492="","",'MASTER DATA'!R492)</f>
        <v/>
      </c>
      <c r="S56" s="16" t="str">
        <f>IF('MASTER DATA'!S492="","",'MASTER DATA'!S492)</f>
        <v>Y</v>
      </c>
      <c r="T56" s="15">
        <f>IF('MASTER DATA'!T492="","",'MASTER DATA'!T492)</f>
        <v>46490</v>
      </c>
      <c r="U56" s="16" t="str">
        <f>IF('MASTER DATA'!U492="","",'MASTER DATA'!U492)</f>
        <v>N</v>
      </c>
      <c r="V56" s="16" t="str">
        <f>IF('MASTER DATA'!V492="","",'MASTER DATA'!V492)</f>
        <v>Y</v>
      </c>
      <c r="W56" s="16" t="str">
        <f>IF('MASTER DATA'!W492="","",'MASTER DATA'!W492)</f>
        <v>N</v>
      </c>
      <c r="X56" s="16" t="str">
        <f>IF('MASTER DATA'!X492="","",'MASTER DATA'!X492)</f>
        <v>N</v>
      </c>
      <c r="Y56" s="16" t="str">
        <f>IF('MASTER DATA'!Y492="","",'MASTER DATA'!Y492)</f>
        <v>Y</v>
      </c>
      <c r="Z56" s="16" t="str">
        <f>IF('MASTER DATA'!Z492="","",'MASTER DATA'!Z492)</f>
        <v>Y</v>
      </c>
      <c r="AA56" s="16">
        <f>IF('MASTER DATA'!AA492="","",'MASTER DATA'!AA492)</f>
        <v>3</v>
      </c>
      <c r="AB56" s="16" t="str">
        <f>IF('MASTER DATA'!AB492="","",'MASTER DATA'!AB492)</f>
        <v>ELEVATED MULTI-SIGNAL</v>
      </c>
      <c r="AC56" s="16" t="str">
        <f>IF('MASTER DATA'!AC492="","",'MASTER DATA'!AC492)</f>
        <v>Settlement Authorization | Automated Claim Alert | Inactive Customer</v>
      </c>
    </row>
    <row r="57" spans="1:29" x14ac:dyDescent="0.45">
      <c r="A57" t="str">
        <f>IF('MASTER DATA'!A493="","",'MASTER DATA'!A493)</f>
        <v>SYN-CLM-0492</v>
      </c>
      <c r="B57" t="str">
        <f>IF('MASTER DATA'!B493="","",'MASTER DATA'!B493)</f>
        <v>Synthetic Claimant 0492</v>
      </c>
      <c r="C57" t="str">
        <f>IF('MASTER DATA'!C493="","",'MASTER DATA'!C493)</f>
        <v>Claims Analyst K</v>
      </c>
      <c r="D57" t="str">
        <f>IF('MASTER DATA'!D493="","",'MASTER DATA'!D493)</f>
        <v>Synthetic Policyholder 175, LLC</v>
      </c>
      <c r="E57" s="15">
        <f>IF('MASTER DATA'!E493="","",'MASTER DATA'!E493)</f>
        <v>45504</v>
      </c>
      <c r="F57" s="16" t="str">
        <f>IF('MASTER DATA'!F493="","",'MASTER DATA'!F493)</f>
        <v>Y</v>
      </c>
      <c r="G57" s="17">
        <f>IF('MASTER DATA'!G493="","",'MASTER DATA'!G493)</f>
        <v>66750</v>
      </c>
      <c r="H57" s="16" t="str">
        <f>IF('MASTER DATA'!H493="","",'MASTER DATA'!H493)</f>
        <v>Synthetic Approver 09</v>
      </c>
      <c r="I57" s="15">
        <f>IF('MASTER DATA'!I493="","",'MASTER DATA'!I493)</f>
        <v>47214</v>
      </c>
      <c r="J57" s="16" t="str">
        <f>IF('MASTER DATA'!J493="","",'MASTER DATA'!J493)</f>
        <v>N</v>
      </c>
      <c r="K57" s="15" t="str">
        <f>IF('MASTER DATA'!K493="","",'MASTER DATA'!K493)</f>
        <v/>
      </c>
      <c r="L57" s="16" t="str">
        <f>IF('MASTER DATA'!L493="","",'MASTER DATA'!L493)</f>
        <v>Y</v>
      </c>
      <c r="M57" s="16" t="str">
        <f>IF('MASTER DATA'!M493="","",'MASTER DATA'!M493)</f>
        <v>N</v>
      </c>
      <c r="N57" s="15" t="str">
        <f>IF('MASTER DATA'!N493="","",'MASTER DATA'!N493)</f>
        <v/>
      </c>
      <c r="O57" s="16" t="str">
        <f>IF('MASTER DATA'!O493="","",'MASTER DATA'!O493)</f>
        <v/>
      </c>
      <c r="P57" s="16" t="str">
        <f>IF('MASTER DATA'!P493="","",'MASTER DATA'!P493)</f>
        <v>Y</v>
      </c>
      <c r="Q57" s="16" t="str">
        <f>IF('MASTER DATA'!Q493="","",'MASTER DATA'!Q493)</f>
        <v>Specialist Consultation Requested; MMI Date Reported</v>
      </c>
      <c r="R57" s="16" t="str">
        <f>IF('MASTER DATA'!R493="","",'MASTER DATA'!R493)</f>
        <v/>
      </c>
      <c r="S57" s="16" t="str">
        <f>IF('MASTER DATA'!S493="","",'MASTER DATA'!S493)</f>
        <v>N</v>
      </c>
      <c r="T57" s="15" t="str">
        <f>IF('MASTER DATA'!T493="","",'MASTER DATA'!T493)</f>
        <v/>
      </c>
      <c r="U57" s="16" t="str">
        <f>IF('MASTER DATA'!U493="","",'MASTER DATA'!U493)</f>
        <v>N</v>
      </c>
      <c r="V57" s="16" t="str">
        <f>IF('MASTER DATA'!V493="","",'MASTER DATA'!V493)</f>
        <v>Y</v>
      </c>
      <c r="W57" s="16" t="str">
        <f>IF('MASTER DATA'!W493="","",'MASTER DATA'!W493)</f>
        <v>N</v>
      </c>
      <c r="X57" s="16" t="str">
        <f>IF('MASTER DATA'!X493="","",'MASTER DATA'!X493)</f>
        <v>Y</v>
      </c>
      <c r="Y57" s="16" t="str">
        <f>IF('MASTER DATA'!Y493="","",'MASTER DATA'!Y493)</f>
        <v>N</v>
      </c>
      <c r="Z57" s="16" t="str">
        <f>IF('MASTER DATA'!Z493="","",'MASTER DATA'!Z493)</f>
        <v>N</v>
      </c>
      <c r="AA57" s="16">
        <f>IF('MASTER DATA'!AA493="","",'MASTER DATA'!AA493)</f>
        <v>2</v>
      </c>
      <c r="AB57" s="16" t="str">
        <f>IF('MASTER DATA'!AB493="","",'MASTER DATA'!AB493)</f>
        <v>MULTI-SIGNAL</v>
      </c>
      <c r="AC57" s="16" t="str">
        <f>IF('MASTER DATA'!AC493="","",'MASTER DATA'!AC493)</f>
        <v>Settlement Authorization | Automated Claim Alert</v>
      </c>
    </row>
    <row r="58" spans="1:29" x14ac:dyDescent="0.45">
      <c r="A58" t="str">
        <f>IF('MASTER DATA'!A494="","",'MASTER DATA'!A494)</f>
        <v>SYN-CLM-0493</v>
      </c>
      <c r="B58" t="str">
        <f>IF('MASTER DATA'!B494="","",'MASTER DATA'!B494)</f>
        <v>Synthetic Claimant 0493</v>
      </c>
      <c r="C58" t="str">
        <f>IF('MASTER DATA'!C494="","",'MASTER DATA'!C494)</f>
        <v>Claims Analyst K</v>
      </c>
      <c r="D58" t="str">
        <f>IF('MASTER DATA'!D494="","",'MASTER DATA'!D494)</f>
        <v>Synthetic Policyholder 081, LLC</v>
      </c>
      <c r="E58" s="15">
        <f>IF('MASTER DATA'!E494="","",'MASTER DATA'!E494)</f>
        <v>45285</v>
      </c>
      <c r="F58" s="16" t="str">
        <f>IF('MASTER DATA'!F494="","",'MASTER DATA'!F494)</f>
        <v>Y</v>
      </c>
      <c r="G58" s="17">
        <f>IF('MASTER DATA'!G494="","",'MASTER DATA'!G494)</f>
        <v>54750</v>
      </c>
      <c r="H58" s="16" t="str">
        <f>IF('MASTER DATA'!H494="","",'MASTER DATA'!H494)</f>
        <v>Synthetic Approver 03</v>
      </c>
      <c r="I58" s="15">
        <f>IF('MASTER DATA'!I494="","",'MASTER DATA'!I494)</f>
        <v>46696</v>
      </c>
      <c r="J58" s="16" t="str">
        <f>IF('MASTER DATA'!J494="","",'MASTER DATA'!J494)</f>
        <v>N</v>
      </c>
      <c r="K58" s="15" t="str">
        <f>IF('MASTER DATA'!K494="","",'MASTER DATA'!K494)</f>
        <v/>
      </c>
      <c r="L58" s="16" t="str">
        <f>IF('MASTER DATA'!L494="","",'MASTER DATA'!L494)</f>
        <v>Y</v>
      </c>
      <c r="M58" s="16" t="str">
        <f>IF('MASTER DATA'!M494="","",'MASTER DATA'!M494)</f>
        <v>N</v>
      </c>
      <c r="N58" s="15" t="str">
        <f>IF('MASTER DATA'!N494="","",'MASTER DATA'!N494)</f>
        <v/>
      </c>
      <c r="O58" s="16" t="str">
        <f>IF('MASTER DATA'!O494="","",'MASTER DATA'!O494)</f>
        <v/>
      </c>
      <c r="P58" s="16" t="str">
        <f>IF('MASTER DATA'!P494="","",'MASTER DATA'!P494)</f>
        <v>Y</v>
      </c>
      <c r="Q58" s="16" t="str">
        <f>IF('MASTER DATA'!Q494="","",'MASTER DATA'!Q494)</f>
        <v>Non-Renewed Account</v>
      </c>
      <c r="R58" s="16" t="str">
        <f>IF('MASTER DATA'!R494="","",'MASTER DATA'!R494)</f>
        <v>Specialist Consultation Requested; Surgery Requested</v>
      </c>
      <c r="S58" s="16" t="str">
        <f>IF('MASTER DATA'!S494="","",'MASTER DATA'!S494)</f>
        <v>N</v>
      </c>
      <c r="T58" s="15" t="str">
        <f>IF('MASTER DATA'!T494="","",'MASTER DATA'!T494)</f>
        <v/>
      </c>
      <c r="U58" s="16" t="str">
        <f>IF('MASTER DATA'!U494="","",'MASTER DATA'!U494)</f>
        <v>Y</v>
      </c>
      <c r="V58" s="16" t="str">
        <f>IF('MASTER DATA'!V494="","",'MASTER DATA'!V494)</f>
        <v>N</v>
      </c>
      <c r="W58" s="16" t="str">
        <f>IF('MASTER DATA'!W494="","",'MASTER DATA'!W494)</f>
        <v>N</v>
      </c>
      <c r="X58" s="16" t="str">
        <f>IF('MASTER DATA'!X494="","",'MASTER DATA'!X494)</f>
        <v>Y</v>
      </c>
      <c r="Y58" s="16" t="str">
        <f>IF('MASTER DATA'!Y494="","",'MASTER DATA'!Y494)</f>
        <v>Y</v>
      </c>
      <c r="Z58" s="16" t="str">
        <f>IF('MASTER DATA'!Z494="","",'MASTER DATA'!Z494)</f>
        <v>N</v>
      </c>
      <c r="AA58" s="16">
        <f>IF('MASTER DATA'!AA494="","",'MASTER DATA'!AA494)</f>
        <v>2</v>
      </c>
      <c r="AB58" s="16" t="str">
        <f>IF('MASTER DATA'!AB494="","",'MASTER DATA'!AB494)</f>
        <v>MULTI-SIGNAL</v>
      </c>
      <c r="AC58" s="16" t="str">
        <f>IF('MASTER DATA'!AC494="","",'MASTER DATA'!AC494)</f>
        <v>Settlement Authorization | Automated Claim Alert</v>
      </c>
    </row>
    <row r="59" spans="1:29" x14ac:dyDescent="0.45">
      <c r="A59" t="str">
        <f>IF('MASTER DATA'!A495="","",'MASTER DATA'!A495)</f>
        <v>SYN-CLM-0494</v>
      </c>
      <c r="B59" t="str">
        <f>IF('MASTER DATA'!B495="","",'MASTER DATA'!B495)</f>
        <v>Synthetic Claimant 0494</v>
      </c>
      <c r="C59" t="str">
        <f>IF('MASTER DATA'!C495="","",'MASTER DATA'!C495)</f>
        <v>Claims Analyst K</v>
      </c>
      <c r="D59" t="str">
        <f>IF('MASTER DATA'!D495="","",'MASTER DATA'!D495)</f>
        <v>Synthetic Policyholder 003, LLC</v>
      </c>
      <c r="E59" s="15">
        <f>IF('MASTER DATA'!E495="","",'MASTER DATA'!E495)</f>
        <v>43808</v>
      </c>
      <c r="F59" s="16" t="str">
        <f>IF('MASTER DATA'!F495="","",'MASTER DATA'!F495)</f>
        <v>Y</v>
      </c>
      <c r="G59" s="17">
        <f>IF('MASTER DATA'!G495="","",'MASTER DATA'!G495)</f>
        <v>46750</v>
      </c>
      <c r="H59" s="16" t="str">
        <f>IF('MASTER DATA'!H495="","",'MASTER DATA'!H495)</f>
        <v>Synthetic Approver 07</v>
      </c>
      <c r="I59" s="15">
        <f>IF('MASTER DATA'!I495="","",'MASTER DATA'!I495)</f>
        <v>45509</v>
      </c>
      <c r="J59" s="16" t="str">
        <f>IF('MASTER DATA'!J495="","",'MASTER DATA'!J495)</f>
        <v>N</v>
      </c>
      <c r="K59" s="15" t="str">
        <f>IF('MASTER DATA'!K495="","",'MASTER DATA'!K495)</f>
        <v/>
      </c>
      <c r="L59" s="16" t="str">
        <f>IF('MASTER DATA'!L495="","",'MASTER DATA'!L495)</f>
        <v>N</v>
      </c>
      <c r="M59" s="16" t="str">
        <f>IF('MASTER DATA'!M495="","",'MASTER DATA'!M495)</f>
        <v>N</v>
      </c>
      <c r="N59" s="15" t="str">
        <f>IF('MASTER DATA'!N495="","",'MASTER DATA'!N495)</f>
        <v/>
      </c>
      <c r="O59" s="16" t="str">
        <f>IF('MASTER DATA'!O495="","",'MASTER DATA'!O495)</f>
        <v/>
      </c>
      <c r="P59" s="16" t="str">
        <f>IF('MASTER DATA'!P495="","",'MASTER DATA'!P495)</f>
        <v>N</v>
      </c>
      <c r="Q59" s="16" t="str">
        <f>IF('MASTER DATA'!Q495="","",'MASTER DATA'!Q495)</f>
        <v/>
      </c>
      <c r="R59" s="16" t="str">
        <f>IF('MASTER DATA'!R495="","",'MASTER DATA'!R495)</f>
        <v/>
      </c>
      <c r="S59" s="16" t="str">
        <f>IF('MASTER DATA'!S495="","",'MASTER DATA'!S495)</f>
        <v>N</v>
      </c>
      <c r="T59" s="15" t="str">
        <f>IF('MASTER DATA'!T495="","",'MASTER DATA'!T495)</f>
        <v/>
      </c>
      <c r="U59" s="16" t="str">
        <f>IF('MASTER DATA'!U495="","",'MASTER DATA'!U495)</f>
        <v>N</v>
      </c>
      <c r="V59" s="16" t="str">
        <f>IF('MASTER DATA'!V495="","",'MASTER DATA'!V495)</f>
        <v>N</v>
      </c>
      <c r="W59" s="16" t="str">
        <f>IF('MASTER DATA'!W495="","",'MASTER DATA'!W495)</f>
        <v>N</v>
      </c>
      <c r="X59" s="16" t="str">
        <f>IF('MASTER DATA'!X495="","",'MASTER DATA'!X495)</f>
        <v>N</v>
      </c>
      <c r="Y59" s="16" t="str">
        <f>IF('MASTER DATA'!Y495="","",'MASTER DATA'!Y495)</f>
        <v>N</v>
      </c>
      <c r="Z59" s="16" t="str">
        <f>IF('MASTER DATA'!Z495="","",'MASTER DATA'!Z495)</f>
        <v>N</v>
      </c>
      <c r="AA59" s="16">
        <f>IF('MASTER DATA'!AA495="","",'MASTER DATA'!AA495)</f>
        <v>1</v>
      </c>
      <c r="AB59" s="16" t="str">
        <f>IF('MASTER DATA'!AB495="","",'MASTER DATA'!AB495)</f>
        <v>SINGLE-SIGNAL</v>
      </c>
      <c r="AC59" s="16" t="str">
        <f>IF('MASTER DATA'!AC495="","",'MASTER DATA'!AC495)</f>
        <v>Settlement Authorization</v>
      </c>
    </row>
    <row r="60" spans="1:29" x14ac:dyDescent="0.45">
      <c r="A60" t="str">
        <f>IF('MASTER DATA'!A496="","",'MASTER DATA'!A496)</f>
        <v>SYN-CLM-0495</v>
      </c>
      <c r="B60" t="str">
        <f>IF('MASTER DATA'!B496="","",'MASTER DATA'!B496)</f>
        <v>Synthetic Claimant 0495</v>
      </c>
      <c r="C60" t="str">
        <f>IF('MASTER DATA'!C496="","",'MASTER DATA'!C496)</f>
        <v>Claims Analyst K</v>
      </c>
      <c r="D60" t="str">
        <f>IF('MASTER DATA'!D496="","",'MASTER DATA'!D496)</f>
        <v>Synthetic Policyholder 008, LLC</v>
      </c>
      <c r="E60" s="15">
        <f>IF('MASTER DATA'!E496="","",'MASTER DATA'!E496)</f>
        <v>43430</v>
      </c>
      <c r="F60" s="16" t="str">
        <f>IF('MASTER DATA'!F496="","",'MASTER DATA'!F496)</f>
        <v>Y</v>
      </c>
      <c r="G60" s="17">
        <f>IF('MASTER DATA'!G496="","",'MASTER DATA'!G496)</f>
        <v>71000</v>
      </c>
      <c r="H60" s="16" t="str">
        <f>IF('MASTER DATA'!H496="","",'MASTER DATA'!H496)</f>
        <v>Synthetic Approver 08</v>
      </c>
      <c r="I60" s="15">
        <f>IF('MASTER DATA'!I496="","",'MASTER DATA'!I496)</f>
        <v>44951</v>
      </c>
      <c r="J60" s="16" t="str">
        <f>IF('MASTER DATA'!J496="","",'MASTER DATA'!J496)</f>
        <v>Y</v>
      </c>
      <c r="K60" s="15">
        <f>IF('MASTER DATA'!K496="","",'MASTER DATA'!K496)</f>
        <v>44335</v>
      </c>
      <c r="L60" s="16" t="str">
        <f>IF('MASTER DATA'!L496="","",'MASTER DATA'!L496)</f>
        <v>N</v>
      </c>
      <c r="M60" s="16" t="str">
        <f>IF('MASTER DATA'!M496="","",'MASTER DATA'!M496)</f>
        <v>N</v>
      </c>
      <c r="N60" s="15" t="str">
        <f>IF('MASTER DATA'!N496="","",'MASTER DATA'!N496)</f>
        <v/>
      </c>
      <c r="O60" s="16" t="str">
        <f>IF('MASTER DATA'!O496="","",'MASTER DATA'!O496)</f>
        <v/>
      </c>
      <c r="P60" s="16" t="str">
        <f>IF('MASTER DATA'!P496="","",'MASTER DATA'!P496)</f>
        <v>N</v>
      </c>
      <c r="Q60" s="16" t="str">
        <f>IF('MASTER DATA'!Q496="","",'MASTER DATA'!Q496)</f>
        <v/>
      </c>
      <c r="R60" s="16" t="str">
        <f>IF('MASTER DATA'!R496="","",'MASTER DATA'!R496)</f>
        <v/>
      </c>
      <c r="S60" s="16" t="str">
        <f>IF('MASTER DATA'!S496="","",'MASTER DATA'!S496)</f>
        <v>N</v>
      </c>
      <c r="T60" s="15" t="str">
        <f>IF('MASTER DATA'!T496="","",'MASTER DATA'!T496)</f>
        <v/>
      </c>
      <c r="U60" s="16" t="str">
        <f>IF('MASTER DATA'!U496="","",'MASTER DATA'!U496)</f>
        <v>N</v>
      </c>
      <c r="V60" s="16" t="str">
        <f>IF('MASTER DATA'!V496="","",'MASTER DATA'!V496)</f>
        <v>N</v>
      </c>
      <c r="W60" s="16" t="str">
        <f>IF('MASTER DATA'!W496="","",'MASTER DATA'!W496)</f>
        <v>N</v>
      </c>
      <c r="X60" s="16" t="str">
        <f>IF('MASTER DATA'!X496="","",'MASTER DATA'!X496)</f>
        <v>N</v>
      </c>
      <c r="Y60" s="16" t="str">
        <f>IF('MASTER DATA'!Y496="","",'MASTER DATA'!Y496)</f>
        <v>N</v>
      </c>
      <c r="Z60" s="16" t="str">
        <f>IF('MASTER DATA'!Z496="","",'MASTER DATA'!Z496)</f>
        <v>N</v>
      </c>
      <c r="AA60" s="16">
        <f>IF('MASTER DATA'!AA496="","",'MASTER DATA'!AA496)</f>
        <v>2</v>
      </c>
      <c r="AB60" s="16" t="str">
        <f>IF('MASTER DATA'!AB496="","",'MASTER DATA'!AB496)</f>
        <v>MULTI-SIGNAL</v>
      </c>
      <c r="AC60" s="16" t="str">
        <f>IF('MASTER DATA'!AC496="","",'MASTER DATA'!AC496)</f>
        <v>Settlement Authorization | Open Stipulation</v>
      </c>
    </row>
    <row r="61" spans="1:29" x14ac:dyDescent="0.45">
      <c r="A61" t="str">
        <f>IF('MASTER DATA'!A497="","",'MASTER DATA'!A497)</f>
        <v>SYN-CLM-0496</v>
      </c>
      <c r="B61" t="str">
        <f>IF('MASTER DATA'!B497="","",'MASTER DATA'!B497)</f>
        <v>Synthetic Claimant 0496</v>
      </c>
      <c r="C61" t="str">
        <f>IF('MASTER DATA'!C497="","",'MASTER DATA'!C497)</f>
        <v>Claims Analyst K</v>
      </c>
      <c r="D61" t="str">
        <f>IF('MASTER DATA'!D497="","",'MASTER DATA'!D497)</f>
        <v>Synthetic Policyholder 033, LLC</v>
      </c>
      <c r="E61" s="15">
        <f>IF('MASTER DATA'!E497="","",'MASTER DATA'!E497)</f>
        <v>44323</v>
      </c>
      <c r="F61" s="16" t="str">
        <f>IF('MASTER DATA'!F497="","",'MASTER DATA'!F497)</f>
        <v>N</v>
      </c>
      <c r="G61" s="17" t="str">
        <f>IF('MASTER DATA'!G497="","",'MASTER DATA'!G497)</f>
        <v/>
      </c>
      <c r="H61" s="16" t="str">
        <f>IF('MASTER DATA'!H497="","",'MASTER DATA'!H497)</f>
        <v/>
      </c>
      <c r="I61" s="15" t="str">
        <f>IF('MASTER DATA'!I497="","",'MASTER DATA'!I497)</f>
        <v/>
      </c>
      <c r="J61" s="16" t="str">
        <f>IF('MASTER DATA'!J497="","",'MASTER DATA'!J497)</f>
        <v>N</v>
      </c>
      <c r="K61" s="15" t="str">
        <f>IF('MASTER DATA'!K497="","",'MASTER DATA'!K497)</f>
        <v/>
      </c>
      <c r="L61" s="16" t="str">
        <f>IF('MASTER DATA'!L497="","",'MASTER DATA'!L497)</f>
        <v/>
      </c>
      <c r="M61" s="16" t="str">
        <f>IF('MASTER DATA'!M497="","",'MASTER DATA'!M497)</f>
        <v>N</v>
      </c>
      <c r="N61" s="15" t="str">
        <f>IF('MASTER DATA'!N497="","",'MASTER DATA'!N497)</f>
        <v/>
      </c>
      <c r="O61" s="16" t="str">
        <f>IF('MASTER DATA'!O497="","",'MASTER DATA'!O497)</f>
        <v/>
      </c>
      <c r="P61" s="16" t="str">
        <f>IF('MASTER DATA'!P497="","",'MASTER DATA'!P497)</f>
        <v>Y</v>
      </c>
      <c r="Q61" s="16" t="str">
        <f>IF('MASTER DATA'!Q497="","",'MASTER DATA'!Q497)</f>
        <v>Non-Renewed Account</v>
      </c>
      <c r="R61" s="16" t="str">
        <f>IF('MASTER DATA'!R497="","",'MASTER DATA'!R497)</f>
        <v>MMI Date Reported; MSA Eligible in Next 3 Years</v>
      </c>
      <c r="S61" s="16" t="str">
        <f>IF('MASTER DATA'!S497="","",'MASTER DATA'!S497)</f>
        <v>N</v>
      </c>
      <c r="T61" s="15" t="str">
        <f>IF('MASTER DATA'!T497="","",'MASTER DATA'!T497)</f>
        <v/>
      </c>
      <c r="U61" s="16" t="str">
        <f>IF('MASTER DATA'!U497="","",'MASTER DATA'!U497)</f>
        <v>N</v>
      </c>
      <c r="V61" s="16" t="str">
        <f>IF('MASTER DATA'!V497="","",'MASTER DATA'!V497)</f>
        <v>Y</v>
      </c>
      <c r="W61" s="16" t="str">
        <f>IF('MASTER DATA'!W497="","",'MASTER DATA'!W497)</f>
        <v>N</v>
      </c>
      <c r="X61" s="16" t="str">
        <f>IF('MASTER DATA'!X497="","",'MASTER DATA'!X497)</f>
        <v>N</v>
      </c>
      <c r="Y61" s="16" t="str">
        <f>IF('MASTER DATA'!Y497="","",'MASTER DATA'!Y497)</f>
        <v>Y</v>
      </c>
      <c r="Z61" s="16" t="str">
        <f>IF('MASTER DATA'!Z497="","",'MASTER DATA'!Z497)</f>
        <v>Y</v>
      </c>
      <c r="AA61" s="16">
        <f>IF('MASTER DATA'!AA497="","",'MASTER DATA'!AA497)</f>
        <v>1</v>
      </c>
      <c r="AB61" s="16" t="str">
        <f>IF('MASTER DATA'!AB497="","",'MASTER DATA'!AB497)</f>
        <v>SINGLE-SIGNAL</v>
      </c>
      <c r="AC61" s="16" t="str">
        <f>IF('MASTER DATA'!AC497="","",'MASTER DATA'!AC497)</f>
        <v>Automated Claim Alert</v>
      </c>
    </row>
  </sheetData>
  <conditionalFormatting sqref="A2:AC61">
    <cfRule type="expression" dxfId="1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C7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4.25" x14ac:dyDescent="0.45"/>
  <cols>
    <col min="1" max="1" width="18" customWidth="1"/>
    <col min="2" max="2" width="24" customWidth="1"/>
    <col min="3" max="3" width="19" customWidth="1"/>
    <col min="4" max="4" width="28" customWidth="1"/>
    <col min="5" max="5" width="13" customWidth="1"/>
    <col min="6" max="6" width="18" customWidth="1"/>
    <col min="7" max="7" width="16" customWidth="1"/>
    <col min="8" max="8" width="20" customWidth="1"/>
    <col min="9" max="9" width="16" customWidth="1"/>
    <col min="10" max="10" width="22" customWidth="1"/>
    <col min="11" max="11" width="16" customWidth="1"/>
    <col min="12" max="12" width="14" customWidth="1"/>
    <col min="13" max="13" width="15" customWidth="1"/>
    <col min="14" max="14" width="13" customWidth="1"/>
    <col min="15" max="15" width="24" customWidth="1"/>
    <col min="16" max="16" width="18" customWidth="1"/>
    <col min="17" max="17" width="74.1328125" bestFit="1" customWidth="1"/>
    <col min="18" max="18" width="50.9296875" bestFit="1" customWidth="1"/>
    <col min="19" max="19" width="18" customWidth="1"/>
    <col min="20" max="20" width="16" customWidth="1"/>
    <col min="21" max="21" width="17" customWidth="1"/>
    <col min="22" max="22" width="16" customWidth="1"/>
    <col min="23" max="23" width="20" customWidth="1"/>
    <col min="24" max="25" width="22" customWidth="1"/>
    <col min="26" max="26" width="20" customWidth="1"/>
    <col min="27" max="27" width="15" customWidth="1"/>
    <col min="28" max="28" width="22" customWidth="1"/>
    <col min="29" max="29" width="69.9296875" bestFit="1" customWidth="1"/>
  </cols>
  <sheetData>
    <row r="1" spans="1:29" ht="45.75" customHeight="1" x14ac:dyDescent="0.4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18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</row>
    <row r="2" spans="1:29" x14ac:dyDescent="0.45">
      <c r="A2" t="str">
        <f>IF('MASTER DATA'!A97="","",'MASTER DATA'!A97)</f>
        <v>SYN-CLM-0096</v>
      </c>
      <c r="B2" t="str">
        <f>IF('MASTER DATA'!B97="","",'MASTER DATA'!B97)</f>
        <v>Synthetic Claimant 0096</v>
      </c>
      <c r="C2" t="str">
        <f>IF('MASTER DATA'!C97="","",'MASTER DATA'!C97)</f>
        <v>Claims Analyst L</v>
      </c>
      <c r="D2" t="str">
        <f>IF('MASTER DATA'!D97="","",'MASTER DATA'!D97)</f>
        <v>Synthetic Policyholder 013, LLC</v>
      </c>
      <c r="E2" s="15">
        <f>IF('MASTER DATA'!E97="","",'MASTER DATA'!E97)</f>
        <v>44190</v>
      </c>
      <c r="F2" s="16" t="str">
        <f>IF('MASTER DATA'!F97="","",'MASTER DATA'!F97)</f>
        <v>N</v>
      </c>
      <c r="G2" s="17" t="str">
        <f>IF('MASTER DATA'!G97="","",'MASTER DATA'!G97)</f>
        <v/>
      </c>
      <c r="H2" s="16" t="str">
        <f>IF('MASTER DATA'!H97="","",'MASTER DATA'!H97)</f>
        <v/>
      </c>
      <c r="I2" s="15" t="str">
        <f>IF('MASTER DATA'!I97="","",'MASTER DATA'!I97)</f>
        <v/>
      </c>
      <c r="J2" s="16" t="str">
        <f>IF('MASTER DATA'!J97="","",'MASTER DATA'!J97)</f>
        <v>N</v>
      </c>
      <c r="K2" s="15" t="str">
        <f>IF('MASTER DATA'!K97="","",'MASTER DATA'!K97)</f>
        <v/>
      </c>
      <c r="L2" s="16" t="str">
        <f>IF('MASTER DATA'!L97="","",'MASTER DATA'!L97)</f>
        <v/>
      </c>
      <c r="M2" s="16" t="str">
        <f>IF('MASTER DATA'!M97="","",'MASTER DATA'!M97)</f>
        <v>N</v>
      </c>
      <c r="N2" s="15" t="str">
        <f>IF('MASTER DATA'!N97="","",'MASTER DATA'!N97)</f>
        <v/>
      </c>
      <c r="O2" s="16" t="str">
        <f>IF('MASTER DATA'!O97="","",'MASTER DATA'!O97)</f>
        <v/>
      </c>
      <c r="P2" s="16" t="str">
        <f>IF('MASTER DATA'!P97="","",'MASTER DATA'!P97)</f>
        <v>N</v>
      </c>
      <c r="Q2" s="16" t="str">
        <f>IF('MASTER DATA'!Q97="","",'MASTER DATA'!Q97)</f>
        <v/>
      </c>
      <c r="R2" s="16" t="str">
        <f>IF('MASTER DATA'!R97="","",'MASTER DATA'!R97)</f>
        <v/>
      </c>
      <c r="S2" s="16" t="str">
        <f>IF('MASTER DATA'!S97="","",'MASTER DATA'!S97)</f>
        <v>Y</v>
      </c>
      <c r="T2" s="15">
        <f>IF('MASTER DATA'!T97="","",'MASTER DATA'!T97)</f>
        <v>45304</v>
      </c>
      <c r="U2" s="16" t="str">
        <f>IF('MASTER DATA'!U97="","",'MASTER DATA'!U97)</f>
        <v>N</v>
      </c>
      <c r="V2" s="16" t="str">
        <f>IF('MASTER DATA'!V97="","",'MASTER DATA'!V97)</f>
        <v>N</v>
      </c>
      <c r="W2" s="16" t="str">
        <f>IF('MASTER DATA'!W97="","",'MASTER DATA'!W97)</f>
        <v>N</v>
      </c>
      <c r="X2" s="16" t="str">
        <f>IF('MASTER DATA'!X97="","",'MASTER DATA'!X97)</f>
        <v>N</v>
      </c>
      <c r="Y2" s="16" t="str">
        <f>IF('MASTER DATA'!Y97="","",'MASTER DATA'!Y97)</f>
        <v>N</v>
      </c>
      <c r="Z2" s="16" t="str">
        <f>IF('MASTER DATA'!Z97="","",'MASTER DATA'!Z97)</f>
        <v>N</v>
      </c>
      <c r="AA2" s="16">
        <f>IF('MASTER DATA'!AA97="","",'MASTER DATA'!AA97)</f>
        <v>1</v>
      </c>
      <c r="AB2" s="16" t="str">
        <f>IF('MASTER DATA'!AB97="","",'MASTER DATA'!AB97)</f>
        <v>SINGLE-SIGNAL</v>
      </c>
      <c r="AC2" s="16" t="str">
        <f>IF('MASTER DATA'!AC97="","",'MASTER DATA'!AC97)</f>
        <v>Inactive Customer</v>
      </c>
    </row>
    <row r="3" spans="1:29" x14ac:dyDescent="0.45">
      <c r="A3" t="str">
        <f>IF('MASTER DATA'!A98="","",'MASTER DATA'!A98)</f>
        <v>SYN-CLM-0097</v>
      </c>
      <c r="B3" t="str">
        <f>IF('MASTER DATA'!B98="","",'MASTER DATA'!B98)</f>
        <v>Synthetic Claimant 0097</v>
      </c>
      <c r="C3" t="str">
        <f>IF('MASTER DATA'!C98="","",'MASTER DATA'!C98)</f>
        <v>Claims Analyst L</v>
      </c>
      <c r="D3" t="str">
        <f>IF('MASTER DATA'!D98="","",'MASTER DATA'!D98)</f>
        <v>Synthetic Policyholder 150, LLC</v>
      </c>
      <c r="E3" s="15">
        <f>IF('MASTER DATA'!E98="","",'MASTER DATA'!E98)</f>
        <v>44929</v>
      </c>
      <c r="F3" s="16" t="str">
        <f>IF('MASTER DATA'!F98="","",'MASTER DATA'!F98)</f>
        <v>Y</v>
      </c>
      <c r="G3" s="17">
        <f>IF('MASTER DATA'!G98="","",'MASTER DATA'!G98)</f>
        <v>4750</v>
      </c>
      <c r="H3" s="16" t="str">
        <f>IF('MASTER DATA'!H98="","",'MASTER DATA'!H98)</f>
        <v>Synthetic Approver 09</v>
      </c>
      <c r="I3" s="15">
        <f>IF('MASTER DATA'!I98="","",'MASTER DATA'!I98)</f>
        <v>45311</v>
      </c>
      <c r="J3" s="16" t="str">
        <f>IF('MASTER DATA'!J98="","",'MASTER DATA'!J98)</f>
        <v>N</v>
      </c>
      <c r="K3" s="15" t="str">
        <f>IF('MASTER DATA'!K98="","",'MASTER DATA'!K98)</f>
        <v/>
      </c>
      <c r="L3" s="16" t="str">
        <f>IF('MASTER DATA'!L98="","",'MASTER DATA'!L98)</f>
        <v>N</v>
      </c>
      <c r="M3" s="16" t="str">
        <f>IF('MASTER DATA'!M98="","",'MASTER DATA'!M98)</f>
        <v>N</v>
      </c>
      <c r="N3" s="15" t="str">
        <f>IF('MASTER DATA'!N98="","",'MASTER DATA'!N98)</f>
        <v/>
      </c>
      <c r="O3" s="16" t="str">
        <f>IF('MASTER DATA'!O98="","",'MASTER DATA'!O98)</f>
        <v/>
      </c>
      <c r="P3" s="16" t="str">
        <f>IF('MASTER DATA'!P98="","",'MASTER DATA'!P98)</f>
        <v>N</v>
      </c>
      <c r="Q3" s="16" t="str">
        <f>IF('MASTER DATA'!Q98="","",'MASTER DATA'!Q98)</f>
        <v/>
      </c>
      <c r="R3" s="16" t="str">
        <f>IF('MASTER DATA'!R98="","",'MASTER DATA'!R98)</f>
        <v/>
      </c>
      <c r="S3" s="16" t="str">
        <f>IF('MASTER DATA'!S98="","",'MASTER DATA'!S98)</f>
        <v>N</v>
      </c>
      <c r="T3" s="15" t="str">
        <f>IF('MASTER DATA'!T98="","",'MASTER DATA'!T98)</f>
        <v/>
      </c>
      <c r="U3" s="16" t="str">
        <f>IF('MASTER DATA'!U98="","",'MASTER DATA'!U98)</f>
        <v>N</v>
      </c>
      <c r="V3" s="16" t="str">
        <f>IF('MASTER DATA'!V98="","",'MASTER DATA'!V98)</f>
        <v>N</v>
      </c>
      <c r="W3" s="16" t="str">
        <f>IF('MASTER DATA'!W98="","",'MASTER DATA'!W98)</f>
        <v>N</v>
      </c>
      <c r="X3" s="16" t="str">
        <f>IF('MASTER DATA'!X98="","",'MASTER DATA'!X98)</f>
        <v>N</v>
      </c>
      <c r="Y3" s="16" t="str">
        <f>IF('MASTER DATA'!Y98="","",'MASTER DATA'!Y98)</f>
        <v>N</v>
      </c>
      <c r="Z3" s="16" t="str">
        <f>IF('MASTER DATA'!Z98="","",'MASTER DATA'!Z98)</f>
        <v>N</v>
      </c>
      <c r="AA3" s="16">
        <f>IF('MASTER DATA'!AA98="","",'MASTER DATA'!AA98)</f>
        <v>1</v>
      </c>
      <c r="AB3" s="16" t="str">
        <f>IF('MASTER DATA'!AB98="","",'MASTER DATA'!AB98)</f>
        <v>SINGLE-SIGNAL</v>
      </c>
      <c r="AC3" s="16" t="str">
        <f>IF('MASTER DATA'!AC98="","",'MASTER DATA'!AC98)</f>
        <v>Settlement Authorization</v>
      </c>
    </row>
    <row r="4" spans="1:29" x14ac:dyDescent="0.45">
      <c r="A4" t="str">
        <f>IF('MASTER DATA'!A99="","",'MASTER DATA'!A99)</f>
        <v>SYN-CLM-0098</v>
      </c>
      <c r="B4" t="str">
        <f>IF('MASTER DATA'!B99="","",'MASTER DATA'!B99)</f>
        <v>Synthetic Claimant 0098</v>
      </c>
      <c r="C4" t="str">
        <f>IF('MASTER DATA'!C99="","",'MASTER DATA'!C99)</f>
        <v>Claims Analyst L</v>
      </c>
      <c r="D4" t="str">
        <f>IF('MASTER DATA'!D99="","",'MASTER DATA'!D99)</f>
        <v>Synthetic Policyholder 045, LLC</v>
      </c>
      <c r="E4" s="15">
        <f>IF('MASTER DATA'!E99="","",'MASTER DATA'!E99)</f>
        <v>43986</v>
      </c>
      <c r="F4" s="16" t="str">
        <f>IF('MASTER DATA'!F99="","",'MASTER DATA'!F99)</f>
        <v>Y</v>
      </c>
      <c r="G4" s="17">
        <f>IF('MASTER DATA'!G99="","",'MASTER DATA'!G99)</f>
        <v>42500</v>
      </c>
      <c r="H4" s="16" t="str">
        <f>IF('MASTER DATA'!H99="","",'MASTER DATA'!H99)</f>
        <v>Synthetic Approver 11</v>
      </c>
      <c r="I4" s="15">
        <f>IF('MASTER DATA'!I99="","",'MASTER DATA'!I99)</f>
        <v>45570</v>
      </c>
      <c r="J4" s="16" t="str">
        <f>IF('MASTER DATA'!J99="","",'MASTER DATA'!J99)</f>
        <v>N</v>
      </c>
      <c r="K4" s="15" t="str">
        <f>IF('MASTER DATA'!K99="","",'MASTER DATA'!K99)</f>
        <v/>
      </c>
      <c r="L4" s="16" t="str">
        <f>IF('MASTER DATA'!L99="","",'MASTER DATA'!L99)</f>
        <v>N</v>
      </c>
      <c r="M4" s="16" t="str">
        <f>IF('MASTER DATA'!M99="","",'MASTER DATA'!M99)</f>
        <v>N</v>
      </c>
      <c r="N4" s="15" t="str">
        <f>IF('MASTER DATA'!N99="","",'MASTER DATA'!N99)</f>
        <v/>
      </c>
      <c r="O4" s="16" t="str">
        <f>IF('MASTER DATA'!O99="","",'MASTER DATA'!O99)</f>
        <v/>
      </c>
      <c r="P4" s="16" t="str">
        <f>IF('MASTER DATA'!P99="","",'MASTER DATA'!P99)</f>
        <v>Y</v>
      </c>
      <c r="Q4" s="16" t="str">
        <f>IF('MASTER DATA'!Q99="","",'MASTER DATA'!Q99)</f>
        <v>Specialist Consultation Requested; MSA Eligible in Next 3 Years</v>
      </c>
      <c r="R4" s="16" t="str">
        <f>IF('MASTER DATA'!R99="","",'MASTER DATA'!R99)</f>
        <v/>
      </c>
      <c r="S4" s="16" t="str">
        <f>IF('MASTER DATA'!S99="","",'MASTER DATA'!S99)</f>
        <v>N</v>
      </c>
      <c r="T4" s="15" t="str">
        <f>IF('MASTER DATA'!T99="","",'MASTER DATA'!T99)</f>
        <v/>
      </c>
      <c r="U4" s="16" t="str">
        <f>IF('MASTER DATA'!U99="","",'MASTER DATA'!U99)</f>
        <v>N</v>
      </c>
      <c r="V4" s="16" t="str">
        <f>IF('MASTER DATA'!V99="","",'MASTER DATA'!V99)</f>
        <v>N</v>
      </c>
      <c r="W4" s="16" t="str">
        <f>IF('MASTER DATA'!W99="","",'MASTER DATA'!W99)</f>
        <v>N</v>
      </c>
      <c r="X4" s="16" t="str">
        <f>IF('MASTER DATA'!X99="","",'MASTER DATA'!X99)</f>
        <v>Y</v>
      </c>
      <c r="Y4" s="16" t="str">
        <f>IF('MASTER DATA'!Y99="","",'MASTER DATA'!Y99)</f>
        <v>N</v>
      </c>
      <c r="Z4" s="16" t="str">
        <f>IF('MASTER DATA'!Z99="","",'MASTER DATA'!Z99)</f>
        <v>Y</v>
      </c>
      <c r="AA4" s="16">
        <f>IF('MASTER DATA'!AA99="","",'MASTER DATA'!AA99)</f>
        <v>2</v>
      </c>
      <c r="AB4" s="16" t="str">
        <f>IF('MASTER DATA'!AB99="","",'MASTER DATA'!AB99)</f>
        <v>MULTI-SIGNAL</v>
      </c>
      <c r="AC4" s="16" t="str">
        <f>IF('MASTER DATA'!AC99="","",'MASTER DATA'!AC99)</f>
        <v>Settlement Authorization | Automated Claim Alert</v>
      </c>
    </row>
    <row r="5" spans="1:29" x14ac:dyDescent="0.45">
      <c r="A5" t="str">
        <f>IF('MASTER DATA'!A100="","",'MASTER DATA'!A100)</f>
        <v>SYN-CLM-0099</v>
      </c>
      <c r="B5" t="str">
        <f>IF('MASTER DATA'!B100="","",'MASTER DATA'!B100)</f>
        <v>Synthetic Claimant 0099</v>
      </c>
      <c r="C5" t="str">
        <f>IF('MASTER DATA'!C100="","",'MASTER DATA'!C100)</f>
        <v>Claims Analyst L</v>
      </c>
      <c r="D5" t="str">
        <f>IF('MASTER DATA'!D100="","",'MASTER DATA'!D100)</f>
        <v>Synthetic Policyholder 094, LLC</v>
      </c>
      <c r="E5" s="15">
        <f>IF('MASTER DATA'!E100="","",'MASTER DATA'!E100)</f>
        <v>45992</v>
      </c>
      <c r="F5" s="16" t="str">
        <f>IF('MASTER DATA'!F100="","",'MASTER DATA'!F100)</f>
        <v>N</v>
      </c>
      <c r="G5" s="17" t="str">
        <f>IF('MASTER DATA'!G100="","",'MASTER DATA'!G100)</f>
        <v/>
      </c>
      <c r="H5" s="16" t="str">
        <f>IF('MASTER DATA'!H100="","",'MASTER DATA'!H100)</f>
        <v/>
      </c>
      <c r="I5" s="15" t="str">
        <f>IF('MASTER DATA'!I100="","",'MASTER DATA'!I100)</f>
        <v/>
      </c>
      <c r="J5" s="16" t="str">
        <f>IF('MASTER DATA'!J100="","",'MASTER DATA'!J100)</f>
        <v>N</v>
      </c>
      <c r="K5" s="15" t="str">
        <f>IF('MASTER DATA'!K100="","",'MASTER DATA'!K100)</f>
        <v/>
      </c>
      <c r="L5" s="16" t="str">
        <f>IF('MASTER DATA'!L100="","",'MASTER DATA'!L100)</f>
        <v/>
      </c>
      <c r="M5" s="16" t="str">
        <f>IF('MASTER DATA'!M100="","",'MASTER DATA'!M100)</f>
        <v>N</v>
      </c>
      <c r="N5" s="15" t="str">
        <f>IF('MASTER DATA'!N100="","",'MASTER DATA'!N100)</f>
        <v/>
      </c>
      <c r="O5" s="16" t="str">
        <f>IF('MASTER DATA'!O100="","",'MASTER DATA'!O100)</f>
        <v/>
      </c>
      <c r="P5" s="16" t="str">
        <f>IF('MASTER DATA'!P100="","",'MASTER DATA'!P100)</f>
        <v>Y</v>
      </c>
      <c r="Q5" s="16" t="str">
        <f>IF('MASTER DATA'!Q100="","",'MASTER DATA'!Q100)</f>
        <v>Specialist Consultation Requested; Surgery Requested</v>
      </c>
      <c r="R5" s="16" t="str">
        <f>IF('MASTER DATA'!R100="","",'MASTER DATA'!R100)</f>
        <v>Denied Treatment Requests</v>
      </c>
      <c r="S5" s="16" t="str">
        <f>IF('MASTER DATA'!S100="","",'MASTER DATA'!S100)</f>
        <v>N</v>
      </c>
      <c r="T5" s="15" t="str">
        <f>IF('MASTER DATA'!T100="","",'MASTER DATA'!T100)</f>
        <v/>
      </c>
      <c r="U5" s="16" t="str">
        <f>IF('MASTER DATA'!U100="","",'MASTER DATA'!U100)</f>
        <v>Y</v>
      </c>
      <c r="V5" s="16" t="str">
        <f>IF('MASTER DATA'!V100="","",'MASTER DATA'!V100)</f>
        <v>N</v>
      </c>
      <c r="W5" s="16" t="str">
        <f>IF('MASTER DATA'!W100="","",'MASTER DATA'!W100)</f>
        <v>Y</v>
      </c>
      <c r="X5" s="16" t="str">
        <f>IF('MASTER DATA'!X100="","",'MASTER DATA'!X100)</f>
        <v>Y</v>
      </c>
      <c r="Y5" s="16" t="str">
        <f>IF('MASTER DATA'!Y100="","",'MASTER DATA'!Y100)</f>
        <v>N</v>
      </c>
      <c r="Z5" s="16" t="str">
        <f>IF('MASTER DATA'!Z100="","",'MASTER DATA'!Z100)</f>
        <v>N</v>
      </c>
      <c r="AA5" s="16">
        <f>IF('MASTER DATA'!AA100="","",'MASTER DATA'!AA100)</f>
        <v>1</v>
      </c>
      <c r="AB5" s="16" t="str">
        <f>IF('MASTER DATA'!AB100="","",'MASTER DATA'!AB100)</f>
        <v>SINGLE-SIGNAL</v>
      </c>
      <c r="AC5" s="16" t="str">
        <f>IF('MASTER DATA'!AC100="","",'MASTER DATA'!AC100)</f>
        <v>Automated Claim Alert</v>
      </c>
    </row>
    <row r="6" spans="1:29" x14ac:dyDescent="0.45">
      <c r="A6" t="str">
        <f>IF('MASTER DATA'!A101="","",'MASTER DATA'!A101)</f>
        <v>SYN-CLM-0100</v>
      </c>
      <c r="B6" t="str">
        <f>IF('MASTER DATA'!B101="","",'MASTER DATA'!B101)</f>
        <v>Synthetic Claimant 0100</v>
      </c>
      <c r="C6" t="str">
        <f>IF('MASTER DATA'!C101="","",'MASTER DATA'!C101)</f>
        <v>Claims Analyst L</v>
      </c>
      <c r="D6" t="str">
        <f>IF('MASTER DATA'!D101="","",'MASTER DATA'!D101)</f>
        <v>Synthetic Policyholder 134, LLC</v>
      </c>
      <c r="E6" s="15">
        <f>IF('MASTER DATA'!E101="","",'MASTER DATA'!E101)</f>
        <v>43591</v>
      </c>
      <c r="F6" s="16" t="str">
        <f>IF('MASTER DATA'!F101="","",'MASTER DATA'!F101)</f>
        <v>N</v>
      </c>
      <c r="G6" s="17" t="str">
        <f>IF('MASTER DATA'!G101="","",'MASTER DATA'!G101)</f>
        <v/>
      </c>
      <c r="H6" s="16" t="str">
        <f>IF('MASTER DATA'!H101="","",'MASTER DATA'!H101)</f>
        <v/>
      </c>
      <c r="I6" s="15" t="str">
        <f>IF('MASTER DATA'!I101="","",'MASTER DATA'!I101)</f>
        <v/>
      </c>
      <c r="J6" s="16" t="str">
        <f>IF('MASTER DATA'!J101="","",'MASTER DATA'!J101)</f>
        <v>N</v>
      </c>
      <c r="K6" s="15" t="str">
        <f>IF('MASTER DATA'!K101="","",'MASTER DATA'!K101)</f>
        <v/>
      </c>
      <c r="L6" s="16" t="str">
        <f>IF('MASTER DATA'!L101="","",'MASTER DATA'!L101)</f>
        <v/>
      </c>
      <c r="M6" s="16" t="str">
        <f>IF('MASTER DATA'!M101="","",'MASTER DATA'!M101)</f>
        <v>N</v>
      </c>
      <c r="N6" s="15" t="str">
        <f>IF('MASTER DATA'!N101="","",'MASTER DATA'!N101)</f>
        <v/>
      </c>
      <c r="O6" s="16" t="str">
        <f>IF('MASTER DATA'!O101="","",'MASTER DATA'!O101)</f>
        <v/>
      </c>
      <c r="P6" s="16" t="str">
        <f>IF('MASTER DATA'!P101="","",'MASTER DATA'!P101)</f>
        <v>N</v>
      </c>
      <c r="Q6" s="16" t="str">
        <f>IF('MASTER DATA'!Q101="","",'MASTER DATA'!Q101)</f>
        <v/>
      </c>
      <c r="R6" s="16" t="str">
        <f>IF('MASTER DATA'!R101="","",'MASTER DATA'!R101)</f>
        <v/>
      </c>
      <c r="S6" s="16" t="str">
        <f>IF('MASTER DATA'!S101="","",'MASTER DATA'!S101)</f>
        <v>Y</v>
      </c>
      <c r="T6" s="15">
        <f>IF('MASTER DATA'!T101="","",'MASTER DATA'!T101)</f>
        <v>45711</v>
      </c>
      <c r="U6" s="16" t="str">
        <f>IF('MASTER DATA'!U101="","",'MASTER DATA'!U101)</f>
        <v>N</v>
      </c>
      <c r="V6" s="16" t="str">
        <f>IF('MASTER DATA'!V101="","",'MASTER DATA'!V101)</f>
        <v>N</v>
      </c>
      <c r="W6" s="16" t="str">
        <f>IF('MASTER DATA'!W101="","",'MASTER DATA'!W101)</f>
        <v>N</v>
      </c>
      <c r="X6" s="16" t="str">
        <f>IF('MASTER DATA'!X101="","",'MASTER DATA'!X101)</f>
        <v>N</v>
      </c>
      <c r="Y6" s="16" t="str">
        <f>IF('MASTER DATA'!Y101="","",'MASTER DATA'!Y101)</f>
        <v>N</v>
      </c>
      <c r="Z6" s="16" t="str">
        <f>IF('MASTER DATA'!Z101="","",'MASTER DATA'!Z101)</f>
        <v>N</v>
      </c>
      <c r="AA6" s="16">
        <f>IF('MASTER DATA'!AA101="","",'MASTER DATA'!AA101)</f>
        <v>1</v>
      </c>
      <c r="AB6" s="16" t="str">
        <f>IF('MASTER DATA'!AB101="","",'MASTER DATA'!AB101)</f>
        <v>SINGLE-SIGNAL</v>
      </c>
      <c r="AC6" s="16" t="str">
        <f>IF('MASTER DATA'!AC101="","",'MASTER DATA'!AC101)</f>
        <v>Inactive Customer</v>
      </c>
    </row>
    <row r="7" spans="1:29" x14ac:dyDescent="0.45">
      <c r="A7" t="str">
        <f>IF('MASTER DATA'!A102="","",'MASTER DATA'!A102)</f>
        <v>SYN-CLM-0101</v>
      </c>
      <c r="B7" t="str">
        <f>IF('MASTER DATA'!B102="","",'MASTER DATA'!B102)</f>
        <v>Synthetic Claimant 0101</v>
      </c>
      <c r="C7" t="str">
        <f>IF('MASTER DATA'!C102="","",'MASTER DATA'!C102)</f>
        <v>Claims Analyst L</v>
      </c>
      <c r="D7" t="str">
        <f>IF('MASTER DATA'!D102="","",'MASTER DATA'!D102)</f>
        <v>Synthetic Policyholder 014, LLC</v>
      </c>
      <c r="E7" s="15">
        <f>IF('MASTER DATA'!E102="","",'MASTER DATA'!E102)</f>
        <v>43953</v>
      </c>
      <c r="F7" s="16" t="str">
        <f>IF('MASTER DATA'!F102="","",'MASTER DATA'!F102)</f>
        <v>Y</v>
      </c>
      <c r="G7" s="17">
        <f>IF('MASTER DATA'!G102="","",'MASTER DATA'!G102)</f>
        <v>13250</v>
      </c>
      <c r="H7" s="16" t="str">
        <f>IF('MASTER DATA'!H102="","",'MASTER DATA'!H102)</f>
        <v>Synthetic Approver 01</v>
      </c>
      <c r="I7" s="15">
        <f>IF('MASTER DATA'!I102="","",'MASTER DATA'!I102)</f>
        <v>44375</v>
      </c>
      <c r="J7" s="16" t="str">
        <f>IF('MASTER DATA'!J102="","",'MASTER DATA'!J102)</f>
        <v>N</v>
      </c>
      <c r="K7" s="15" t="str">
        <f>IF('MASTER DATA'!K102="","",'MASTER DATA'!K102)</f>
        <v/>
      </c>
      <c r="L7" s="16" t="str">
        <f>IF('MASTER DATA'!L102="","",'MASTER DATA'!L102)</f>
        <v>N</v>
      </c>
      <c r="M7" s="16" t="str">
        <f>IF('MASTER DATA'!M102="","",'MASTER DATA'!M102)</f>
        <v>Y</v>
      </c>
      <c r="N7" s="15">
        <f>IF('MASTER DATA'!N102="","",'MASTER DATA'!N102)</f>
        <v>44253</v>
      </c>
      <c r="O7" s="16" t="str">
        <f>IF('MASTER DATA'!O102="","",'MASTER DATA'!O102)</f>
        <v>Synthetic QME Evaluator 25</v>
      </c>
      <c r="P7" s="16" t="str">
        <f>IF('MASTER DATA'!P102="","",'MASTER DATA'!P102)</f>
        <v>N</v>
      </c>
      <c r="Q7" s="16" t="str">
        <f>IF('MASTER DATA'!Q102="","",'MASTER DATA'!Q102)</f>
        <v/>
      </c>
      <c r="R7" s="16" t="str">
        <f>IF('MASTER DATA'!R102="","",'MASTER DATA'!R102)</f>
        <v/>
      </c>
      <c r="S7" s="16" t="str">
        <f>IF('MASTER DATA'!S102="","",'MASTER DATA'!S102)</f>
        <v>N</v>
      </c>
      <c r="T7" s="15" t="str">
        <f>IF('MASTER DATA'!T102="","",'MASTER DATA'!T102)</f>
        <v/>
      </c>
      <c r="U7" s="16" t="str">
        <f>IF('MASTER DATA'!U102="","",'MASTER DATA'!U102)</f>
        <v>N</v>
      </c>
      <c r="V7" s="16" t="str">
        <f>IF('MASTER DATA'!V102="","",'MASTER DATA'!V102)</f>
        <v>N</v>
      </c>
      <c r="W7" s="16" t="str">
        <f>IF('MASTER DATA'!W102="","",'MASTER DATA'!W102)</f>
        <v>N</v>
      </c>
      <c r="X7" s="16" t="str">
        <f>IF('MASTER DATA'!X102="","",'MASTER DATA'!X102)</f>
        <v>N</v>
      </c>
      <c r="Y7" s="16" t="str">
        <f>IF('MASTER DATA'!Y102="","",'MASTER DATA'!Y102)</f>
        <v>N</v>
      </c>
      <c r="Z7" s="16" t="str">
        <f>IF('MASTER DATA'!Z102="","",'MASTER DATA'!Z102)</f>
        <v>N</v>
      </c>
      <c r="AA7" s="16">
        <f>IF('MASTER DATA'!AA102="","",'MASTER DATA'!AA102)</f>
        <v>2</v>
      </c>
      <c r="AB7" s="16" t="str">
        <f>IF('MASTER DATA'!AB102="","",'MASTER DATA'!AB102)</f>
        <v>MULTI-SIGNAL</v>
      </c>
      <c r="AC7" s="16" t="str">
        <f>IF('MASTER DATA'!AC102="","",'MASTER DATA'!AC102)</f>
        <v>Settlement Authorization | Pending QME</v>
      </c>
    </row>
    <row r="8" spans="1:29" x14ac:dyDescent="0.45">
      <c r="A8" t="str">
        <f>IF('MASTER DATA'!A103="","",'MASTER DATA'!A103)</f>
        <v>SYN-CLM-0102</v>
      </c>
      <c r="B8" t="str">
        <f>IF('MASTER DATA'!B103="","",'MASTER DATA'!B103)</f>
        <v>Synthetic Claimant 0102</v>
      </c>
      <c r="C8" t="str">
        <f>IF('MASTER DATA'!C103="","",'MASTER DATA'!C103)</f>
        <v>Claims Analyst L</v>
      </c>
      <c r="D8" t="str">
        <f>IF('MASTER DATA'!D103="","",'MASTER DATA'!D103)</f>
        <v>Synthetic Policyholder 066, LLC</v>
      </c>
      <c r="E8" s="15">
        <f>IF('MASTER DATA'!E103="","",'MASTER DATA'!E103)</f>
        <v>43770</v>
      </c>
      <c r="F8" s="16" t="str">
        <f>IF('MASTER DATA'!F103="","",'MASTER DATA'!F103)</f>
        <v>N</v>
      </c>
      <c r="G8" s="17" t="str">
        <f>IF('MASTER DATA'!G103="","",'MASTER DATA'!G103)</f>
        <v/>
      </c>
      <c r="H8" s="16" t="str">
        <f>IF('MASTER DATA'!H103="","",'MASTER DATA'!H103)</f>
        <v/>
      </c>
      <c r="I8" s="15" t="str">
        <f>IF('MASTER DATA'!I103="","",'MASTER DATA'!I103)</f>
        <v/>
      </c>
      <c r="J8" s="16" t="str">
        <f>IF('MASTER DATA'!J103="","",'MASTER DATA'!J103)</f>
        <v>N</v>
      </c>
      <c r="K8" s="15" t="str">
        <f>IF('MASTER DATA'!K103="","",'MASTER DATA'!K103)</f>
        <v/>
      </c>
      <c r="L8" s="16" t="str">
        <f>IF('MASTER DATA'!L103="","",'MASTER DATA'!L103)</f>
        <v/>
      </c>
      <c r="M8" s="16" t="str">
        <f>IF('MASTER DATA'!M103="","",'MASTER DATA'!M103)</f>
        <v>N</v>
      </c>
      <c r="N8" s="15" t="str">
        <f>IF('MASTER DATA'!N103="","",'MASTER DATA'!N103)</f>
        <v/>
      </c>
      <c r="O8" s="16" t="str">
        <f>IF('MASTER DATA'!O103="","",'MASTER DATA'!O103)</f>
        <v/>
      </c>
      <c r="P8" s="16" t="str">
        <f>IF('MASTER DATA'!P103="","",'MASTER DATA'!P103)</f>
        <v>N</v>
      </c>
      <c r="Q8" s="16" t="str">
        <f>IF('MASTER DATA'!Q103="","",'MASTER DATA'!Q103)</f>
        <v/>
      </c>
      <c r="R8" s="16" t="str">
        <f>IF('MASTER DATA'!R103="","",'MASTER DATA'!R103)</f>
        <v/>
      </c>
      <c r="S8" s="16" t="str">
        <f>IF('MASTER DATA'!S103="","",'MASTER DATA'!S103)</f>
        <v>Y</v>
      </c>
      <c r="T8" s="15">
        <f>IF('MASTER DATA'!T103="","",'MASTER DATA'!T103)</f>
        <v>45239</v>
      </c>
      <c r="U8" s="16" t="str">
        <f>IF('MASTER DATA'!U103="","",'MASTER DATA'!U103)</f>
        <v>N</v>
      </c>
      <c r="V8" s="16" t="str">
        <f>IF('MASTER DATA'!V103="","",'MASTER DATA'!V103)</f>
        <v>N</v>
      </c>
      <c r="W8" s="16" t="str">
        <f>IF('MASTER DATA'!W103="","",'MASTER DATA'!W103)</f>
        <v>N</v>
      </c>
      <c r="X8" s="16" t="str">
        <f>IF('MASTER DATA'!X103="","",'MASTER DATA'!X103)</f>
        <v>N</v>
      </c>
      <c r="Y8" s="16" t="str">
        <f>IF('MASTER DATA'!Y103="","",'MASTER DATA'!Y103)</f>
        <v>N</v>
      </c>
      <c r="Z8" s="16" t="str">
        <f>IF('MASTER DATA'!Z103="","",'MASTER DATA'!Z103)</f>
        <v>N</v>
      </c>
      <c r="AA8" s="16">
        <f>IF('MASTER DATA'!AA103="","",'MASTER DATA'!AA103)</f>
        <v>1</v>
      </c>
      <c r="AB8" s="16" t="str">
        <f>IF('MASTER DATA'!AB103="","",'MASTER DATA'!AB103)</f>
        <v>SINGLE-SIGNAL</v>
      </c>
      <c r="AC8" s="16" t="str">
        <f>IF('MASTER DATA'!AC103="","",'MASTER DATA'!AC103)</f>
        <v>Inactive Customer</v>
      </c>
    </row>
    <row r="9" spans="1:29" x14ac:dyDescent="0.45">
      <c r="A9" t="str">
        <f>IF('MASTER DATA'!A104="","",'MASTER DATA'!A104)</f>
        <v>SYN-CLM-0103</v>
      </c>
      <c r="B9" t="str">
        <f>IF('MASTER DATA'!B104="","",'MASTER DATA'!B104)</f>
        <v>Synthetic Claimant 0103</v>
      </c>
      <c r="C9" t="str">
        <f>IF('MASTER DATA'!C104="","",'MASTER DATA'!C104)</f>
        <v>Claims Analyst L</v>
      </c>
      <c r="D9" t="str">
        <f>IF('MASTER DATA'!D104="","",'MASTER DATA'!D104)</f>
        <v>Synthetic Policyholder 026, LLC</v>
      </c>
      <c r="E9" s="15">
        <f>IF('MASTER DATA'!E104="","",'MASTER DATA'!E104)</f>
        <v>45681</v>
      </c>
      <c r="F9" s="16" t="str">
        <f>IF('MASTER DATA'!F104="","",'MASTER DATA'!F104)</f>
        <v>N</v>
      </c>
      <c r="G9" s="17" t="str">
        <f>IF('MASTER DATA'!G104="","",'MASTER DATA'!G104)</f>
        <v/>
      </c>
      <c r="H9" s="16" t="str">
        <f>IF('MASTER DATA'!H104="","",'MASTER DATA'!H104)</f>
        <v/>
      </c>
      <c r="I9" s="15" t="str">
        <f>IF('MASTER DATA'!I104="","",'MASTER DATA'!I104)</f>
        <v/>
      </c>
      <c r="J9" s="16" t="str">
        <f>IF('MASTER DATA'!J104="","",'MASTER DATA'!J104)</f>
        <v>N</v>
      </c>
      <c r="K9" s="15" t="str">
        <f>IF('MASTER DATA'!K104="","",'MASTER DATA'!K104)</f>
        <v/>
      </c>
      <c r="L9" s="16" t="str">
        <f>IF('MASTER DATA'!L104="","",'MASTER DATA'!L104)</f>
        <v/>
      </c>
      <c r="M9" s="16" t="str">
        <f>IF('MASTER DATA'!M104="","",'MASTER DATA'!M104)</f>
        <v>Y</v>
      </c>
      <c r="N9" s="15">
        <f>IF('MASTER DATA'!N104="","",'MASTER DATA'!N104)</f>
        <v>47447</v>
      </c>
      <c r="O9" s="16" t="str">
        <f>IF('MASTER DATA'!O104="","",'MASTER DATA'!O104)</f>
        <v>Synthetic QME Evaluator 10</v>
      </c>
      <c r="P9" s="16" t="str">
        <f>IF('MASTER DATA'!P104="","",'MASTER DATA'!P104)</f>
        <v>N</v>
      </c>
      <c r="Q9" s="16" t="str">
        <f>IF('MASTER DATA'!Q104="","",'MASTER DATA'!Q104)</f>
        <v/>
      </c>
      <c r="R9" s="16" t="str">
        <f>IF('MASTER DATA'!R104="","",'MASTER DATA'!R104)</f>
        <v/>
      </c>
      <c r="S9" s="16" t="str">
        <f>IF('MASTER DATA'!S104="","",'MASTER DATA'!S104)</f>
        <v>N</v>
      </c>
      <c r="T9" s="15" t="str">
        <f>IF('MASTER DATA'!T104="","",'MASTER DATA'!T104)</f>
        <v/>
      </c>
      <c r="U9" s="16" t="str">
        <f>IF('MASTER DATA'!U104="","",'MASTER DATA'!U104)</f>
        <v>N</v>
      </c>
      <c r="V9" s="16" t="str">
        <f>IF('MASTER DATA'!V104="","",'MASTER DATA'!V104)</f>
        <v>N</v>
      </c>
      <c r="W9" s="16" t="str">
        <f>IF('MASTER DATA'!W104="","",'MASTER DATA'!W104)</f>
        <v>N</v>
      </c>
      <c r="X9" s="16" t="str">
        <f>IF('MASTER DATA'!X104="","",'MASTER DATA'!X104)</f>
        <v>N</v>
      </c>
      <c r="Y9" s="16" t="str">
        <f>IF('MASTER DATA'!Y104="","",'MASTER DATA'!Y104)</f>
        <v>N</v>
      </c>
      <c r="Z9" s="16" t="str">
        <f>IF('MASTER DATA'!Z104="","",'MASTER DATA'!Z104)</f>
        <v>N</v>
      </c>
      <c r="AA9" s="16">
        <f>IF('MASTER DATA'!AA104="","",'MASTER DATA'!AA104)</f>
        <v>1</v>
      </c>
      <c r="AB9" s="16" t="str">
        <f>IF('MASTER DATA'!AB104="","",'MASTER DATA'!AB104)</f>
        <v>SINGLE-SIGNAL</v>
      </c>
      <c r="AC9" s="16" t="str">
        <f>IF('MASTER DATA'!AC104="","",'MASTER DATA'!AC104)</f>
        <v>Pending QME</v>
      </c>
    </row>
    <row r="10" spans="1:29" x14ac:dyDescent="0.45">
      <c r="A10" t="str">
        <f>IF('MASTER DATA'!A105="","",'MASTER DATA'!A105)</f>
        <v>SYN-CLM-0104</v>
      </c>
      <c r="B10" t="str">
        <f>IF('MASTER DATA'!B105="","",'MASTER DATA'!B105)</f>
        <v>Synthetic Claimant 0104</v>
      </c>
      <c r="C10" t="str">
        <f>IF('MASTER DATA'!C105="","",'MASTER DATA'!C105)</f>
        <v>Claims Analyst L</v>
      </c>
      <c r="D10" t="str">
        <f>IF('MASTER DATA'!D105="","",'MASTER DATA'!D105)</f>
        <v>Synthetic Policyholder 066, LLC</v>
      </c>
      <c r="E10" s="15">
        <f>IF('MASTER DATA'!E105="","",'MASTER DATA'!E105)</f>
        <v>45702</v>
      </c>
      <c r="F10" s="16" t="str">
        <f>IF('MASTER DATA'!F105="","",'MASTER DATA'!F105)</f>
        <v>N</v>
      </c>
      <c r="G10" s="17" t="str">
        <f>IF('MASTER DATA'!G105="","",'MASTER DATA'!G105)</f>
        <v/>
      </c>
      <c r="H10" s="16" t="str">
        <f>IF('MASTER DATA'!H105="","",'MASTER DATA'!H105)</f>
        <v/>
      </c>
      <c r="I10" s="15" t="str">
        <f>IF('MASTER DATA'!I105="","",'MASTER DATA'!I105)</f>
        <v/>
      </c>
      <c r="J10" s="16" t="str">
        <f>IF('MASTER DATA'!J105="","",'MASTER DATA'!J105)</f>
        <v>N</v>
      </c>
      <c r="K10" s="15" t="str">
        <f>IF('MASTER DATA'!K105="","",'MASTER DATA'!K105)</f>
        <v/>
      </c>
      <c r="L10" s="16" t="str">
        <f>IF('MASTER DATA'!L105="","",'MASTER DATA'!L105)</f>
        <v/>
      </c>
      <c r="M10" s="16" t="str">
        <f>IF('MASTER DATA'!M105="","",'MASTER DATA'!M105)</f>
        <v>N</v>
      </c>
      <c r="N10" s="15" t="str">
        <f>IF('MASTER DATA'!N105="","",'MASTER DATA'!N105)</f>
        <v/>
      </c>
      <c r="O10" s="16" t="str">
        <f>IF('MASTER DATA'!O105="","",'MASTER DATA'!O105)</f>
        <v/>
      </c>
      <c r="P10" s="16" t="str">
        <f>IF('MASTER DATA'!P105="","",'MASTER DATA'!P105)</f>
        <v>Y</v>
      </c>
      <c r="Q10" s="16" t="str">
        <f>IF('MASTER DATA'!Q105="","",'MASTER DATA'!Q105)</f>
        <v>Denied Treatment Requests; Non-Renewed Account</v>
      </c>
      <c r="R10" s="16" t="str">
        <f>IF('MASTER DATA'!R105="","",'MASTER DATA'!R105)</f>
        <v>MSA Eligible in Next 3 Years</v>
      </c>
      <c r="S10" s="16" t="str">
        <f>IF('MASTER DATA'!S105="","",'MASTER DATA'!S105)</f>
        <v>N</v>
      </c>
      <c r="T10" s="15" t="str">
        <f>IF('MASTER DATA'!T105="","",'MASTER DATA'!T105)</f>
        <v/>
      </c>
      <c r="U10" s="16" t="str">
        <f>IF('MASTER DATA'!U105="","",'MASTER DATA'!U105)</f>
        <v>N</v>
      </c>
      <c r="V10" s="16" t="str">
        <f>IF('MASTER DATA'!V105="","",'MASTER DATA'!V105)</f>
        <v>N</v>
      </c>
      <c r="W10" s="16" t="str">
        <f>IF('MASTER DATA'!W105="","",'MASTER DATA'!W105)</f>
        <v>Y</v>
      </c>
      <c r="X10" s="16" t="str">
        <f>IF('MASTER DATA'!X105="","",'MASTER DATA'!X105)</f>
        <v>N</v>
      </c>
      <c r="Y10" s="16" t="str">
        <f>IF('MASTER DATA'!Y105="","",'MASTER DATA'!Y105)</f>
        <v>Y</v>
      </c>
      <c r="Z10" s="16" t="str">
        <f>IF('MASTER DATA'!Z105="","",'MASTER DATA'!Z105)</f>
        <v>Y</v>
      </c>
      <c r="AA10" s="16">
        <f>IF('MASTER DATA'!AA105="","",'MASTER DATA'!AA105)</f>
        <v>1</v>
      </c>
      <c r="AB10" s="16" t="str">
        <f>IF('MASTER DATA'!AB105="","",'MASTER DATA'!AB105)</f>
        <v>SINGLE-SIGNAL</v>
      </c>
      <c r="AC10" s="16" t="str">
        <f>IF('MASTER DATA'!AC105="","",'MASTER DATA'!AC105)</f>
        <v>Automated Claim Alert</v>
      </c>
    </row>
    <row r="11" spans="1:29" x14ac:dyDescent="0.45">
      <c r="A11" t="str">
        <f>IF('MASTER DATA'!A106="","",'MASTER DATA'!A106)</f>
        <v>SYN-CLM-0105</v>
      </c>
      <c r="B11" t="str">
        <f>IF('MASTER DATA'!B106="","",'MASTER DATA'!B106)</f>
        <v>Synthetic Claimant 0105</v>
      </c>
      <c r="C11" t="str">
        <f>IF('MASTER DATA'!C106="","",'MASTER DATA'!C106)</f>
        <v>Claims Analyst L</v>
      </c>
      <c r="D11" t="str">
        <f>IF('MASTER DATA'!D106="","",'MASTER DATA'!D106)</f>
        <v>Synthetic Policyholder 158, LLC</v>
      </c>
      <c r="E11" s="15">
        <f>IF('MASTER DATA'!E106="","",'MASTER DATA'!E106)</f>
        <v>45572</v>
      </c>
      <c r="F11" s="16" t="str">
        <f>IF('MASTER DATA'!F106="","",'MASTER DATA'!F106)</f>
        <v>N</v>
      </c>
      <c r="G11" s="17" t="str">
        <f>IF('MASTER DATA'!G106="","",'MASTER DATA'!G106)</f>
        <v/>
      </c>
      <c r="H11" s="16" t="str">
        <f>IF('MASTER DATA'!H106="","",'MASTER DATA'!H106)</f>
        <v/>
      </c>
      <c r="I11" s="15" t="str">
        <f>IF('MASTER DATA'!I106="","",'MASTER DATA'!I106)</f>
        <v/>
      </c>
      <c r="J11" s="16" t="str">
        <f>IF('MASTER DATA'!J106="","",'MASTER DATA'!J106)</f>
        <v>N</v>
      </c>
      <c r="K11" s="15" t="str">
        <f>IF('MASTER DATA'!K106="","",'MASTER DATA'!K106)</f>
        <v/>
      </c>
      <c r="L11" s="16" t="str">
        <f>IF('MASTER DATA'!L106="","",'MASTER DATA'!L106)</f>
        <v/>
      </c>
      <c r="M11" s="16" t="str">
        <f>IF('MASTER DATA'!M106="","",'MASTER DATA'!M106)</f>
        <v>Y</v>
      </c>
      <c r="N11" s="15">
        <f>IF('MASTER DATA'!N106="","",'MASTER DATA'!N106)</f>
        <v>46590</v>
      </c>
      <c r="O11" s="16" t="str">
        <f>IF('MASTER DATA'!O106="","",'MASTER DATA'!O106)</f>
        <v>Synthetic QME Evaluator 25</v>
      </c>
      <c r="P11" s="16" t="str">
        <f>IF('MASTER DATA'!P106="","",'MASTER DATA'!P106)</f>
        <v>N</v>
      </c>
      <c r="Q11" s="16" t="str">
        <f>IF('MASTER DATA'!Q106="","",'MASTER DATA'!Q106)</f>
        <v/>
      </c>
      <c r="R11" s="16" t="str">
        <f>IF('MASTER DATA'!R106="","",'MASTER DATA'!R106)</f>
        <v/>
      </c>
      <c r="S11" s="16" t="str">
        <f>IF('MASTER DATA'!S106="","",'MASTER DATA'!S106)</f>
        <v>N</v>
      </c>
      <c r="T11" s="15" t="str">
        <f>IF('MASTER DATA'!T106="","",'MASTER DATA'!T106)</f>
        <v/>
      </c>
      <c r="U11" s="16" t="str">
        <f>IF('MASTER DATA'!U106="","",'MASTER DATA'!U106)</f>
        <v>N</v>
      </c>
      <c r="V11" s="16" t="str">
        <f>IF('MASTER DATA'!V106="","",'MASTER DATA'!V106)</f>
        <v>N</v>
      </c>
      <c r="W11" s="16" t="str">
        <f>IF('MASTER DATA'!W106="","",'MASTER DATA'!W106)</f>
        <v>N</v>
      </c>
      <c r="X11" s="16" t="str">
        <f>IF('MASTER DATA'!X106="","",'MASTER DATA'!X106)</f>
        <v>N</v>
      </c>
      <c r="Y11" s="16" t="str">
        <f>IF('MASTER DATA'!Y106="","",'MASTER DATA'!Y106)</f>
        <v>N</v>
      </c>
      <c r="Z11" s="16" t="str">
        <f>IF('MASTER DATA'!Z106="","",'MASTER DATA'!Z106)</f>
        <v>N</v>
      </c>
      <c r="AA11" s="16">
        <f>IF('MASTER DATA'!AA106="","",'MASTER DATA'!AA106)</f>
        <v>1</v>
      </c>
      <c r="AB11" s="16" t="str">
        <f>IF('MASTER DATA'!AB106="","",'MASTER DATA'!AB106)</f>
        <v>SINGLE-SIGNAL</v>
      </c>
      <c r="AC11" s="16" t="str">
        <f>IF('MASTER DATA'!AC106="","",'MASTER DATA'!AC106)</f>
        <v>Pending QME</v>
      </c>
    </row>
    <row r="12" spans="1:29" x14ac:dyDescent="0.45">
      <c r="A12" t="str">
        <f>IF('MASTER DATA'!A107="","",'MASTER DATA'!A107)</f>
        <v>SYN-CLM-0106</v>
      </c>
      <c r="B12" t="str">
        <f>IF('MASTER DATA'!B107="","",'MASTER DATA'!B107)</f>
        <v>Synthetic Claimant 0106</v>
      </c>
      <c r="C12" t="str">
        <f>IF('MASTER DATA'!C107="","",'MASTER DATA'!C107)</f>
        <v>Claims Analyst L</v>
      </c>
      <c r="D12" t="str">
        <f>IF('MASTER DATA'!D107="","",'MASTER DATA'!D107)</f>
        <v>Synthetic Policyholder 081, LLC</v>
      </c>
      <c r="E12" s="15">
        <f>IF('MASTER DATA'!E107="","",'MASTER DATA'!E107)</f>
        <v>43390</v>
      </c>
      <c r="F12" s="16" t="str">
        <f>IF('MASTER DATA'!F107="","",'MASTER DATA'!F107)</f>
        <v>N</v>
      </c>
      <c r="G12" s="17" t="str">
        <f>IF('MASTER DATA'!G107="","",'MASTER DATA'!G107)</f>
        <v/>
      </c>
      <c r="H12" s="16" t="str">
        <f>IF('MASTER DATA'!H107="","",'MASTER DATA'!H107)</f>
        <v/>
      </c>
      <c r="I12" s="15" t="str">
        <f>IF('MASTER DATA'!I107="","",'MASTER DATA'!I107)</f>
        <v/>
      </c>
      <c r="J12" s="16" t="str">
        <f>IF('MASTER DATA'!J107="","",'MASTER DATA'!J107)</f>
        <v>N</v>
      </c>
      <c r="K12" s="15" t="str">
        <f>IF('MASTER DATA'!K107="","",'MASTER DATA'!K107)</f>
        <v/>
      </c>
      <c r="L12" s="16" t="str">
        <f>IF('MASTER DATA'!L107="","",'MASTER DATA'!L107)</f>
        <v/>
      </c>
      <c r="M12" s="16" t="str">
        <f>IF('MASTER DATA'!M107="","",'MASTER DATA'!M107)</f>
        <v>N</v>
      </c>
      <c r="N12" s="15" t="str">
        <f>IF('MASTER DATA'!N107="","",'MASTER DATA'!N107)</f>
        <v/>
      </c>
      <c r="O12" s="16" t="str">
        <f>IF('MASTER DATA'!O107="","",'MASTER DATA'!O107)</f>
        <v/>
      </c>
      <c r="P12" s="16" t="str">
        <f>IF('MASTER DATA'!P107="","",'MASTER DATA'!P107)</f>
        <v>Y</v>
      </c>
      <c r="Q12" s="16" t="str">
        <f>IF('MASTER DATA'!Q107="","",'MASTER DATA'!Q107)</f>
        <v>MSA Eligible in Next 3 Years; Specialist Consultation Requested; Surgery Requested</v>
      </c>
      <c r="R12" s="16" t="str">
        <f>IF('MASTER DATA'!R107="","",'MASTER DATA'!R107)</f>
        <v>Non-Renewed Account</v>
      </c>
      <c r="S12" s="16" t="str">
        <f>IF('MASTER DATA'!S107="","",'MASTER DATA'!S107)</f>
        <v>N</v>
      </c>
      <c r="T12" s="15" t="str">
        <f>IF('MASTER DATA'!T107="","",'MASTER DATA'!T107)</f>
        <v/>
      </c>
      <c r="U12" s="16" t="str">
        <f>IF('MASTER DATA'!U107="","",'MASTER DATA'!U107)</f>
        <v>Y</v>
      </c>
      <c r="V12" s="16" t="str">
        <f>IF('MASTER DATA'!V107="","",'MASTER DATA'!V107)</f>
        <v>N</v>
      </c>
      <c r="W12" s="16" t="str">
        <f>IF('MASTER DATA'!W107="","",'MASTER DATA'!W107)</f>
        <v>N</v>
      </c>
      <c r="X12" s="16" t="str">
        <f>IF('MASTER DATA'!X107="","",'MASTER DATA'!X107)</f>
        <v>Y</v>
      </c>
      <c r="Y12" s="16" t="str">
        <f>IF('MASTER DATA'!Y107="","",'MASTER DATA'!Y107)</f>
        <v>Y</v>
      </c>
      <c r="Z12" s="16" t="str">
        <f>IF('MASTER DATA'!Z107="","",'MASTER DATA'!Z107)</f>
        <v>Y</v>
      </c>
      <c r="AA12" s="16">
        <f>IF('MASTER DATA'!AA107="","",'MASTER DATA'!AA107)</f>
        <v>1</v>
      </c>
      <c r="AB12" s="16" t="str">
        <f>IF('MASTER DATA'!AB107="","",'MASTER DATA'!AB107)</f>
        <v>SINGLE-SIGNAL</v>
      </c>
      <c r="AC12" s="16" t="str">
        <f>IF('MASTER DATA'!AC107="","",'MASTER DATA'!AC107)</f>
        <v>Automated Claim Alert</v>
      </c>
    </row>
    <row r="13" spans="1:29" x14ac:dyDescent="0.45">
      <c r="A13" t="str">
        <f>IF('MASTER DATA'!A108="","",'MASTER DATA'!A108)</f>
        <v>SYN-CLM-0107</v>
      </c>
      <c r="B13" t="str">
        <f>IF('MASTER DATA'!B108="","",'MASTER DATA'!B108)</f>
        <v>Synthetic Claimant 0107</v>
      </c>
      <c r="C13" t="str">
        <f>IF('MASTER DATA'!C108="","",'MASTER DATA'!C108)</f>
        <v>Claims Analyst L</v>
      </c>
      <c r="D13" t="str">
        <f>IF('MASTER DATA'!D108="","",'MASTER DATA'!D108)</f>
        <v>Synthetic Policyholder 178, LLC</v>
      </c>
      <c r="E13" s="15">
        <f>IF('MASTER DATA'!E108="","",'MASTER DATA'!E108)</f>
        <v>43453</v>
      </c>
      <c r="F13" s="16" t="str">
        <f>IF('MASTER DATA'!F108="","",'MASTER DATA'!F108)</f>
        <v>Y</v>
      </c>
      <c r="G13" s="17">
        <f>IF('MASTER DATA'!G108="","",'MASTER DATA'!G108)</f>
        <v>151750</v>
      </c>
      <c r="H13" s="16" t="str">
        <f>IF('MASTER DATA'!H108="","",'MASTER DATA'!H108)</f>
        <v>Synthetic Approver 01</v>
      </c>
      <c r="I13" s="15">
        <f>IF('MASTER DATA'!I108="","",'MASTER DATA'!I108)</f>
        <v>45156</v>
      </c>
      <c r="J13" s="16" t="str">
        <f>IF('MASTER DATA'!J108="","",'MASTER DATA'!J108)</f>
        <v>N</v>
      </c>
      <c r="K13" s="15" t="str">
        <f>IF('MASTER DATA'!K108="","",'MASTER DATA'!K108)</f>
        <v/>
      </c>
      <c r="L13" s="16" t="str">
        <f>IF('MASTER DATA'!L108="","",'MASTER DATA'!L108)</f>
        <v>Y</v>
      </c>
      <c r="M13" s="16" t="str">
        <f>IF('MASTER DATA'!M108="","",'MASTER DATA'!M108)</f>
        <v>N</v>
      </c>
      <c r="N13" s="15" t="str">
        <f>IF('MASTER DATA'!N108="","",'MASTER DATA'!N108)</f>
        <v/>
      </c>
      <c r="O13" s="16" t="str">
        <f>IF('MASTER DATA'!O108="","",'MASTER DATA'!O108)</f>
        <v/>
      </c>
      <c r="P13" s="16" t="str">
        <f>IF('MASTER DATA'!P108="","",'MASTER DATA'!P108)</f>
        <v>Y</v>
      </c>
      <c r="Q13" s="16" t="str">
        <f>IF('MASTER DATA'!Q108="","",'MASTER DATA'!Q108)</f>
        <v>MSA Eligible in Next 3 Years</v>
      </c>
      <c r="R13" s="16" t="str">
        <f>IF('MASTER DATA'!R108="","",'MASTER DATA'!R108)</f>
        <v>MMI Date Reported; Specialist Consultation Requested</v>
      </c>
      <c r="S13" s="16" t="str">
        <f>IF('MASTER DATA'!S108="","",'MASTER DATA'!S108)</f>
        <v>N</v>
      </c>
      <c r="T13" s="15" t="str">
        <f>IF('MASTER DATA'!T108="","",'MASTER DATA'!T108)</f>
        <v/>
      </c>
      <c r="U13" s="16" t="str">
        <f>IF('MASTER DATA'!U108="","",'MASTER DATA'!U108)</f>
        <v>N</v>
      </c>
      <c r="V13" s="16" t="str">
        <f>IF('MASTER DATA'!V108="","",'MASTER DATA'!V108)</f>
        <v>Y</v>
      </c>
      <c r="W13" s="16" t="str">
        <f>IF('MASTER DATA'!W108="","",'MASTER DATA'!W108)</f>
        <v>N</v>
      </c>
      <c r="X13" s="16" t="str">
        <f>IF('MASTER DATA'!X108="","",'MASTER DATA'!X108)</f>
        <v>Y</v>
      </c>
      <c r="Y13" s="16" t="str">
        <f>IF('MASTER DATA'!Y108="","",'MASTER DATA'!Y108)</f>
        <v>N</v>
      </c>
      <c r="Z13" s="16" t="str">
        <f>IF('MASTER DATA'!Z108="","",'MASTER DATA'!Z108)</f>
        <v>Y</v>
      </c>
      <c r="AA13" s="16">
        <f>IF('MASTER DATA'!AA108="","",'MASTER DATA'!AA108)</f>
        <v>2</v>
      </c>
      <c r="AB13" s="16" t="str">
        <f>IF('MASTER DATA'!AB108="","",'MASTER DATA'!AB108)</f>
        <v>MULTI-SIGNAL</v>
      </c>
      <c r="AC13" s="16" t="str">
        <f>IF('MASTER DATA'!AC108="","",'MASTER DATA'!AC108)</f>
        <v>Settlement Authorization | Automated Claim Alert</v>
      </c>
    </row>
    <row r="14" spans="1:29" x14ac:dyDescent="0.45">
      <c r="A14" t="str">
        <f>IF('MASTER DATA'!A498="","",'MASTER DATA'!A498)</f>
        <v>SYN-CLM-0497</v>
      </c>
      <c r="B14" t="str">
        <f>IF('MASTER DATA'!B498="","",'MASTER DATA'!B498)</f>
        <v>Synthetic Claimant 0497</v>
      </c>
      <c r="C14" t="str">
        <f>IF('MASTER DATA'!C498="","",'MASTER DATA'!C498)</f>
        <v>Claims Analyst L</v>
      </c>
      <c r="D14" t="str">
        <f>IF('MASTER DATA'!D498="","",'MASTER DATA'!D498)</f>
        <v>Synthetic Policyholder 131, LLC</v>
      </c>
      <c r="E14" s="15">
        <f>IF('MASTER DATA'!E498="","",'MASTER DATA'!E498)</f>
        <v>43833</v>
      </c>
      <c r="F14" s="16" t="str">
        <f>IF('MASTER DATA'!F498="","",'MASTER DATA'!F498)</f>
        <v>N</v>
      </c>
      <c r="G14" s="17" t="str">
        <f>IF('MASTER DATA'!G498="","",'MASTER DATA'!G498)</f>
        <v/>
      </c>
      <c r="H14" s="16" t="str">
        <f>IF('MASTER DATA'!H498="","",'MASTER DATA'!H498)</f>
        <v/>
      </c>
      <c r="I14" s="15" t="str">
        <f>IF('MASTER DATA'!I498="","",'MASTER DATA'!I498)</f>
        <v/>
      </c>
      <c r="J14" s="16" t="str">
        <f>IF('MASTER DATA'!J498="","",'MASTER DATA'!J498)</f>
        <v>Y</v>
      </c>
      <c r="K14" s="15">
        <f>IF('MASTER DATA'!K498="","",'MASTER DATA'!K498)</f>
        <v>44308</v>
      </c>
      <c r="L14" s="16" t="str">
        <f>IF('MASTER DATA'!L498="","",'MASTER DATA'!L498)</f>
        <v>N</v>
      </c>
      <c r="M14" s="16" t="str">
        <f>IF('MASTER DATA'!M498="","",'MASTER DATA'!M498)</f>
        <v>N</v>
      </c>
      <c r="N14" s="15" t="str">
        <f>IF('MASTER DATA'!N498="","",'MASTER DATA'!N498)</f>
        <v/>
      </c>
      <c r="O14" s="16" t="str">
        <f>IF('MASTER DATA'!O498="","",'MASTER DATA'!O498)</f>
        <v/>
      </c>
      <c r="P14" s="16" t="str">
        <f>IF('MASTER DATA'!P498="","",'MASTER DATA'!P498)</f>
        <v>N</v>
      </c>
      <c r="Q14" s="16" t="str">
        <f>IF('MASTER DATA'!Q498="","",'MASTER DATA'!Q498)</f>
        <v/>
      </c>
      <c r="R14" s="16" t="str">
        <f>IF('MASTER DATA'!R498="","",'MASTER DATA'!R498)</f>
        <v/>
      </c>
      <c r="S14" s="16" t="str">
        <f>IF('MASTER DATA'!S498="","",'MASTER DATA'!S498)</f>
        <v>N</v>
      </c>
      <c r="T14" s="15" t="str">
        <f>IF('MASTER DATA'!T498="","",'MASTER DATA'!T498)</f>
        <v/>
      </c>
      <c r="U14" s="16" t="str">
        <f>IF('MASTER DATA'!U498="","",'MASTER DATA'!U498)</f>
        <v>N</v>
      </c>
      <c r="V14" s="16" t="str">
        <f>IF('MASTER DATA'!V498="","",'MASTER DATA'!V498)</f>
        <v>N</v>
      </c>
      <c r="W14" s="16" t="str">
        <f>IF('MASTER DATA'!W498="","",'MASTER DATA'!W498)</f>
        <v>N</v>
      </c>
      <c r="X14" s="16" t="str">
        <f>IF('MASTER DATA'!X498="","",'MASTER DATA'!X498)</f>
        <v>N</v>
      </c>
      <c r="Y14" s="16" t="str">
        <f>IF('MASTER DATA'!Y498="","",'MASTER DATA'!Y498)</f>
        <v>N</v>
      </c>
      <c r="Z14" s="16" t="str">
        <f>IF('MASTER DATA'!Z498="","",'MASTER DATA'!Z498)</f>
        <v>N</v>
      </c>
      <c r="AA14" s="16">
        <f>IF('MASTER DATA'!AA498="","",'MASTER DATA'!AA498)</f>
        <v>1</v>
      </c>
      <c r="AB14" s="16" t="str">
        <f>IF('MASTER DATA'!AB498="","",'MASTER DATA'!AB498)</f>
        <v>SINGLE-SIGNAL</v>
      </c>
      <c r="AC14" s="16" t="str">
        <f>IF('MASTER DATA'!AC498="","",'MASTER DATA'!AC498)</f>
        <v>Open Stipulation</v>
      </c>
    </row>
    <row r="15" spans="1:29" x14ac:dyDescent="0.45">
      <c r="A15" t="str">
        <f>IF('MASTER DATA'!A499="","",'MASTER DATA'!A499)</f>
        <v>SYN-CLM-0498</v>
      </c>
      <c r="B15" t="str">
        <f>IF('MASTER DATA'!B499="","",'MASTER DATA'!B499)</f>
        <v>Synthetic Claimant 0498</v>
      </c>
      <c r="C15" t="str">
        <f>IF('MASTER DATA'!C499="","",'MASTER DATA'!C499)</f>
        <v>Claims Analyst L</v>
      </c>
      <c r="D15" t="str">
        <f>IF('MASTER DATA'!D499="","",'MASTER DATA'!D499)</f>
        <v>Synthetic Policyholder 131, LLC</v>
      </c>
      <c r="E15" s="15">
        <f>IF('MASTER DATA'!E499="","",'MASTER DATA'!E499)</f>
        <v>44690</v>
      </c>
      <c r="F15" s="16" t="str">
        <f>IF('MASTER DATA'!F499="","",'MASTER DATA'!F499)</f>
        <v>N</v>
      </c>
      <c r="G15" s="17" t="str">
        <f>IF('MASTER DATA'!G499="","",'MASTER DATA'!G499)</f>
        <v/>
      </c>
      <c r="H15" s="16" t="str">
        <f>IF('MASTER DATA'!H499="","",'MASTER DATA'!H499)</f>
        <v/>
      </c>
      <c r="I15" s="15" t="str">
        <f>IF('MASTER DATA'!I499="","",'MASTER DATA'!I499)</f>
        <v/>
      </c>
      <c r="J15" s="16" t="str">
        <f>IF('MASTER DATA'!J499="","",'MASTER DATA'!J499)</f>
        <v>N</v>
      </c>
      <c r="K15" s="15" t="str">
        <f>IF('MASTER DATA'!K499="","",'MASTER DATA'!K499)</f>
        <v/>
      </c>
      <c r="L15" s="16" t="str">
        <f>IF('MASTER DATA'!L499="","",'MASTER DATA'!L499)</f>
        <v/>
      </c>
      <c r="M15" s="16" t="str">
        <f>IF('MASTER DATA'!M499="","",'MASTER DATA'!M499)</f>
        <v>N</v>
      </c>
      <c r="N15" s="15" t="str">
        <f>IF('MASTER DATA'!N499="","",'MASTER DATA'!N499)</f>
        <v/>
      </c>
      <c r="O15" s="16" t="str">
        <f>IF('MASTER DATA'!O499="","",'MASTER DATA'!O499)</f>
        <v/>
      </c>
      <c r="P15" s="16" t="str">
        <f>IF('MASTER DATA'!P499="","",'MASTER DATA'!P499)</f>
        <v>Y</v>
      </c>
      <c r="Q15" s="16" t="str">
        <f>IF('MASTER DATA'!Q499="","",'MASTER DATA'!Q499)</f>
        <v>Non-Renewed Account; Denied Treatment Requests</v>
      </c>
      <c r="R15" s="16" t="str">
        <f>IF('MASTER DATA'!R499="","",'MASTER DATA'!R499)</f>
        <v>MSA Eligible in Next 3 Years</v>
      </c>
      <c r="S15" s="16" t="str">
        <f>IF('MASTER DATA'!S499="","",'MASTER DATA'!S499)</f>
        <v>N</v>
      </c>
      <c r="T15" s="15" t="str">
        <f>IF('MASTER DATA'!T499="","",'MASTER DATA'!T499)</f>
        <v/>
      </c>
      <c r="U15" s="16" t="str">
        <f>IF('MASTER DATA'!U499="","",'MASTER DATA'!U499)</f>
        <v>N</v>
      </c>
      <c r="V15" s="16" t="str">
        <f>IF('MASTER DATA'!V499="","",'MASTER DATA'!V499)</f>
        <v>N</v>
      </c>
      <c r="W15" s="16" t="str">
        <f>IF('MASTER DATA'!W499="","",'MASTER DATA'!W499)</f>
        <v>Y</v>
      </c>
      <c r="X15" s="16" t="str">
        <f>IF('MASTER DATA'!X499="","",'MASTER DATA'!X499)</f>
        <v>N</v>
      </c>
      <c r="Y15" s="16" t="str">
        <f>IF('MASTER DATA'!Y499="","",'MASTER DATA'!Y499)</f>
        <v>Y</v>
      </c>
      <c r="Z15" s="16" t="str">
        <f>IF('MASTER DATA'!Z499="","",'MASTER DATA'!Z499)</f>
        <v>Y</v>
      </c>
      <c r="AA15" s="16">
        <f>IF('MASTER DATA'!AA499="","",'MASTER DATA'!AA499)</f>
        <v>1</v>
      </c>
      <c r="AB15" s="16" t="str">
        <f>IF('MASTER DATA'!AB499="","",'MASTER DATA'!AB499)</f>
        <v>SINGLE-SIGNAL</v>
      </c>
      <c r="AC15" s="16" t="str">
        <f>IF('MASTER DATA'!AC499="","",'MASTER DATA'!AC499)</f>
        <v>Automated Claim Alert</v>
      </c>
    </row>
    <row r="16" spans="1:29" x14ac:dyDescent="0.45">
      <c r="A16" t="str">
        <f>IF('MASTER DATA'!A500="","",'MASTER DATA'!A500)</f>
        <v>SYN-CLM-0499</v>
      </c>
      <c r="B16" t="str">
        <f>IF('MASTER DATA'!B500="","",'MASTER DATA'!B500)</f>
        <v>Synthetic Claimant 0499</v>
      </c>
      <c r="C16" t="str">
        <f>IF('MASTER DATA'!C500="","",'MASTER DATA'!C500)</f>
        <v>Claims Analyst L</v>
      </c>
      <c r="D16" t="str">
        <f>IF('MASTER DATA'!D500="","",'MASTER DATA'!D500)</f>
        <v>Synthetic Policyholder 035, LLC</v>
      </c>
      <c r="E16" s="15">
        <f>IF('MASTER DATA'!E500="","",'MASTER DATA'!E500)</f>
        <v>44189</v>
      </c>
      <c r="F16" s="16" t="str">
        <f>IF('MASTER DATA'!F500="","",'MASTER DATA'!F500)</f>
        <v>N</v>
      </c>
      <c r="G16" s="17" t="str">
        <f>IF('MASTER DATA'!G500="","",'MASTER DATA'!G500)</f>
        <v/>
      </c>
      <c r="H16" s="16" t="str">
        <f>IF('MASTER DATA'!H500="","",'MASTER DATA'!H500)</f>
        <v/>
      </c>
      <c r="I16" s="15" t="str">
        <f>IF('MASTER DATA'!I500="","",'MASTER DATA'!I500)</f>
        <v/>
      </c>
      <c r="J16" s="16" t="str">
        <f>IF('MASTER DATA'!J500="","",'MASTER DATA'!J500)</f>
        <v>N</v>
      </c>
      <c r="K16" s="15" t="str">
        <f>IF('MASTER DATA'!K500="","",'MASTER DATA'!K500)</f>
        <v/>
      </c>
      <c r="L16" s="16" t="str">
        <f>IF('MASTER DATA'!L500="","",'MASTER DATA'!L500)</f>
        <v/>
      </c>
      <c r="M16" s="16" t="str">
        <f>IF('MASTER DATA'!M500="","",'MASTER DATA'!M500)</f>
        <v>Y</v>
      </c>
      <c r="N16" s="15">
        <f>IF('MASTER DATA'!N500="","",'MASTER DATA'!N500)</f>
        <v>45478</v>
      </c>
      <c r="O16" s="16" t="str">
        <f>IF('MASTER DATA'!O500="","",'MASTER DATA'!O500)</f>
        <v>Synthetic QME Evaluator 34</v>
      </c>
      <c r="P16" s="16" t="str">
        <f>IF('MASTER DATA'!P500="","",'MASTER DATA'!P500)</f>
        <v>N</v>
      </c>
      <c r="Q16" s="16" t="str">
        <f>IF('MASTER DATA'!Q500="","",'MASTER DATA'!Q500)</f>
        <v/>
      </c>
      <c r="R16" s="16" t="str">
        <f>IF('MASTER DATA'!R500="","",'MASTER DATA'!R500)</f>
        <v/>
      </c>
      <c r="S16" s="16" t="str">
        <f>IF('MASTER DATA'!S500="","",'MASTER DATA'!S500)</f>
        <v>N</v>
      </c>
      <c r="T16" s="15" t="str">
        <f>IF('MASTER DATA'!T500="","",'MASTER DATA'!T500)</f>
        <v/>
      </c>
      <c r="U16" s="16" t="str">
        <f>IF('MASTER DATA'!U500="","",'MASTER DATA'!U500)</f>
        <v>N</v>
      </c>
      <c r="V16" s="16" t="str">
        <f>IF('MASTER DATA'!V500="","",'MASTER DATA'!V500)</f>
        <v>N</v>
      </c>
      <c r="W16" s="16" t="str">
        <f>IF('MASTER DATA'!W500="","",'MASTER DATA'!W500)</f>
        <v>N</v>
      </c>
      <c r="X16" s="16" t="str">
        <f>IF('MASTER DATA'!X500="","",'MASTER DATA'!X500)</f>
        <v>N</v>
      </c>
      <c r="Y16" s="16" t="str">
        <f>IF('MASTER DATA'!Y500="","",'MASTER DATA'!Y500)</f>
        <v>N</v>
      </c>
      <c r="Z16" s="16" t="str">
        <f>IF('MASTER DATA'!Z500="","",'MASTER DATA'!Z500)</f>
        <v>N</v>
      </c>
      <c r="AA16" s="16">
        <f>IF('MASTER DATA'!AA500="","",'MASTER DATA'!AA500)</f>
        <v>1</v>
      </c>
      <c r="AB16" s="16" t="str">
        <f>IF('MASTER DATA'!AB500="","",'MASTER DATA'!AB500)</f>
        <v>SINGLE-SIGNAL</v>
      </c>
      <c r="AC16" s="16" t="str">
        <f>IF('MASTER DATA'!AC500="","",'MASTER DATA'!AC500)</f>
        <v>Pending QME</v>
      </c>
    </row>
    <row r="17" spans="1:29" x14ac:dyDescent="0.45">
      <c r="A17" t="str">
        <f>IF('MASTER DATA'!A501="","",'MASTER DATA'!A501)</f>
        <v>SYN-CLM-0500</v>
      </c>
      <c r="B17" t="str">
        <f>IF('MASTER DATA'!B501="","",'MASTER DATA'!B501)</f>
        <v>Synthetic Claimant 0500</v>
      </c>
      <c r="C17" t="str">
        <f>IF('MASTER DATA'!C501="","",'MASTER DATA'!C501)</f>
        <v>Claims Analyst L</v>
      </c>
      <c r="D17" t="str">
        <f>IF('MASTER DATA'!D501="","",'MASTER DATA'!D501)</f>
        <v>Synthetic Policyholder 048, LLC</v>
      </c>
      <c r="E17" s="15">
        <f>IF('MASTER DATA'!E501="","",'MASTER DATA'!E501)</f>
        <v>44146</v>
      </c>
      <c r="F17" s="16" t="str">
        <f>IF('MASTER DATA'!F501="","",'MASTER DATA'!F501)</f>
        <v>N</v>
      </c>
      <c r="G17" s="17" t="str">
        <f>IF('MASTER DATA'!G501="","",'MASTER DATA'!G501)</f>
        <v/>
      </c>
      <c r="H17" s="16" t="str">
        <f>IF('MASTER DATA'!H501="","",'MASTER DATA'!H501)</f>
        <v/>
      </c>
      <c r="I17" s="15" t="str">
        <f>IF('MASTER DATA'!I501="","",'MASTER DATA'!I501)</f>
        <v/>
      </c>
      <c r="J17" s="16" t="str">
        <f>IF('MASTER DATA'!J501="","",'MASTER DATA'!J501)</f>
        <v>N</v>
      </c>
      <c r="K17" s="15" t="str">
        <f>IF('MASTER DATA'!K501="","",'MASTER DATA'!K501)</f>
        <v/>
      </c>
      <c r="L17" s="16" t="str">
        <f>IF('MASTER DATA'!L501="","",'MASTER DATA'!L501)</f>
        <v/>
      </c>
      <c r="M17" s="16" t="str">
        <f>IF('MASTER DATA'!M501="","",'MASTER DATA'!M501)</f>
        <v>N</v>
      </c>
      <c r="N17" s="15" t="str">
        <f>IF('MASTER DATA'!N501="","",'MASTER DATA'!N501)</f>
        <v/>
      </c>
      <c r="O17" s="16" t="str">
        <f>IF('MASTER DATA'!O501="","",'MASTER DATA'!O501)</f>
        <v/>
      </c>
      <c r="P17" s="16" t="str">
        <f>IF('MASTER DATA'!P501="","",'MASTER DATA'!P501)</f>
        <v>N</v>
      </c>
      <c r="Q17" s="16" t="str">
        <f>IF('MASTER DATA'!Q501="","",'MASTER DATA'!Q501)</f>
        <v/>
      </c>
      <c r="R17" s="16" t="str">
        <f>IF('MASTER DATA'!R501="","",'MASTER DATA'!R501)</f>
        <v/>
      </c>
      <c r="S17" s="16" t="str">
        <f>IF('MASTER DATA'!S501="","",'MASTER DATA'!S501)</f>
        <v>Y</v>
      </c>
      <c r="T17" s="15">
        <f>IF('MASTER DATA'!T501="","",'MASTER DATA'!T501)</f>
        <v>44962</v>
      </c>
      <c r="U17" s="16" t="str">
        <f>IF('MASTER DATA'!U501="","",'MASTER DATA'!U501)</f>
        <v>N</v>
      </c>
      <c r="V17" s="16" t="str">
        <f>IF('MASTER DATA'!V501="","",'MASTER DATA'!V501)</f>
        <v>N</v>
      </c>
      <c r="W17" s="16" t="str">
        <f>IF('MASTER DATA'!W501="","",'MASTER DATA'!W501)</f>
        <v>N</v>
      </c>
      <c r="X17" s="16" t="str">
        <f>IF('MASTER DATA'!X501="","",'MASTER DATA'!X501)</f>
        <v>N</v>
      </c>
      <c r="Y17" s="16" t="str">
        <f>IF('MASTER DATA'!Y501="","",'MASTER DATA'!Y501)</f>
        <v>N</v>
      </c>
      <c r="Z17" s="16" t="str">
        <f>IF('MASTER DATA'!Z501="","",'MASTER DATA'!Z501)</f>
        <v>N</v>
      </c>
      <c r="AA17" s="16">
        <f>IF('MASTER DATA'!AA501="","",'MASTER DATA'!AA501)</f>
        <v>1</v>
      </c>
      <c r="AB17" s="16" t="str">
        <f>IF('MASTER DATA'!AB501="","",'MASTER DATA'!AB501)</f>
        <v>SINGLE-SIGNAL</v>
      </c>
      <c r="AC17" s="16" t="str">
        <f>IF('MASTER DATA'!AC501="","",'MASTER DATA'!AC501)</f>
        <v>Inactive Customer</v>
      </c>
    </row>
    <row r="18" spans="1:29" x14ac:dyDescent="0.45">
      <c r="A18" t="str">
        <f>IF('MASTER DATA'!A502="","",'MASTER DATA'!A502)</f>
        <v>SYN-CLM-0501</v>
      </c>
      <c r="B18" t="str">
        <f>IF('MASTER DATA'!B502="","",'MASTER DATA'!B502)</f>
        <v>Synthetic Claimant 0501</v>
      </c>
      <c r="C18" t="str">
        <f>IF('MASTER DATA'!C502="","",'MASTER DATA'!C502)</f>
        <v>Claims Analyst L</v>
      </c>
      <c r="D18" t="str">
        <f>IF('MASTER DATA'!D502="","",'MASTER DATA'!D502)</f>
        <v>Synthetic Policyholder 009, LLC</v>
      </c>
      <c r="E18" s="15">
        <f>IF('MASTER DATA'!E502="","",'MASTER DATA'!E502)</f>
        <v>43538</v>
      </c>
      <c r="F18" s="16" t="str">
        <f>IF('MASTER DATA'!F502="","",'MASTER DATA'!F502)</f>
        <v>N</v>
      </c>
      <c r="G18" s="17" t="str">
        <f>IF('MASTER DATA'!G502="","",'MASTER DATA'!G502)</f>
        <v/>
      </c>
      <c r="H18" s="16" t="str">
        <f>IF('MASTER DATA'!H502="","",'MASTER DATA'!H502)</f>
        <v/>
      </c>
      <c r="I18" s="15" t="str">
        <f>IF('MASTER DATA'!I502="","",'MASTER DATA'!I502)</f>
        <v/>
      </c>
      <c r="J18" s="16" t="str">
        <f>IF('MASTER DATA'!J502="","",'MASTER DATA'!J502)</f>
        <v>N</v>
      </c>
      <c r="K18" s="15" t="str">
        <f>IF('MASTER DATA'!K502="","",'MASTER DATA'!K502)</f>
        <v/>
      </c>
      <c r="L18" s="16" t="str">
        <f>IF('MASTER DATA'!L502="","",'MASTER DATA'!L502)</f>
        <v/>
      </c>
      <c r="M18" s="16" t="str">
        <f>IF('MASTER DATA'!M502="","",'MASTER DATA'!M502)</f>
        <v>N</v>
      </c>
      <c r="N18" s="15" t="str">
        <f>IF('MASTER DATA'!N502="","",'MASTER DATA'!N502)</f>
        <v/>
      </c>
      <c r="O18" s="16" t="str">
        <f>IF('MASTER DATA'!O502="","",'MASTER DATA'!O502)</f>
        <v/>
      </c>
      <c r="P18" s="16" t="str">
        <f>IF('MASTER DATA'!P502="","",'MASTER DATA'!P502)</f>
        <v>Y</v>
      </c>
      <c r="Q18" s="16" t="str">
        <f>IF('MASTER DATA'!Q502="","",'MASTER DATA'!Q502)</f>
        <v>Specialist Consultation Requested; Denied Treatment Requests; MSA Eligible in Next 3 Years</v>
      </c>
      <c r="R18" s="16" t="str">
        <f>IF('MASTER DATA'!R502="","",'MASTER DATA'!R502)</f>
        <v/>
      </c>
      <c r="S18" s="16" t="str">
        <f>IF('MASTER DATA'!S502="","",'MASTER DATA'!S502)</f>
        <v>Y</v>
      </c>
      <c r="T18" s="15">
        <f>IF('MASTER DATA'!T502="","",'MASTER DATA'!T502)</f>
        <v>45549</v>
      </c>
      <c r="U18" s="16" t="str">
        <f>IF('MASTER DATA'!U502="","",'MASTER DATA'!U502)</f>
        <v>N</v>
      </c>
      <c r="V18" s="16" t="str">
        <f>IF('MASTER DATA'!V502="","",'MASTER DATA'!V502)</f>
        <v>N</v>
      </c>
      <c r="W18" s="16" t="str">
        <f>IF('MASTER DATA'!W502="","",'MASTER DATA'!W502)</f>
        <v>Y</v>
      </c>
      <c r="X18" s="16" t="str">
        <f>IF('MASTER DATA'!X502="","",'MASTER DATA'!X502)</f>
        <v>Y</v>
      </c>
      <c r="Y18" s="16" t="str">
        <f>IF('MASTER DATA'!Y502="","",'MASTER DATA'!Y502)</f>
        <v>N</v>
      </c>
      <c r="Z18" s="16" t="str">
        <f>IF('MASTER DATA'!Z502="","",'MASTER DATA'!Z502)</f>
        <v>Y</v>
      </c>
      <c r="AA18" s="16">
        <f>IF('MASTER DATA'!AA502="","",'MASTER DATA'!AA502)</f>
        <v>2</v>
      </c>
      <c r="AB18" s="16" t="str">
        <f>IF('MASTER DATA'!AB502="","",'MASTER DATA'!AB502)</f>
        <v>MULTI-SIGNAL</v>
      </c>
      <c r="AC18" s="16" t="str">
        <f>IF('MASTER DATA'!AC502="","",'MASTER DATA'!AC502)</f>
        <v>Automated Claim Alert | Inactive Customer</v>
      </c>
    </row>
    <row r="19" spans="1:29" x14ac:dyDescent="0.45">
      <c r="A19" t="str">
        <f>IF('MASTER DATA'!A503="","",'MASTER DATA'!A503)</f>
        <v>SYN-CLM-0502</v>
      </c>
      <c r="B19" t="str">
        <f>IF('MASTER DATA'!B503="","",'MASTER DATA'!B503)</f>
        <v>Synthetic Claimant 0502</v>
      </c>
      <c r="C19" t="str">
        <f>IF('MASTER DATA'!C503="","",'MASTER DATA'!C503)</f>
        <v>Claims Analyst L</v>
      </c>
      <c r="D19" t="str">
        <f>IF('MASTER DATA'!D503="","",'MASTER DATA'!D503)</f>
        <v>Synthetic Policyholder 024, LLC</v>
      </c>
      <c r="E19" s="15">
        <f>IF('MASTER DATA'!E503="","",'MASTER DATA'!E503)</f>
        <v>43488</v>
      </c>
      <c r="F19" s="16" t="str">
        <f>IF('MASTER DATA'!F503="","",'MASTER DATA'!F503)</f>
        <v>Y</v>
      </c>
      <c r="G19" s="17">
        <f>IF('MASTER DATA'!G503="","",'MASTER DATA'!G503)</f>
        <v>157500</v>
      </c>
      <c r="H19" s="16" t="str">
        <f>IF('MASTER DATA'!H503="","",'MASTER DATA'!H503)</f>
        <v>Synthetic Approver 09</v>
      </c>
      <c r="I19" s="15">
        <f>IF('MASTER DATA'!I503="","",'MASTER DATA'!I503)</f>
        <v>43567</v>
      </c>
      <c r="J19" s="16" t="str">
        <f>IF('MASTER DATA'!J503="","",'MASTER DATA'!J503)</f>
        <v>Y</v>
      </c>
      <c r="K19" s="15">
        <f>IF('MASTER DATA'!K503="","",'MASTER DATA'!K503)</f>
        <v>44294</v>
      </c>
      <c r="L19" s="16" t="str">
        <f>IF('MASTER DATA'!L503="","",'MASTER DATA'!L503)</f>
        <v>Y</v>
      </c>
      <c r="M19" s="16" t="str">
        <f>IF('MASTER DATA'!M503="","",'MASTER DATA'!M503)</f>
        <v>N</v>
      </c>
      <c r="N19" s="15" t="str">
        <f>IF('MASTER DATA'!N503="","",'MASTER DATA'!N503)</f>
        <v/>
      </c>
      <c r="O19" s="16" t="str">
        <f>IF('MASTER DATA'!O503="","",'MASTER DATA'!O503)</f>
        <v/>
      </c>
      <c r="P19" s="16" t="str">
        <f>IF('MASTER DATA'!P503="","",'MASTER DATA'!P503)</f>
        <v>N</v>
      </c>
      <c r="Q19" s="16" t="str">
        <f>IF('MASTER DATA'!Q503="","",'MASTER DATA'!Q503)</f>
        <v/>
      </c>
      <c r="R19" s="16" t="str">
        <f>IF('MASTER DATA'!R503="","",'MASTER DATA'!R503)</f>
        <v/>
      </c>
      <c r="S19" s="16" t="str">
        <f>IF('MASTER DATA'!S503="","",'MASTER DATA'!S503)</f>
        <v>Y</v>
      </c>
      <c r="T19" s="15">
        <f>IF('MASTER DATA'!T503="","",'MASTER DATA'!T503)</f>
        <v>44851</v>
      </c>
      <c r="U19" s="16" t="str">
        <f>IF('MASTER DATA'!U503="","",'MASTER DATA'!U503)</f>
        <v>N</v>
      </c>
      <c r="V19" s="16" t="str">
        <f>IF('MASTER DATA'!V503="","",'MASTER DATA'!V503)</f>
        <v>N</v>
      </c>
      <c r="W19" s="16" t="str">
        <f>IF('MASTER DATA'!W503="","",'MASTER DATA'!W503)</f>
        <v>N</v>
      </c>
      <c r="X19" s="16" t="str">
        <f>IF('MASTER DATA'!X503="","",'MASTER DATA'!X503)</f>
        <v>N</v>
      </c>
      <c r="Y19" s="16" t="str">
        <f>IF('MASTER DATA'!Y503="","",'MASTER DATA'!Y503)</f>
        <v>N</v>
      </c>
      <c r="Z19" s="16" t="str">
        <f>IF('MASTER DATA'!Z503="","",'MASTER DATA'!Z503)</f>
        <v>N</v>
      </c>
      <c r="AA19" s="16">
        <f>IF('MASTER DATA'!AA503="","",'MASTER DATA'!AA503)</f>
        <v>3</v>
      </c>
      <c r="AB19" s="16" t="str">
        <f>IF('MASTER DATA'!AB503="","",'MASTER DATA'!AB503)</f>
        <v>ELEVATED MULTI-SIGNAL</v>
      </c>
      <c r="AC19" s="16" t="str">
        <f>IF('MASTER DATA'!AC503="","",'MASTER DATA'!AC503)</f>
        <v>Settlement Authorization | Open Stipulation | Inactive Customer</v>
      </c>
    </row>
    <row r="20" spans="1:29" x14ac:dyDescent="0.45">
      <c r="A20" t="str">
        <f>IF('MASTER DATA'!A504="","",'MASTER DATA'!A504)</f>
        <v>SYN-CLM-0503</v>
      </c>
      <c r="B20" t="str">
        <f>IF('MASTER DATA'!B504="","",'MASTER DATA'!B504)</f>
        <v>Synthetic Claimant 0503</v>
      </c>
      <c r="C20" t="str">
        <f>IF('MASTER DATA'!C504="","",'MASTER DATA'!C504)</f>
        <v>Claims Analyst L</v>
      </c>
      <c r="D20" t="str">
        <f>IF('MASTER DATA'!D504="","",'MASTER DATA'!D504)</f>
        <v>Synthetic Policyholder 136, LLC</v>
      </c>
      <c r="E20" s="15">
        <f>IF('MASTER DATA'!E504="","",'MASTER DATA'!E504)</f>
        <v>45661</v>
      </c>
      <c r="F20" s="16" t="str">
        <f>IF('MASTER DATA'!F504="","",'MASTER DATA'!F504)</f>
        <v>Y</v>
      </c>
      <c r="G20" s="17">
        <f>IF('MASTER DATA'!G504="","",'MASTER DATA'!G504)</f>
        <v>118000</v>
      </c>
      <c r="H20" s="16" t="str">
        <f>IF('MASTER DATA'!H504="","",'MASTER DATA'!H504)</f>
        <v>Synthetic Approver 10</v>
      </c>
      <c r="I20" s="15">
        <f>IF('MASTER DATA'!I504="","",'MASTER DATA'!I504)</f>
        <v>47411</v>
      </c>
      <c r="J20" s="16" t="str">
        <f>IF('MASTER DATA'!J504="","",'MASTER DATA'!J504)</f>
        <v>N</v>
      </c>
      <c r="K20" s="15" t="str">
        <f>IF('MASTER DATA'!K504="","",'MASTER DATA'!K504)</f>
        <v/>
      </c>
      <c r="L20" s="16" t="str">
        <f>IF('MASTER DATA'!L504="","",'MASTER DATA'!L504)</f>
        <v>Y</v>
      </c>
      <c r="M20" s="16" t="str">
        <f>IF('MASTER DATA'!M504="","",'MASTER DATA'!M504)</f>
        <v>N</v>
      </c>
      <c r="N20" s="15" t="str">
        <f>IF('MASTER DATA'!N504="","",'MASTER DATA'!N504)</f>
        <v/>
      </c>
      <c r="O20" s="16" t="str">
        <f>IF('MASTER DATA'!O504="","",'MASTER DATA'!O504)</f>
        <v/>
      </c>
      <c r="P20" s="16" t="str">
        <f>IF('MASTER DATA'!P504="","",'MASTER DATA'!P504)</f>
        <v>Y</v>
      </c>
      <c r="Q20" s="16" t="str">
        <f>IF('MASTER DATA'!Q504="","",'MASTER DATA'!Q504)</f>
        <v>Surgery Requested</v>
      </c>
      <c r="R20" s="16" t="str">
        <f>IF('MASTER DATA'!R504="","",'MASTER DATA'!R504)</f>
        <v>MMI Date Reported; Specialist Consultation Requested</v>
      </c>
      <c r="S20" s="16" t="str">
        <f>IF('MASTER DATA'!S504="","",'MASTER DATA'!S504)</f>
        <v>N</v>
      </c>
      <c r="T20" s="15" t="str">
        <f>IF('MASTER DATA'!T504="","",'MASTER DATA'!T504)</f>
        <v/>
      </c>
      <c r="U20" s="16" t="str">
        <f>IF('MASTER DATA'!U504="","",'MASTER DATA'!U504)</f>
        <v>Y</v>
      </c>
      <c r="V20" s="16" t="str">
        <f>IF('MASTER DATA'!V504="","",'MASTER DATA'!V504)</f>
        <v>Y</v>
      </c>
      <c r="W20" s="16" t="str">
        <f>IF('MASTER DATA'!W504="","",'MASTER DATA'!W504)</f>
        <v>N</v>
      </c>
      <c r="X20" s="16" t="str">
        <f>IF('MASTER DATA'!X504="","",'MASTER DATA'!X504)</f>
        <v>Y</v>
      </c>
      <c r="Y20" s="16" t="str">
        <f>IF('MASTER DATA'!Y504="","",'MASTER DATA'!Y504)</f>
        <v>N</v>
      </c>
      <c r="Z20" s="16" t="str">
        <f>IF('MASTER DATA'!Z504="","",'MASTER DATA'!Z504)</f>
        <v>N</v>
      </c>
      <c r="AA20" s="16">
        <f>IF('MASTER DATA'!AA504="","",'MASTER DATA'!AA504)</f>
        <v>2</v>
      </c>
      <c r="AB20" s="16" t="str">
        <f>IF('MASTER DATA'!AB504="","",'MASTER DATA'!AB504)</f>
        <v>MULTI-SIGNAL</v>
      </c>
      <c r="AC20" s="16" t="str">
        <f>IF('MASTER DATA'!AC504="","",'MASTER DATA'!AC504)</f>
        <v>Settlement Authorization | Automated Claim Alert</v>
      </c>
    </row>
    <row r="21" spans="1:29" x14ac:dyDescent="0.45">
      <c r="A21" t="str">
        <f>IF('MASTER DATA'!A505="","",'MASTER DATA'!A505)</f>
        <v>SYN-CLM-0504</v>
      </c>
      <c r="B21" t="str">
        <f>IF('MASTER DATA'!B505="","",'MASTER DATA'!B505)</f>
        <v>Synthetic Claimant 0504</v>
      </c>
      <c r="C21" t="str">
        <f>IF('MASTER DATA'!C505="","",'MASTER DATA'!C505)</f>
        <v>Claims Analyst L</v>
      </c>
      <c r="D21" t="str">
        <f>IF('MASTER DATA'!D505="","",'MASTER DATA'!D505)</f>
        <v>Synthetic Policyholder 038, LLC</v>
      </c>
      <c r="E21" s="15">
        <f>IF('MASTER DATA'!E505="","",'MASTER DATA'!E505)</f>
        <v>45316</v>
      </c>
      <c r="F21" s="16" t="str">
        <f>IF('MASTER DATA'!F505="","",'MASTER DATA'!F505)</f>
        <v>N</v>
      </c>
      <c r="G21" s="17" t="str">
        <f>IF('MASTER DATA'!G505="","",'MASTER DATA'!G505)</f>
        <v/>
      </c>
      <c r="H21" s="16" t="str">
        <f>IF('MASTER DATA'!H505="","",'MASTER DATA'!H505)</f>
        <v/>
      </c>
      <c r="I21" s="15" t="str">
        <f>IF('MASTER DATA'!I505="","",'MASTER DATA'!I505)</f>
        <v/>
      </c>
      <c r="J21" s="16" t="str">
        <f>IF('MASTER DATA'!J505="","",'MASTER DATA'!J505)</f>
        <v>N</v>
      </c>
      <c r="K21" s="15" t="str">
        <f>IF('MASTER DATA'!K505="","",'MASTER DATA'!K505)</f>
        <v/>
      </c>
      <c r="L21" s="16" t="str">
        <f>IF('MASTER DATA'!L505="","",'MASTER DATA'!L505)</f>
        <v/>
      </c>
      <c r="M21" s="16" t="str">
        <f>IF('MASTER DATA'!M505="","",'MASTER DATA'!M505)</f>
        <v>N</v>
      </c>
      <c r="N21" s="15" t="str">
        <f>IF('MASTER DATA'!N505="","",'MASTER DATA'!N505)</f>
        <v/>
      </c>
      <c r="O21" s="16" t="str">
        <f>IF('MASTER DATA'!O505="","",'MASTER DATA'!O505)</f>
        <v/>
      </c>
      <c r="P21" s="16" t="str">
        <f>IF('MASTER DATA'!P505="","",'MASTER DATA'!P505)</f>
        <v>N</v>
      </c>
      <c r="Q21" s="16" t="str">
        <f>IF('MASTER DATA'!Q505="","",'MASTER DATA'!Q505)</f>
        <v/>
      </c>
      <c r="R21" s="16" t="str">
        <f>IF('MASTER DATA'!R505="","",'MASTER DATA'!R505)</f>
        <v/>
      </c>
      <c r="S21" s="16" t="str">
        <f>IF('MASTER DATA'!S505="","",'MASTER DATA'!S505)</f>
        <v>Y</v>
      </c>
      <c r="T21" s="15">
        <f>IF('MASTER DATA'!T505="","",'MASTER DATA'!T505)</f>
        <v>46405</v>
      </c>
      <c r="U21" s="16" t="str">
        <f>IF('MASTER DATA'!U505="","",'MASTER DATA'!U505)</f>
        <v>N</v>
      </c>
      <c r="V21" s="16" t="str">
        <f>IF('MASTER DATA'!V505="","",'MASTER DATA'!V505)</f>
        <v>N</v>
      </c>
      <c r="W21" s="16" t="str">
        <f>IF('MASTER DATA'!W505="","",'MASTER DATA'!W505)</f>
        <v>N</v>
      </c>
      <c r="X21" s="16" t="str">
        <f>IF('MASTER DATA'!X505="","",'MASTER DATA'!X505)</f>
        <v>N</v>
      </c>
      <c r="Y21" s="16" t="str">
        <f>IF('MASTER DATA'!Y505="","",'MASTER DATA'!Y505)</f>
        <v>N</v>
      </c>
      <c r="Z21" s="16" t="str">
        <f>IF('MASTER DATA'!Z505="","",'MASTER DATA'!Z505)</f>
        <v>N</v>
      </c>
      <c r="AA21" s="16">
        <f>IF('MASTER DATA'!AA505="","",'MASTER DATA'!AA505)</f>
        <v>1</v>
      </c>
      <c r="AB21" s="16" t="str">
        <f>IF('MASTER DATA'!AB505="","",'MASTER DATA'!AB505)</f>
        <v>SINGLE-SIGNAL</v>
      </c>
      <c r="AC21" s="16" t="str">
        <f>IF('MASTER DATA'!AC505="","",'MASTER DATA'!AC505)</f>
        <v>Inactive Customer</v>
      </c>
    </row>
    <row r="22" spans="1:29" x14ac:dyDescent="0.45">
      <c r="A22" t="str">
        <f>IF('MASTER DATA'!A506="","",'MASTER DATA'!A506)</f>
        <v>SYN-CLM-0505</v>
      </c>
      <c r="B22" t="str">
        <f>IF('MASTER DATA'!B506="","",'MASTER DATA'!B506)</f>
        <v>Synthetic Claimant 0505</v>
      </c>
      <c r="C22" t="str">
        <f>IF('MASTER DATA'!C506="","",'MASTER DATA'!C506)</f>
        <v>Claims Analyst L</v>
      </c>
      <c r="D22" t="str">
        <f>IF('MASTER DATA'!D506="","",'MASTER DATA'!D506)</f>
        <v>Synthetic Policyholder 167, LLC</v>
      </c>
      <c r="E22" s="15">
        <f>IF('MASTER DATA'!E506="","",'MASTER DATA'!E506)</f>
        <v>43987</v>
      </c>
      <c r="F22" s="16" t="str">
        <f>IF('MASTER DATA'!F506="","",'MASTER DATA'!F506)</f>
        <v>Y</v>
      </c>
      <c r="G22" s="17">
        <f>IF('MASTER DATA'!G506="","",'MASTER DATA'!G506)</f>
        <v>114500</v>
      </c>
      <c r="H22" s="16" t="str">
        <f>IF('MASTER DATA'!H506="","",'MASTER DATA'!H506)</f>
        <v>Synthetic Approver 10</v>
      </c>
      <c r="I22" s="15">
        <f>IF('MASTER DATA'!I506="","",'MASTER DATA'!I506)</f>
        <v>45730</v>
      </c>
      <c r="J22" s="16" t="str">
        <f>IF('MASTER DATA'!J506="","",'MASTER DATA'!J506)</f>
        <v>N</v>
      </c>
      <c r="K22" s="15" t="str">
        <f>IF('MASTER DATA'!K506="","",'MASTER DATA'!K506)</f>
        <v/>
      </c>
      <c r="L22" s="16" t="str">
        <f>IF('MASTER DATA'!L506="","",'MASTER DATA'!L506)</f>
        <v>N</v>
      </c>
      <c r="M22" s="16" t="str">
        <f>IF('MASTER DATA'!M506="","",'MASTER DATA'!M506)</f>
        <v>N</v>
      </c>
      <c r="N22" s="15" t="str">
        <f>IF('MASTER DATA'!N506="","",'MASTER DATA'!N506)</f>
        <v/>
      </c>
      <c r="O22" s="16" t="str">
        <f>IF('MASTER DATA'!O506="","",'MASTER DATA'!O506)</f>
        <v/>
      </c>
      <c r="P22" s="16" t="str">
        <f>IF('MASTER DATA'!P506="","",'MASTER DATA'!P506)</f>
        <v>N</v>
      </c>
      <c r="Q22" s="16" t="str">
        <f>IF('MASTER DATA'!Q506="","",'MASTER DATA'!Q506)</f>
        <v/>
      </c>
      <c r="R22" s="16" t="str">
        <f>IF('MASTER DATA'!R506="","",'MASTER DATA'!R506)</f>
        <v/>
      </c>
      <c r="S22" s="16" t="str">
        <f>IF('MASTER DATA'!S506="","",'MASTER DATA'!S506)</f>
        <v>N</v>
      </c>
      <c r="T22" s="15" t="str">
        <f>IF('MASTER DATA'!T506="","",'MASTER DATA'!T506)</f>
        <v/>
      </c>
      <c r="U22" s="16" t="str">
        <f>IF('MASTER DATA'!U506="","",'MASTER DATA'!U506)</f>
        <v>N</v>
      </c>
      <c r="V22" s="16" t="str">
        <f>IF('MASTER DATA'!V506="","",'MASTER DATA'!V506)</f>
        <v>N</v>
      </c>
      <c r="W22" s="16" t="str">
        <f>IF('MASTER DATA'!W506="","",'MASTER DATA'!W506)</f>
        <v>N</v>
      </c>
      <c r="X22" s="16" t="str">
        <f>IF('MASTER DATA'!X506="","",'MASTER DATA'!X506)</f>
        <v>N</v>
      </c>
      <c r="Y22" s="16" t="str">
        <f>IF('MASTER DATA'!Y506="","",'MASTER DATA'!Y506)</f>
        <v>N</v>
      </c>
      <c r="Z22" s="16" t="str">
        <f>IF('MASTER DATA'!Z506="","",'MASTER DATA'!Z506)</f>
        <v>N</v>
      </c>
      <c r="AA22" s="16">
        <f>IF('MASTER DATA'!AA506="","",'MASTER DATA'!AA506)</f>
        <v>1</v>
      </c>
      <c r="AB22" s="16" t="str">
        <f>IF('MASTER DATA'!AB506="","",'MASTER DATA'!AB506)</f>
        <v>SINGLE-SIGNAL</v>
      </c>
      <c r="AC22" s="16" t="str">
        <f>IF('MASTER DATA'!AC506="","",'MASTER DATA'!AC506)</f>
        <v>Settlement Authorization</v>
      </c>
    </row>
    <row r="23" spans="1:29" x14ac:dyDescent="0.45">
      <c r="A23" t="str">
        <f>IF('MASTER DATA'!A507="","",'MASTER DATA'!A507)</f>
        <v>SYN-CLM-0506</v>
      </c>
      <c r="B23" t="str">
        <f>IF('MASTER DATA'!B507="","",'MASTER DATA'!B507)</f>
        <v>Synthetic Claimant 0506</v>
      </c>
      <c r="C23" t="str">
        <f>IF('MASTER DATA'!C507="","",'MASTER DATA'!C507)</f>
        <v>Claims Analyst L</v>
      </c>
      <c r="D23" t="str">
        <f>IF('MASTER DATA'!D507="","",'MASTER DATA'!D507)</f>
        <v>Synthetic Policyholder 140, LLC</v>
      </c>
      <c r="E23" s="15">
        <f>IF('MASTER DATA'!E507="","",'MASTER DATA'!E507)</f>
        <v>45473</v>
      </c>
      <c r="F23" s="16" t="str">
        <f>IF('MASTER DATA'!F507="","",'MASTER DATA'!F507)</f>
        <v>N</v>
      </c>
      <c r="G23" s="17" t="str">
        <f>IF('MASTER DATA'!G507="","",'MASTER DATA'!G507)</f>
        <v/>
      </c>
      <c r="H23" s="16" t="str">
        <f>IF('MASTER DATA'!H507="","",'MASTER DATA'!H507)</f>
        <v/>
      </c>
      <c r="I23" s="15" t="str">
        <f>IF('MASTER DATA'!I507="","",'MASTER DATA'!I507)</f>
        <v/>
      </c>
      <c r="J23" s="16" t="str">
        <f>IF('MASTER DATA'!J507="","",'MASTER DATA'!J507)</f>
        <v>N</v>
      </c>
      <c r="K23" s="15" t="str">
        <f>IF('MASTER DATA'!K507="","",'MASTER DATA'!K507)</f>
        <v/>
      </c>
      <c r="L23" s="16" t="str">
        <f>IF('MASTER DATA'!L507="","",'MASTER DATA'!L507)</f>
        <v/>
      </c>
      <c r="M23" s="16" t="str">
        <f>IF('MASTER DATA'!M507="","",'MASTER DATA'!M507)</f>
        <v>N</v>
      </c>
      <c r="N23" s="15" t="str">
        <f>IF('MASTER DATA'!N507="","",'MASTER DATA'!N507)</f>
        <v/>
      </c>
      <c r="O23" s="16" t="str">
        <f>IF('MASTER DATA'!O507="","",'MASTER DATA'!O507)</f>
        <v/>
      </c>
      <c r="P23" s="16" t="str">
        <f>IF('MASTER DATA'!P507="","",'MASTER DATA'!P507)</f>
        <v>Y</v>
      </c>
      <c r="Q23" s="16" t="str">
        <f>IF('MASTER DATA'!Q507="","",'MASTER DATA'!Q507)</f>
        <v>Non-Renewed Account</v>
      </c>
      <c r="R23" s="16" t="str">
        <f>IF('MASTER DATA'!R507="","",'MASTER DATA'!R507)</f>
        <v>Specialist Consultation Requested</v>
      </c>
      <c r="S23" s="16" t="str">
        <f>IF('MASTER DATA'!S507="","",'MASTER DATA'!S507)</f>
        <v>N</v>
      </c>
      <c r="T23" s="15" t="str">
        <f>IF('MASTER DATA'!T507="","",'MASTER DATA'!T507)</f>
        <v/>
      </c>
      <c r="U23" s="16" t="str">
        <f>IF('MASTER DATA'!U507="","",'MASTER DATA'!U507)</f>
        <v>N</v>
      </c>
      <c r="V23" s="16" t="str">
        <f>IF('MASTER DATA'!V507="","",'MASTER DATA'!V507)</f>
        <v>N</v>
      </c>
      <c r="W23" s="16" t="str">
        <f>IF('MASTER DATA'!W507="","",'MASTER DATA'!W507)</f>
        <v>N</v>
      </c>
      <c r="X23" s="16" t="str">
        <f>IF('MASTER DATA'!X507="","",'MASTER DATA'!X507)</f>
        <v>Y</v>
      </c>
      <c r="Y23" s="16" t="str">
        <f>IF('MASTER DATA'!Y507="","",'MASTER DATA'!Y507)</f>
        <v>Y</v>
      </c>
      <c r="Z23" s="16" t="str">
        <f>IF('MASTER DATA'!Z507="","",'MASTER DATA'!Z507)</f>
        <v>N</v>
      </c>
      <c r="AA23" s="16">
        <f>IF('MASTER DATA'!AA507="","",'MASTER DATA'!AA507)</f>
        <v>1</v>
      </c>
      <c r="AB23" s="16" t="str">
        <f>IF('MASTER DATA'!AB507="","",'MASTER DATA'!AB507)</f>
        <v>SINGLE-SIGNAL</v>
      </c>
      <c r="AC23" s="16" t="str">
        <f>IF('MASTER DATA'!AC507="","",'MASTER DATA'!AC507)</f>
        <v>Automated Claim Alert</v>
      </c>
    </row>
    <row r="24" spans="1:29" x14ac:dyDescent="0.45">
      <c r="A24" t="str">
        <f>IF('MASTER DATA'!A508="","",'MASTER DATA'!A508)</f>
        <v>SYN-CLM-0507</v>
      </c>
      <c r="B24" t="str">
        <f>IF('MASTER DATA'!B508="","",'MASTER DATA'!B508)</f>
        <v>Synthetic Claimant 0507</v>
      </c>
      <c r="C24" t="str">
        <f>IF('MASTER DATA'!C508="","",'MASTER DATA'!C508)</f>
        <v>Claims Analyst L</v>
      </c>
      <c r="D24" t="str">
        <f>IF('MASTER DATA'!D508="","",'MASTER DATA'!D508)</f>
        <v>Synthetic Policyholder 023, LLC</v>
      </c>
      <c r="E24" s="15">
        <f>IF('MASTER DATA'!E508="","",'MASTER DATA'!E508)</f>
        <v>45644</v>
      </c>
      <c r="F24" s="16" t="str">
        <f>IF('MASTER DATA'!F508="","",'MASTER DATA'!F508)</f>
        <v>Y</v>
      </c>
      <c r="G24" s="17">
        <f>IF('MASTER DATA'!G508="","",'MASTER DATA'!G508)</f>
        <v>37250</v>
      </c>
      <c r="H24" s="16" t="str">
        <f>IF('MASTER DATA'!H508="","",'MASTER DATA'!H508)</f>
        <v>Synthetic Approver 05</v>
      </c>
      <c r="I24" s="15">
        <f>IF('MASTER DATA'!I508="","",'MASTER DATA'!I508)</f>
        <v>46583</v>
      </c>
      <c r="J24" s="16" t="str">
        <f>IF('MASTER DATA'!J508="","",'MASTER DATA'!J508)</f>
        <v>Y</v>
      </c>
      <c r="K24" s="15">
        <f>IF('MASTER DATA'!K508="","",'MASTER DATA'!K508)</f>
        <v>45906</v>
      </c>
      <c r="L24" s="16" t="str">
        <f>IF('MASTER DATA'!L508="","",'MASTER DATA'!L508)</f>
        <v>Y</v>
      </c>
      <c r="M24" s="16" t="str">
        <f>IF('MASTER DATA'!M508="","",'MASTER DATA'!M508)</f>
        <v>N</v>
      </c>
      <c r="N24" s="15" t="str">
        <f>IF('MASTER DATA'!N508="","",'MASTER DATA'!N508)</f>
        <v/>
      </c>
      <c r="O24" s="16" t="str">
        <f>IF('MASTER DATA'!O508="","",'MASTER DATA'!O508)</f>
        <v/>
      </c>
      <c r="P24" s="16" t="str">
        <f>IF('MASTER DATA'!P508="","",'MASTER DATA'!P508)</f>
        <v>N</v>
      </c>
      <c r="Q24" s="16" t="str">
        <f>IF('MASTER DATA'!Q508="","",'MASTER DATA'!Q508)</f>
        <v/>
      </c>
      <c r="R24" s="16" t="str">
        <f>IF('MASTER DATA'!R508="","",'MASTER DATA'!R508)</f>
        <v/>
      </c>
      <c r="S24" s="16" t="str">
        <f>IF('MASTER DATA'!S508="","",'MASTER DATA'!S508)</f>
        <v>N</v>
      </c>
      <c r="T24" s="15" t="str">
        <f>IF('MASTER DATA'!T508="","",'MASTER DATA'!T508)</f>
        <v/>
      </c>
      <c r="U24" s="16" t="str">
        <f>IF('MASTER DATA'!U508="","",'MASTER DATA'!U508)</f>
        <v>N</v>
      </c>
      <c r="V24" s="16" t="str">
        <f>IF('MASTER DATA'!V508="","",'MASTER DATA'!V508)</f>
        <v>N</v>
      </c>
      <c r="W24" s="16" t="str">
        <f>IF('MASTER DATA'!W508="","",'MASTER DATA'!W508)</f>
        <v>N</v>
      </c>
      <c r="X24" s="16" t="str">
        <f>IF('MASTER DATA'!X508="","",'MASTER DATA'!X508)</f>
        <v>N</v>
      </c>
      <c r="Y24" s="16" t="str">
        <f>IF('MASTER DATA'!Y508="","",'MASTER DATA'!Y508)</f>
        <v>N</v>
      </c>
      <c r="Z24" s="16" t="str">
        <f>IF('MASTER DATA'!Z508="","",'MASTER DATA'!Z508)</f>
        <v>N</v>
      </c>
      <c r="AA24" s="16">
        <f>IF('MASTER DATA'!AA508="","",'MASTER DATA'!AA508)</f>
        <v>2</v>
      </c>
      <c r="AB24" s="16" t="str">
        <f>IF('MASTER DATA'!AB508="","",'MASTER DATA'!AB508)</f>
        <v>MULTI-SIGNAL</v>
      </c>
      <c r="AC24" s="16" t="str">
        <f>IF('MASTER DATA'!AC508="","",'MASTER DATA'!AC508)</f>
        <v>Settlement Authorization | Open Stipulation</v>
      </c>
    </row>
    <row r="25" spans="1:29" x14ac:dyDescent="0.45">
      <c r="A25" t="str">
        <f>IF('MASTER DATA'!A509="","",'MASTER DATA'!A509)</f>
        <v>SYN-CLM-0508</v>
      </c>
      <c r="B25" t="str">
        <f>IF('MASTER DATA'!B509="","",'MASTER DATA'!B509)</f>
        <v>Synthetic Claimant 0508</v>
      </c>
      <c r="C25" t="str">
        <f>IF('MASTER DATA'!C509="","",'MASTER DATA'!C509)</f>
        <v>Claims Analyst L</v>
      </c>
      <c r="D25" t="str">
        <f>IF('MASTER DATA'!D509="","",'MASTER DATA'!D509)</f>
        <v>Synthetic Policyholder 004, LLC</v>
      </c>
      <c r="E25" s="15">
        <f>IF('MASTER DATA'!E509="","",'MASTER DATA'!E509)</f>
        <v>44808</v>
      </c>
      <c r="F25" s="16" t="str">
        <f>IF('MASTER DATA'!F509="","",'MASTER DATA'!F509)</f>
        <v>Y</v>
      </c>
      <c r="G25" s="17">
        <f>IF('MASTER DATA'!G509="","",'MASTER DATA'!G509)</f>
        <v>136000</v>
      </c>
      <c r="H25" s="16" t="str">
        <f>IF('MASTER DATA'!H509="","",'MASTER DATA'!H509)</f>
        <v>Synthetic Approver 11</v>
      </c>
      <c r="I25" s="15">
        <f>IF('MASTER DATA'!I509="","",'MASTER DATA'!I509)</f>
        <v>45977</v>
      </c>
      <c r="J25" s="16" t="str">
        <f>IF('MASTER DATA'!J509="","",'MASTER DATA'!J509)</f>
        <v>N</v>
      </c>
      <c r="K25" s="15" t="str">
        <f>IF('MASTER DATA'!K509="","",'MASTER DATA'!K509)</f>
        <v/>
      </c>
      <c r="L25" s="16" t="str">
        <f>IF('MASTER DATA'!L509="","",'MASTER DATA'!L509)</f>
        <v>Y</v>
      </c>
      <c r="M25" s="16" t="str">
        <f>IF('MASTER DATA'!M509="","",'MASTER DATA'!M509)</f>
        <v>N</v>
      </c>
      <c r="N25" s="15" t="str">
        <f>IF('MASTER DATA'!N509="","",'MASTER DATA'!N509)</f>
        <v/>
      </c>
      <c r="O25" s="16" t="str">
        <f>IF('MASTER DATA'!O509="","",'MASTER DATA'!O509)</f>
        <v/>
      </c>
      <c r="P25" s="16" t="str">
        <f>IF('MASTER DATA'!P509="","",'MASTER DATA'!P509)</f>
        <v>N</v>
      </c>
      <c r="Q25" s="16" t="str">
        <f>IF('MASTER DATA'!Q509="","",'MASTER DATA'!Q509)</f>
        <v/>
      </c>
      <c r="R25" s="16" t="str">
        <f>IF('MASTER DATA'!R509="","",'MASTER DATA'!R509)</f>
        <v/>
      </c>
      <c r="S25" s="16" t="str">
        <f>IF('MASTER DATA'!S509="","",'MASTER DATA'!S509)</f>
        <v>N</v>
      </c>
      <c r="T25" s="15" t="str">
        <f>IF('MASTER DATA'!T509="","",'MASTER DATA'!T509)</f>
        <v/>
      </c>
      <c r="U25" s="16" t="str">
        <f>IF('MASTER DATA'!U509="","",'MASTER DATA'!U509)</f>
        <v>N</v>
      </c>
      <c r="V25" s="16" t="str">
        <f>IF('MASTER DATA'!V509="","",'MASTER DATA'!V509)</f>
        <v>N</v>
      </c>
      <c r="W25" s="16" t="str">
        <f>IF('MASTER DATA'!W509="","",'MASTER DATA'!W509)</f>
        <v>N</v>
      </c>
      <c r="X25" s="16" t="str">
        <f>IF('MASTER DATA'!X509="","",'MASTER DATA'!X509)</f>
        <v>N</v>
      </c>
      <c r="Y25" s="16" t="str">
        <f>IF('MASTER DATA'!Y509="","",'MASTER DATA'!Y509)</f>
        <v>N</v>
      </c>
      <c r="Z25" s="16" t="str">
        <f>IF('MASTER DATA'!Z509="","",'MASTER DATA'!Z509)</f>
        <v>N</v>
      </c>
      <c r="AA25" s="16">
        <f>IF('MASTER DATA'!AA509="","",'MASTER DATA'!AA509)</f>
        <v>1</v>
      </c>
      <c r="AB25" s="16" t="str">
        <f>IF('MASTER DATA'!AB509="","",'MASTER DATA'!AB509)</f>
        <v>SINGLE-SIGNAL</v>
      </c>
      <c r="AC25" s="16" t="str">
        <f>IF('MASTER DATA'!AC509="","",'MASTER DATA'!AC509)</f>
        <v>Settlement Authorization</v>
      </c>
    </row>
    <row r="26" spans="1:29" x14ac:dyDescent="0.45">
      <c r="A26" t="str">
        <f>IF('MASTER DATA'!A510="","",'MASTER DATA'!A510)</f>
        <v>SYN-CLM-0509</v>
      </c>
      <c r="B26" t="str">
        <f>IF('MASTER DATA'!B510="","",'MASTER DATA'!B510)</f>
        <v>Synthetic Claimant 0509</v>
      </c>
      <c r="C26" t="str">
        <f>IF('MASTER DATA'!C510="","",'MASTER DATA'!C510)</f>
        <v>Claims Analyst L</v>
      </c>
      <c r="D26" t="str">
        <f>IF('MASTER DATA'!D510="","",'MASTER DATA'!D510)</f>
        <v>Synthetic Policyholder 043, LLC</v>
      </c>
      <c r="E26" s="15">
        <f>IF('MASTER DATA'!E510="","",'MASTER DATA'!E510)</f>
        <v>43310</v>
      </c>
      <c r="F26" s="16" t="str">
        <f>IF('MASTER DATA'!F510="","",'MASTER DATA'!F510)</f>
        <v>Y</v>
      </c>
      <c r="G26" s="17">
        <f>IF('MASTER DATA'!G510="","",'MASTER DATA'!G510)</f>
        <v>141250</v>
      </c>
      <c r="H26" s="16" t="str">
        <f>IF('MASTER DATA'!H510="","",'MASTER DATA'!H510)</f>
        <v>Synthetic Approver 09</v>
      </c>
      <c r="I26" s="15">
        <f>IF('MASTER DATA'!I510="","",'MASTER DATA'!I510)</f>
        <v>44793</v>
      </c>
      <c r="J26" s="16" t="str">
        <f>IF('MASTER DATA'!J510="","",'MASTER DATA'!J510)</f>
        <v>N</v>
      </c>
      <c r="K26" s="15" t="str">
        <f>IF('MASTER DATA'!K510="","",'MASTER DATA'!K510)</f>
        <v/>
      </c>
      <c r="L26" s="16" t="str">
        <f>IF('MASTER DATA'!L510="","",'MASTER DATA'!L510)</f>
        <v>N</v>
      </c>
      <c r="M26" s="16" t="str">
        <f>IF('MASTER DATA'!M510="","",'MASTER DATA'!M510)</f>
        <v>N</v>
      </c>
      <c r="N26" s="15" t="str">
        <f>IF('MASTER DATA'!N510="","",'MASTER DATA'!N510)</f>
        <v/>
      </c>
      <c r="O26" s="16" t="str">
        <f>IF('MASTER DATA'!O510="","",'MASTER DATA'!O510)</f>
        <v/>
      </c>
      <c r="P26" s="16" t="str">
        <f>IF('MASTER DATA'!P510="","",'MASTER DATA'!P510)</f>
        <v>Y</v>
      </c>
      <c r="Q26" s="16" t="str">
        <f>IF('MASTER DATA'!Q510="","",'MASTER DATA'!Q510)</f>
        <v>Specialist Consultation Requested; Non-Renewed Account</v>
      </c>
      <c r="R26" s="16" t="str">
        <f>IF('MASTER DATA'!R510="","",'MASTER DATA'!R510)</f>
        <v>MMI Date Reported</v>
      </c>
      <c r="S26" s="16" t="str">
        <f>IF('MASTER DATA'!S510="","",'MASTER DATA'!S510)</f>
        <v>Y</v>
      </c>
      <c r="T26" s="15">
        <f>IF('MASTER DATA'!T510="","",'MASTER DATA'!T510)</f>
        <v>44712</v>
      </c>
      <c r="U26" s="16" t="str">
        <f>IF('MASTER DATA'!U510="","",'MASTER DATA'!U510)</f>
        <v>N</v>
      </c>
      <c r="V26" s="16" t="str">
        <f>IF('MASTER DATA'!V510="","",'MASTER DATA'!V510)</f>
        <v>Y</v>
      </c>
      <c r="W26" s="16" t="str">
        <f>IF('MASTER DATA'!W510="","",'MASTER DATA'!W510)</f>
        <v>N</v>
      </c>
      <c r="X26" s="16" t="str">
        <f>IF('MASTER DATA'!X510="","",'MASTER DATA'!X510)</f>
        <v>Y</v>
      </c>
      <c r="Y26" s="16" t="str">
        <f>IF('MASTER DATA'!Y510="","",'MASTER DATA'!Y510)</f>
        <v>Y</v>
      </c>
      <c r="Z26" s="16" t="str">
        <f>IF('MASTER DATA'!Z510="","",'MASTER DATA'!Z510)</f>
        <v>N</v>
      </c>
      <c r="AA26" s="16">
        <f>IF('MASTER DATA'!AA510="","",'MASTER DATA'!AA510)</f>
        <v>3</v>
      </c>
      <c r="AB26" s="16" t="str">
        <f>IF('MASTER DATA'!AB510="","",'MASTER DATA'!AB510)</f>
        <v>ELEVATED MULTI-SIGNAL</v>
      </c>
      <c r="AC26" s="16" t="str">
        <f>IF('MASTER DATA'!AC510="","",'MASTER DATA'!AC510)</f>
        <v>Settlement Authorization | Automated Claim Alert | Inactive Customer</v>
      </c>
    </row>
    <row r="27" spans="1:29" x14ac:dyDescent="0.45">
      <c r="A27" t="str">
        <f>IF('MASTER DATA'!A511="","",'MASTER DATA'!A511)</f>
        <v>SYN-CLM-0510</v>
      </c>
      <c r="B27" t="str">
        <f>IF('MASTER DATA'!B511="","",'MASTER DATA'!B511)</f>
        <v>Synthetic Claimant 0510</v>
      </c>
      <c r="C27" t="str">
        <f>IF('MASTER DATA'!C511="","",'MASTER DATA'!C511)</f>
        <v>Claims Analyst L</v>
      </c>
      <c r="D27" t="str">
        <f>IF('MASTER DATA'!D511="","",'MASTER DATA'!D511)</f>
        <v>Synthetic Policyholder 019, LLC</v>
      </c>
      <c r="E27" s="15">
        <f>IF('MASTER DATA'!E511="","",'MASTER DATA'!E511)</f>
        <v>43783</v>
      </c>
      <c r="F27" s="16" t="str">
        <f>IF('MASTER DATA'!F511="","",'MASTER DATA'!F511)</f>
        <v>Y</v>
      </c>
      <c r="G27" s="17">
        <f>IF('MASTER DATA'!G511="","",'MASTER DATA'!G511)</f>
        <v>169250</v>
      </c>
      <c r="H27" s="16" t="str">
        <f>IF('MASTER DATA'!H511="","",'MASTER DATA'!H511)</f>
        <v>Synthetic Approver 03</v>
      </c>
      <c r="I27" s="15">
        <f>IF('MASTER DATA'!I511="","",'MASTER DATA'!I511)</f>
        <v>44057</v>
      </c>
      <c r="J27" s="16" t="str">
        <f>IF('MASTER DATA'!J511="","",'MASTER DATA'!J511)</f>
        <v>N</v>
      </c>
      <c r="K27" s="15" t="str">
        <f>IF('MASTER DATA'!K511="","",'MASTER DATA'!K511)</f>
        <v/>
      </c>
      <c r="L27" s="16" t="str">
        <f>IF('MASTER DATA'!L511="","",'MASTER DATA'!L511)</f>
        <v>N</v>
      </c>
      <c r="M27" s="16" t="str">
        <f>IF('MASTER DATA'!M511="","",'MASTER DATA'!M511)</f>
        <v>N</v>
      </c>
      <c r="N27" s="15" t="str">
        <f>IF('MASTER DATA'!N511="","",'MASTER DATA'!N511)</f>
        <v/>
      </c>
      <c r="O27" s="16" t="str">
        <f>IF('MASTER DATA'!O511="","",'MASTER DATA'!O511)</f>
        <v/>
      </c>
      <c r="P27" s="16" t="str">
        <f>IF('MASTER DATA'!P511="","",'MASTER DATA'!P511)</f>
        <v>N</v>
      </c>
      <c r="Q27" s="16" t="str">
        <f>IF('MASTER DATA'!Q511="","",'MASTER DATA'!Q511)</f>
        <v/>
      </c>
      <c r="R27" s="16" t="str">
        <f>IF('MASTER DATA'!R511="","",'MASTER DATA'!R511)</f>
        <v/>
      </c>
      <c r="S27" s="16" t="str">
        <f>IF('MASTER DATA'!S511="","",'MASTER DATA'!S511)</f>
        <v>N</v>
      </c>
      <c r="T27" s="15" t="str">
        <f>IF('MASTER DATA'!T511="","",'MASTER DATA'!T511)</f>
        <v/>
      </c>
      <c r="U27" s="16" t="str">
        <f>IF('MASTER DATA'!U511="","",'MASTER DATA'!U511)</f>
        <v>N</v>
      </c>
      <c r="V27" s="16" t="str">
        <f>IF('MASTER DATA'!V511="","",'MASTER DATA'!V511)</f>
        <v>N</v>
      </c>
      <c r="W27" s="16" t="str">
        <f>IF('MASTER DATA'!W511="","",'MASTER DATA'!W511)</f>
        <v>N</v>
      </c>
      <c r="X27" s="16" t="str">
        <f>IF('MASTER DATA'!X511="","",'MASTER DATA'!X511)</f>
        <v>N</v>
      </c>
      <c r="Y27" s="16" t="str">
        <f>IF('MASTER DATA'!Y511="","",'MASTER DATA'!Y511)</f>
        <v>N</v>
      </c>
      <c r="Z27" s="16" t="str">
        <f>IF('MASTER DATA'!Z511="","",'MASTER DATA'!Z511)</f>
        <v>N</v>
      </c>
      <c r="AA27" s="16">
        <f>IF('MASTER DATA'!AA511="","",'MASTER DATA'!AA511)</f>
        <v>1</v>
      </c>
      <c r="AB27" s="16" t="str">
        <f>IF('MASTER DATA'!AB511="","",'MASTER DATA'!AB511)</f>
        <v>SINGLE-SIGNAL</v>
      </c>
      <c r="AC27" s="16" t="str">
        <f>IF('MASTER DATA'!AC511="","",'MASTER DATA'!AC511)</f>
        <v>Settlement Authorization</v>
      </c>
    </row>
    <row r="28" spans="1:29" x14ac:dyDescent="0.45">
      <c r="A28" t="str">
        <f>IF('MASTER DATA'!A512="","",'MASTER DATA'!A512)</f>
        <v>SYN-CLM-0511</v>
      </c>
      <c r="B28" t="str">
        <f>IF('MASTER DATA'!B512="","",'MASTER DATA'!B512)</f>
        <v>Synthetic Claimant 0511</v>
      </c>
      <c r="C28" t="str">
        <f>IF('MASTER DATA'!C512="","",'MASTER DATA'!C512)</f>
        <v>Claims Analyst L</v>
      </c>
      <c r="D28" t="str">
        <f>IF('MASTER DATA'!D512="","",'MASTER DATA'!D512)</f>
        <v>Synthetic Policyholder 064, LLC</v>
      </c>
      <c r="E28" s="15">
        <f>IF('MASTER DATA'!E512="","",'MASTER DATA'!E512)</f>
        <v>44173</v>
      </c>
      <c r="F28" s="16" t="str">
        <f>IF('MASTER DATA'!F512="","",'MASTER DATA'!F512)</f>
        <v>Y</v>
      </c>
      <c r="G28" s="17">
        <f>IF('MASTER DATA'!G512="","",'MASTER DATA'!G512)</f>
        <v>164250</v>
      </c>
      <c r="H28" s="16" t="str">
        <f>IF('MASTER DATA'!H512="","",'MASTER DATA'!H512)</f>
        <v>Synthetic Approver 04</v>
      </c>
      <c r="I28" s="15">
        <f>IF('MASTER DATA'!I512="","",'MASTER DATA'!I512)</f>
        <v>45353</v>
      </c>
      <c r="J28" s="16" t="str">
        <f>IF('MASTER DATA'!J512="","",'MASTER DATA'!J512)</f>
        <v>N</v>
      </c>
      <c r="K28" s="15" t="str">
        <f>IF('MASTER DATA'!K512="","",'MASTER DATA'!K512)</f>
        <v/>
      </c>
      <c r="L28" s="16" t="str">
        <f>IF('MASTER DATA'!L512="","",'MASTER DATA'!L512)</f>
        <v>N</v>
      </c>
      <c r="M28" s="16" t="str">
        <f>IF('MASTER DATA'!M512="","",'MASTER DATA'!M512)</f>
        <v>N</v>
      </c>
      <c r="N28" s="15" t="str">
        <f>IF('MASTER DATA'!N512="","",'MASTER DATA'!N512)</f>
        <v/>
      </c>
      <c r="O28" s="16" t="str">
        <f>IF('MASTER DATA'!O512="","",'MASTER DATA'!O512)</f>
        <v/>
      </c>
      <c r="P28" s="16" t="str">
        <f>IF('MASTER DATA'!P512="","",'MASTER DATA'!P512)</f>
        <v>N</v>
      </c>
      <c r="Q28" s="16" t="str">
        <f>IF('MASTER DATA'!Q512="","",'MASTER DATA'!Q512)</f>
        <v/>
      </c>
      <c r="R28" s="16" t="str">
        <f>IF('MASTER DATA'!R512="","",'MASTER DATA'!R512)</f>
        <v/>
      </c>
      <c r="S28" s="16" t="str">
        <f>IF('MASTER DATA'!S512="","",'MASTER DATA'!S512)</f>
        <v>N</v>
      </c>
      <c r="T28" s="15" t="str">
        <f>IF('MASTER DATA'!T512="","",'MASTER DATA'!T512)</f>
        <v/>
      </c>
      <c r="U28" s="16" t="str">
        <f>IF('MASTER DATA'!U512="","",'MASTER DATA'!U512)</f>
        <v>N</v>
      </c>
      <c r="V28" s="16" t="str">
        <f>IF('MASTER DATA'!V512="","",'MASTER DATA'!V512)</f>
        <v>N</v>
      </c>
      <c r="W28" s="16" t="str">
        <f>IF('MASTER DATA'!W512="","",'MASTER DATA'!W512)</f>
        <v>N</v>
      </c>
      <c r="X28" s="16" t="str">
        <f>IF('MASTER DATA'!X512="","",'MASTER DATA'!X512)</f>
        <v>N</v>
      </c>
      <c r="Y28" s="16" t="str">
        <f>IF('MASTER DATA'!Y512="","",'MASTER DATA'!Y512)</f>
        <v>N</v>
      </c>
      <c r="Z28" s="16" t="str">
        <f>IF('MASTER DATA'!Z512="","",'MASTER DATA'!Z512)</f>
        <v>N</v>
      </c>
      <c r="AA28" s="16">
        <f>IF('MASTER DATA'!AA512="","",'MASTER DATA'!AA512)</f>
        <v>1</v>
      </c>
      <c r="AB28" s="16" t="str">
        <f>IF('MASTER DATA'!AB512="","",'MASTER DATA'!AB512)</f>
        <v>SINGLE-SIGNAL</v>
      </c>
      <c r="AC28" s="16" t="str">
        <f>IF('MASTER DATA'!AC512="","",'MASTER DATA'!AC512)</f>
        <v>Settlement Authorization</v>
      </c>
    </row>
    <row r="29" spans="1:29" x14ac:dyDescent="0.45">
      <c r="A29" t="str">
        <f>IF('MASTER DATA'!A513="","",'MASTER DATA'!A513)</f>
        <v>SYN-CLM-0512</v>
      </c>
      <c r="B29" t="str">
        <f>IF('MASTER DATA'!B513="","",'MASTER DATA'!B513)</f>
        <v>Synthetic Claimant 0512</v>
      </c>
      <c r="C29" t="str">
        <f>IF('MASTER DATA'!C513="","",'MASTER DATA'!C513)</f>
        <v>Claims Analyst L</v>
      </c>
      <c r="D29" t="str">
        <f>IF('MASTER DATA'!D513="","",'MASTER DATA'!D513)</f>
        <v>Synthetic Policyholder 117, LLC</v>
      </c>
      <c r="E29" s="15">
        <f>IF('MASTER DATA'!E513="","",'MASTER DATA'!E513)</f>
        <v>43551</v>
      </c>
      <c r="F29" s="16" t="str">
        <f>IF('MASTER DATA'!F513="","",'MASTER DATA'!F513)</f>
        <v>N</v>
      </c>
      <c r="G29" s="17" t="str">
        <f>IF('MASTER DATA'!G513="","",'MASTER DATA'!G513)</f>
        <v/>
      </c>
      <c r="H29" s="16" t="str">
        <f>IF('MASTER DATA'!H513="","",'MASTER DATA'!H513)</f>
        <v/>
      </c>
      <c r="I29" s="15" t="str">
        <f>IF('MASTER DATA'!I513="","",'MASTER DATA'!I513)</f>
        <v/>
      </c>
      <c r="J29" s="16" t="str">
        <f>IF('MASTER DATA'!J513="","",'MASTER DATA'!J513)</f>
        <v>Y</v>
      </c>
      <c r="K29" s="15">
        <f>IF('MASTER DATA'!K513="","",'MASTER DATA'!K513)</f>
        <v>44712</v>
      </c>
      <c r="L29" s="16" t="str">
        <f>IF('MASTER DATA'!L513="","",'MASTER DATA'!L513)</f>
        <v>Y</v>
      </c>
      <c r="M29" s="16" t="str">
        <f>IF('MASTER DATA'!M513="","",'MASTER DATA'!M513)</f>
        <v>N</v>
      </c>
      <c r="N29" s="15" t="str">
        <f>IF('MASTER DATA'!N513="","",'MASTER DATA'!N513)</f>
        <v/>
      </c>
      <c r="O29" s="16" t="str">
        <f>IF('MASTER DATA'!O513="","",'MASTER DATA'!O513)</f>
        <v/>
      </c>
      <c r="P29" s="16" t="str">
        <f>IF('MASTER DATA'!P513="","",'MASTER DATA'!P513)</f>
        <v>N</v>
      </c>
      <c r="Q29" s="16" t="str">
        <f>IF('MASTER DATA'!Q513="","",'MASTER DATA'!Q513)</f>
        <v/>
      </c>
      <c r="R29" s="16" t="str">
        <f>IF('MASTER DATA'!R513="","",'MASTER DATA'!R513)</f>
        <v/>
      </c>
      <c r="S29" s="16" t="str">
        <f>IF('MASTER DATA'!S513="","",'MASTER DATA'!S513)</f>
        <v>N</v>
      </c>
      <c r="T29" s="15" t="str">
        <f>IF('MASTER DATA'!T513="","",'MASTER DATA'!T513)</f>
        <v/>
      </c>
      <c r="U29" s="16" t="str">
        <f>IF('MASTER DATA'!U513="","",'MASTER DATA'!U513)</f>
        <v>N</v>
      </c>
      <c r="V29" s="16" t="str">
        <f>IF('MASTER DATA'!V513="","",'MASTER DATA'!V513)</f>
        <v>N</v>
      </c>
      <c r="W29" s="16" t="str">
        <f>IF('MASTER DATA'!W513="","",'MASTER DATA'!W513)</f>
        <v>N</v>
      </c>
      <c r="X29" s="16" t="str">
        <f>IF('MASTER DATA'!X513="","",'MASTER DATA'!X513)</f>
        <v>N</v>
      </c>
      <c r="Y29" s="16" t="str">
        <f>IF('MASTER DATA'!Y513="","",'MASTER DATA'!Y513)</f>
        <v>N</v>
      </c>
      <c r="Z29" s="16" t="str">
        <f>IF('MASTER DATA'!Z513="","",'MASTER DATA'!Z513)</f>
        <v>N</v>
      </c>
      <c r="AA29" s="16">
        <f>IF('MASTER DATA'!AA513="","",'MASTER DATA'!AA513)</f>
        <v>1</v>
      </c>
      <c r="AB29" s="16" t="str">
        <f>IF('MASTER DATA'!AB513="","",'MASTER DATA'!AB513)</f>
        <v>SINGLE-SIGNAL</v>
      </c>
      <c r="AC29" s="16" t="str">
        <f>IF('MASTER DATA'!AC513="","",'MASTER DATA'!AC513)</f>
        <v>Open Stipulation</v>
      </c>
    </row>
    <row r="30" spans="1:29" x14ac:dyDescent="0.45">
      <c r="A30" t="str">
        <f>IF('MASTER DATA'!A514="","",'MASTER DATA'!A514)</f>
        <v>SYN-CLM-0513</v>
      </c>
      <c r="B30" t="str">
        <f>IF('MASTER DATA'!B514="","",'MASTER DATA'!B514)</f>
        <v>Synthetic Claimant 0513</v>
      </c>
      <c r="C30" t="str">
        <f>IF('MASTER DATA'!C514="","",'MASTER DATA'!C514)</f>
        <v>Claims Analyst L</v>
      </c>
      <c r="D30" t="str">
        <f>IF('MASTER DATA'!D514="","",'MASTER DATA'!D514)</f>
        <v>Synthetic Policyholder 034, LLC</v>
      </c>
      <c r="E30" s="15">
        <f>IF('MASTER DATA'!E514="","",'MASTER DATA'!E514)</f>
        <v>44973</v>
      </c>
      <c r="F30" s="16" t="str">
        <f>IF('MASTER DATA'!F514="","",'MASTER DATA'!F514)</f>
        <v>N</v>
      </c>
      <c r="G30" s="17" t="str">
        <f>IF('MASTER DATA'!G514="","",'MASTER DATA'!G514)</f>
        <v/>
      </c>
      <c r="H30" s="16" t="str">
        <f>IF('MASTER DATA'!H514="","",'MASTER DATA'!H514)</f>
        <v/>
      </c>
      <c r="I30" s="15" t="str">
        <f>IF('MASTER DATA'!I514="","",'MASTER DATA'!I514)</f>
        <v/>
      </c>
      <c r="J30" s="16" t="str">
        <f>IF('MASTER DATA'!J514="","",'MASTER DATA'!J514)</f>
        <v>Y</v>
      </c>
      <c r="K30" s="15">
        <f>IF('MASTER DATA'!K514="","",'MASTER DATA'!K514)</f>
        <v>45958</v>
      </c>
      <c r="L30" s="16" t="str">
        <f>IF('MASTER DATA'!L514="","",'MASTER DATA'!L514)</f>
        <v>N</v>
      </c>
      <c r="M30" s="16" t="str">
        <f>IF('MASTER DATA'!M514="","",'MASTER DATA'!M514)</f>
        <v>N</v>
      </c>
      <c r="N30" s="15" t="str">
        <f>IF('MASTER DATA'!N514="","",'MASTER DATA'!N514)</f>
        <v/>
      </c>
      <c r="O30" s="16" t="str">
        <f>IF('MASTER DATA'!O514="","",'MASTER DATA'!O514)</f>
        <v/>
      </c>
      <c r="P30" s="16" t="str">
        <f>IF('MASTER DATA'!P514="","",'MASTER DATA'!P514)</f>
        <v>N</v>
      </c>
      <c r="Q30" s="16" t="str">
        <f>IF('MASTER DATA'!Q514="","",'MASTER DATA'!Q514)</f>
        <v/>
      </c>
      <c r="R30" s="16" t="str">
        <f>IF('MASTER DATA'!R514="","",'MASTER DATA'!R514)</f>
        <v/>
      </c>
      <c r="S30" s="16" t="str">
        <f>IF('MASTER DATA'!S514="","",'MASTER DATA'!S514)</f>
        <v>N</v>
      </c>
      <c r="T30" s="15" t="str">
        <f>IF('MASTER DATA'!T514="","",'MASTER DATA'!T514)</f>
        <v/>
      </c>
      <c r="U30" s="16" t="str">
        <f>IF('MASTER DATA'!U514="","",'MASTER DATA'!U514)</f>
        <v>N</v>
      </c>
      <c r="V30" s="16" t="str">
        <f>IF('MASTER DATA'!V514="","",'MASTER DATA'!V514)</f>
        <v>N</v>
      </c>
      <c r="W30" s="16" t="str">
        <f>IF('MASTER DATA'!W514="","",'MASTER DATA'!W514)</f>
        <v>N</v>
      </c>
      <c r="X30" s="16" t="str">
        <f>IF('MASTER DATA'!X514="","",'MASTER DATA'!X514)</f>
        <v>N</v>
      </c>
      <c r="Y30" s="16" t="str">
        <f>IF('MASTER DATA'!Y514="","",'MASTER DATA'!Y514)</f>
        <v>N</v>
      </c>
      <c r="Z30" s="16" t="str">
        <f>IF('MASTER DATA'!Z514="","",'MASTER DATA'!Z514)</f>
        <v>N</v>
      </c>
      <c r="AA30" s="16">
        <f>IF('MASTER DATA'!AA514="","",'MASTER DATA'!AA514)</f>
        <v>1</v>
      </c>
      <c r="AB30" s="16" t="str">
        <f>IF('MASTER DATA'!AB514="","",'MASTER DATA'!AB514)</f>
        <v>SINGLE-SIGNAL</v>
      </c>
      <c r="AC30" s="16" t="str">
        <f>IF('MASTER DATA'!AC514="","",'MASTER DATA'!AC514)</f>
        <v>Open Stipulation</v>
      </c>
    </row>
    <row r="31" spans="1:29" x14ac:dyDescent="0.45">
      <c r="A31" t="str">
        <f>IF('MASTER DATA'!A515="","",'MASTER DATA'!A515)</f>
        <v>SYN-CLM-0514</v>
      </c>
      <c r="B31" t="str">
        <f>IF('MASTER DATA'!B515="","",'MASTER DATA'!B515)</f>
        <v>Synthetic Claimant 0514</v>
      </c>
      <c r="C31" t="str">
        <f>IF('MASTER DATA'!C515="","",'MASTER DATA'!C515)</f>
        <v>Claims Analyst L</v>
      </c>
      <c r="D31" t="str">
        <f>IF('MASTER DATA'!D515="","",'MASTER DATA'!D515)</f>
        <v>Synthetic Policyholder 032, LLC</v>
      </c>
      <c r="E31" s="15">
        <f>IF('MASTER DATA'!E515="","",'MASTER DATA'!E515)</f>
        <v>44498</v>
      </c>
      <c r="F31" s="16" t="str">
        <f>IF('MASTER DATA'!F515="","",'MASTER DATA'!F515)</f>
        <v>Y</v>
      </c>
      <c r="G31" s="17">
        <f>IF('MASTER DATA'!G515="","",'MASTER DATA'!G515)</f>
        <v>6250</v>
      </c>
      <c r="H31" s="16" t="str">
        <f>IF('MASTER DATA'!H515="","",'MASTER DATA'!H515)</f>
        <v>Synthetic Approver 01</v>
      </c>
      <c r="I31" s="15">
        <f>IF('MASTER DATA'!I515="","",'MASTER DATA'!I515)</f>
        <v>45381</v>
      </c>
      <c r="J31" s="16" t="str">
        <f>IF('MASTER DATA'!J515="","",'MASTER DATA'!J515)</f>
        <v>Y</v>
      </c>
      <c r="K31" s="15">
        <f>IF('MASTER DATA'!K515="","",'MASTER DATA'!K515)</f>
        <v>45209</v>
      </c>
      <c r="L31" s="16" t="str">
        <f>IF('MASTER DATA'!L515="","",'MASTER DATA'!L515)</f>
        <v>N</v>
      </c>
      <c r="M31" s="16" t="str">
        <f>IF('MASTER DATA'!M515="","",'MASTER DATA'!M515)</f>
        <v>N</v>
      </c>
      <c r="N31" s="15" t="str">
        <f>IF('MASTER DATA'!N515="","",'MASTER DATA'!N515)</f>
        <v/>
      </c>
      <c r="O31" s="16" t="str">
        <f>IF('MASTER DATA'!O515="","",'MASTER DATA'!O515)</f>
        <v/>
      </c>
      <c r="P31" s="16" t="str">
        <f>IF('MASTER DATA'!P515="","",'MASTER DATA'!P515)</f>
        <v>N</v>
      </c>
      <c r="Q31" s="16" t="str">
        <f>IF('MASTER DATA'!Q515="","",'MASTER DATA'!Q515)</f>
        <v/>
      </c>
      <c r="R31" s="16" t="str">
        <f>IF('MASTER DATA'!R515="","",'MASTER DATA'!R515)</f>
        <v/>
      </c>
      <c r="S31" s="16" t="str">
        <f>IF('MASTER DATA'!S515="","",'MASTER DATA'!S515)</f>
        <v>N</v>
      </c>
      <c r="T31" s="15" t="str">
        <f>IF('MASTER DATA'!T515="","",'MASTER DATA'!T515)</f>
        <v/>
      </c>
      <c r="U31" s="16" t="str">
        <f>IF('MASTER DATA'!U515="","",'MASTER DATA'!U515)</f>
        <v>N</v>
      </c>
      <c r="V31" s="16" t="str">
        <f>IF('MASTER DATA'!V515="","",'MASTER DATA'!V515)</f>
        <v>N</v>
      </c>
      <c r="W31" s="16" t="str">
        <f>IF('MASTER DATA'!W515="","",'MASTER DATA'!W515)</f>
        <v>N</v>
      </c>
      <c r="X31" s="16" t="str">
        <f>IF('MASTER DATA'!X515="","",'MASTER DATA'!X515)</f>
        <v>N</v>
      </c>
      <c r="Y31" s="16" t="str">
        <f>IF('MASTER DATA'!Y515="","",'MASTER DATA'!Y515)</f>
        <v>N</v>
      </c>
      <c r="Z31" s="16" t="str">
        <f>IF('MASTER DATA'!Z515="","",'MASTER DATA'!Z515)</f>
        <v>N</v>
      </c>
      <c r="AA31" s="16">
        <f>IF('MASTER DATA'!AA515="","",'MASTER DATA'!AA515)</f>
        <v>2</v>
      </c>
      <c r="AB31" s="16" t="str">
        <f>IF('MASTER DATA'!AB515="","",'MASTER DATA'!AB515)</f>
        <v>MULTI-SIGNAL</v>
      </c>
      <c r="AC31" s="16" t="str">
        <f>IF('MASTER DATA'!AC515="","",'MASTER DATA'!AC515)</f>
        <v>Settlement Authorization | Open Stipulation</v>
      </c>
    </row>
    <row r="32" spans="1:29" x14ac:dyDescent="0.45">
      <c r="A32" t="str">
        <f>IF('MASTER DATA'!A516="","",'MASTER DATA'!A516)</f>
        <v>SYN-CLM-0515</v>
      </c>
      <c r="B32" t="str">
        <f>IF('MASTER DATA'!B516="","",'MASTER DATA'!B516)</f>
        <v>Synthetic Claimant 0515</v>
      </c>
      <c r="C32" t="str">
        <f>IF('MASTER DATA'!C516="","",'MASTER DATA'!C516)</f>
        <v>Claims Analyst L</v>
      </c>
      <c r="D32" t="str">
        <f>IF('MASTER DATA'!D516="","",'MASTER DATA'!D516)</f>
        <v>Synthetic Policyholder 113, LLC</v>
      </c>
      <c r="E32" s="15">
        <f>IF('MASTER DATA'!E516="","",'MASTER DATA'!E516)</f>
        <v>45867</v>
      </c>
      <c r="F32" s="16" t="str">
        <f>IF('MASTER DATA'!F516="","",'MASTER DATA'!F516)</f>
        <v>N</v>
      </c>
      <c r="G32" s="17" t="str">
        <f>IF('MASTER DATA'!G516="","",'MASTER DATA'!G516)</f>
        <v/>
      </c>
      <c r="H32" s="16" t="str">
        <f>IF('MASTER DATA'!H516="","",'MASTER DATA'!H516)</f>
        <v/>
      </c>
      <c r="I32" s="15" t="str">
        <f>IF('MASTER DATA'!I516="","",'MASTER DATA'!I516)</f>
        <v/>
      </c>
      <c r="J32" s="16" t="str">
        <f>IF('MASTER DATA'!J516="","",'MASTER DATA'!J516)</f>
        <v>N</v>
      </c>
      <c r="K32" s="15" t="str">
        <f>IF('MASTER DATA'!K516="","",'MASTER DATA'!K516)</f>
        <v/>
      </c>
      <c r="L32" s="16" t="str">
        <f>IF('MASTER DATA'!L516="","",'MASTER DATA'!L516)</f>
        <v/>
      </c>
      <c r="M32" s="16" t="str">
        <f>IF('MASTER DATA'!M516="","",'MASTER DATA'!M516)</f>
        <v>Y</v>
      </c>
      <c r="N32" s="15">
        <f>IF('MASTER DATA'!N516="","",'MASTER DATA'!N516)</f>
        <v>46082</v>
      </c>
      <c r="O32" s="16" t="str">
        <f>IF('MASTER DATA'!O516="","",'MASTER DATA'!O516)</f>
        <v>Synthetic QME Evaluator 01</v>
      </c>
      <c r="P32" s="16" t="str">
        <f>IF('MASTER DATA'!P516="","",'MASTER DATA'!P516)</f>
        <v>Y</v>
      </c>
      <c r="Q32" s="16" t="str">
        <f>IF('MASTER DATA'!Q516="","",'MASTER DATA'!Q516)</f>
        <v>Specialist Consultation Requested; MSA Eligible in Next 3 Years; MMI Date Reported</v>
      </c>
      <c r="R32" s="16" t="str">
        <f>IF('MASTER DATA'!R516="","",'MASTER DATA'!R516)</f>
        <v/>
      </c>
      <c r="S32" s="16" t="str">
        <f>IF('MASTER DATA'!S516="","",'MASTER DATA'!S516)</f>
        <v>N</v>
      </c>
      <c r="T32" s="15" t="str">
        <f>IF('MASTER DATA'!T516="","",'MASTER DATA'!T516)</f>
        <v/>
      </c>
      <c r="U32" s="16" t="str">
        <f>IF('MASTER DATA'!U516="","",'MASTER DATA'!U516)</f>
        <v>N</v>
      </c>
      <c r="V32" s="16" t="str">
        <f>IF('MASTER DATA'!V516="","",'MASTER DATA'!V516)</f>
        <v>Y</v>
      </c>
      <c r="W32" s="16" t="str">
        <f>IF('MASTER DATA'!W516="","",'MASTER DATA'!W516)</f>
        <v>N</v>
      </c>
      <c r="X32" s="16" t="str">
        <f>IF('MASTER DATA'!X516="","",'MASTER DATA'!X516)</f>
        <v>Y</v>
      </c>
      <c r="Y32" s="16" t="str">
        <f>IF('MASTER DATA'!Y516="","",'MASTER DATA'!Y516)</f>
        <v>N</v>
      </c>
      <c r="Z32" s="16" t="str">
        <f>IF('MASTER DATA'!Z516="","",'MASTER DATA'!Z516)</f>
        <v>Y</v>
      </c>
      <c r="AA32" s="16">
        <f>IF('MASTER DATA'!AA516="","",'MASTER DATA'!AA516)</f>
        <v>2</v>
      </c>
      <c r="AB32" s="16" t="str">
        <f>IF('MASTER DATA'!AB516="","",'MASTER DATA'!AB516)</f>
        <v>MULTI-SIGNAL</v>
      </c>
      <c r="AC32" s="16" t="str">
        <f>IF('MASTER DATA'!AC516="","",'MASTER DATA'!AC516)</f>
        <v>Pending QME | Automated Claim Alert</v>
      </c>
    </row>
    <row r="33" spans="1:29" x14ac:dyDescent="0.45">
      <c r="A33" t="str">
        <f>IF('MASTER DATA'!A517="","",'MASTER DATA'!A517)</f>
        <v>SYN-CLM-0516</v>
      </c>
      <c r="B33" t="str">
        <f>IF('MASTER DATA'!B517="","",'MASTER DATA'!B517)</f>
        <v>Synthetic Claimant 0516</v>
      </c>
      <c r="C33" t="str">
        <f>IF('MASTER DATA'!C517="","",'MASTER DATA'!C517)</f>
        <v>Claims Analyst L</v>
      </c>
      <c r="D33" t="str">
        <f>IF('MASTER DATA'!D517="","",'MASTER DATA'!D517)</f>
        <v>Synthetic Policyholder 053, LLC</v>
      </c>
      <c r="E33" s="15">
        <f>IF('MASTER DATA'!E517="","",'MASTER DATA'!E517)</f>
        <v>45968</v>
      </c>
      <c r="F33" s="16" t="str">
        <f>IF('MASTER DATA'!F517="","",'MASTER DATA'!F517)</f>
        <v>Y</v>
      </c>
      <c r="G33" s="17">
        <f>IF('MASTER DATA'!G517="","",'MASTER DATA'!G517)</f>
        <v>123000</v>
      </c>
      <c r="H33" s="16" t="str">
        <f>IF('MASTER DATA'!H517="","",'MASTER DATA'!H517)</f>
        <v>Synthetic Approver 07</v>
      </c>
      <c r="I33" s="15">
        <f>IF('MASTER DATA'!I517="","",'MASTER DATA'!I517)</f>
        <v>47514</v>
      </c>
      <c r="J33" s="16" t="str">
        <f>IF('MASTER DATA'!J517="","",'MASTER DATA'!J517)</f>
        <v>N</v>
      </c>
      <c r="K33" s="15" t="str">
        <f>IF('MASTER DATA'!K517="","",'MASTER DATA'!K517)</f>
        <v/>
      </c>
      <c r="L33" s="16" t="str">
        <f>IF('MASTER DATA'!L517="","",'MASTER DATA'!L517)</f>
        <v>N</v>
      </c>
      <c r="M33" s="16" t="str">
        <f>IF('MASTER DATA'!M517="","",'MASTER DATA'!M517)</f>
        <v>N</v>
      </c>
      <c r="N33" s="15" t="str">
        <f>IF('MASTER DATA'!N517="","",'MASTER DATA'!N517)</f>
        <v/>
      </c>
      <c r="O33" s="16" t="str">
        <f>IF('MASTER DATA'!O517="","",'MASTER DATA'!O517)</f>
        <v/>
      </c>
      <c r="P33" s="16" t="str">
        <f>IF('MASTER DATA'!P517="","",'MASTER DATA'!P517)</f>
        <v>N</v>
      </c>
      <c r="Q33" s="16" t="str">
        <f>IF('MASTER DATA'!Q517="","",'MASTER DATA'!Q517)</f>
        <v/>
      </c>
      <c r="R33" s="16" t="str">
        <f>IF('MASTER DATA'!R517="","",'MASTER DATA'!R517)</f>
        <v/>
      </c>
      <c r="S33" s="16" t="str">
        <f>IF('MASTER DATA'!S517="","",'MASTER DATA'!S517)</f>
        <v>N</v>
      </c>
      <c r="T33" s="15" t="str">
        <f>IF('MASTER DATA'!T517="","",'MASTER DATA'!T517)</f>
        <v/>
      </c>
      <c r="U33" s="16" t="str">
        <f>IF('MASTER DATA'!U517="","",'MASTER DATA'!U517)</f>
        <v>N</v>
      </c>
      <c r="V33" s="16" t="str">
        <f>IF('MASTER DATA'!V517="","",'MASTER DATA'!V517)</f>
        <v>N</v>
      </c>
      <c r="W33" s="16" t="str">
        <f>IF('MASTER DATA'!W517="","",'MASTER DATA'!W517)</f>
        <v>N</v>
      </c>
      <c r="X33" s="16" t="str">
        <f>IF('MASTER DATA'!X517="","",'MASTER DATA'!X517)</f>
        <v>N</v>
      </c>
      <c r="Y33" s="16" t="str">
        <f>IF('MASTER DATA'!Y517="","",'MASTER DATA'!Y517)</f>
        <v>N</v>
      </c>
      <c r="Z33" s="16" t="str">
        <f>IF('MASTER DATA'!Z517="","",'MASTER DATA'!Z517)</f>
        <v>N</v>
      </c>
      <c r="AA33" s="16">
        <f>IF('MASTER DATA'!AA517="","",'MASTER DATA'!AA517)</f>
        <v>1</v>
      </c>
      <c r="AB33" s="16" t="str">
        <f>IF('MASTER DATA'!AB517="","",'MASTER DATA'!AB517)</f>
        <v>SINGLE-SIGNAL</v>
      </c>
      <c r="AC33" s="16" t="str">
        <f>IF('MASTER DATA'!AC517="","",'MASTER DATA'!AC517)</f>
        <v>Settlement Authorization</v>
      </c>
    </row>
    <row r="34" spans="1:29" x14ac:dyDescent="0.45">
      <c r="A34" t="str">
        <f>IF('MASTER DATA'!A518="","",'MASTER DATA'!A518)</f>
        <v>SYN-CLM-0517</v>
      </c>
      <c r="B34" t="str">
        <f>IF('MASTER DATA'!B518="","",'MASTER DATA'!B518)</f>
        <v>Synthetic Claimant 0517</v>
      </c>
      <c r="C34" t="str">
        <f>IF('MASTER DATA'!C518="","",'MASTER DATA'!C518)</f>
        <v>Claims Analyst L</v>
      </c>
      <c r="D34" t="str">
        <f>IF('MASTER DATA'!D518="","",'MASTER DATA'!D518)</f>
        <v>Synthetic Policyholder 098, LLC</v>
      </c>
      <c r="E34" s="15">
        <f>IF('MASTER DATA'!E518="","",'MASTER DATA'!E518)</f>
        <v>43696</v>
      </c>
      <c r="F34" s="16" t="str">
        <f>IF('MASTER DATA'!F518="","",'MASTER DATA'!F518)</f>
        <v>Y</v>
      </c>
      <c r="G34" s="17">
        <f>IF('MASTER DATA'!G518="","",'MASTER DATA'!G518)</f>
        <v>143250</v>
      </c>
      <c r="H34" s="16" t="str">
        <f>IF('MASTER DATA'!H518="","",'MASTER DATA'!H518)</f>
        <v>Synthetic Approver 07</v>
      </c>
      <c r="I34" s="15">
        <f>IF('MASTER DATA'!I518="","",'MASTER DATA'!I518)</f>
        <v>44656</v>
      </c>
      <c r="J34" s="16" t="str">
        <f>IF('MASTER DATA'!J518="","",'MASTER DATA'!J518)</f>
        <v>N</v>
      </c>
      <c r="K34" s="15" t="str">
        <f>IF('MASTER DATA'!K518="","",'MASTER DATA'!K518)</f>
        <v/>
      </c>
      <c r="L34" s="16" t="str">
        <f>IF('MASTER DATA'!L518="","",'MASTER DATA'!L518)</f>
        <v>N</v>
      </c>
      <c r="M34" s="16" t="str">
        <f>IF('MASTER DATA'!M518="","",'MASTER DATA'!M518)</f>
        <v>N</v>
      </c>
      <c r="N34" s="15" t="str">
        <f>IF('MASTER DATA'!N518="","",'MASTER DATA'!N518)</f>
        <v/>
      </c>
      <c r="O34" s="16" t="str">
        <f>IF('MASTER DATA'!O518="","",'MASTER DATA'!O518)</f>
        <v/>
      </c>
      <c r="P34" s="16" t="str">
        <f>IF('MASTER DATA'!P518="","",'MASTER DATA'!P518)</f>
        <v>N</v>
      </c>
      <c r="Q34" s="16" t="str">
        <f>IF('MASTER DATA'!Q518="","",'MASTER DATA'!Q518)</f>
        <v/>
      </c>
      <c r="R34" s="16" t="str">
        <f>IF('MASTER DATA'!R518="","",'MASTER DATA'!R518)</f>
        <v/>
      </c>
      <c r="S34" s="16" t="str">
        <f>IF('MASTER DATA'!S518="","",'MASTER DATA'!S518)</f>
        <v>Y</v>
      </c>
      <c r="T34" s="15">
        <f>IF('MASTER DATA'!T518="","",'MASTER DATA'!T518)</f>
        <v>44748</v>
      </c>
      <c r="U34" s="16" t="str">
        <f>IF('MASTER DATA'!U518="","",'MASTER DATA'!U518)</f>
        <v>N</v>
      </c>
      <c r="V34" s="16" t="str">
        <f>IF('MASTER DATA'!V518="","",'MASTER DATA'!V518)</f>
        <v>N</v>
      </c>
      <c r="W34" s="16" t="str">
        <f>IF('MASTER DATA'!W518="","",'MASTER DATA'!W518)</f>
        <v>N</v>
      </c>
      <c r="X34" s="16" t="str">
        <f>IF('MASTER DATA'!X518="","",'MASTER DATA'!X518)</f>
        <v>N</v>
      </c>
      <c r="Y34" s="16" t="str">
        <f>IF('MASTER DATA'!Y518="","",'MASTER DATA'!Y518)</f>
        <v>N</v>
      </c>
      <c r="Z34" s="16" t="str">
        <f>IF('MASTER DATA'!Z518="","",'MASTER DATA'!Z518)</f>
        <v>N</v>
      </c>
      <c r="AA34" s="16">
        <f>IF('MASTER DATA'!AA518="","",'MASTER DATA'!AA518)</f>
        <v>2</v>
      </c>
      <c r="AB34" s="16" t="str">
        <f>IF('MASTER DATA'!AB518="","",'MASTER DATA'!AB518)</f>
        <v>MULTI-SIGNAL</v>
      </c>
      <c r="AC34" s="16" t="str">
        <f>IF('MASTER DATA'!AC518="","",'MASTER DATA'!AC518)</f>
        <v>Settlement Authorization | Inactive Customer</v>
      </c>
    </row>
    <row r="35" spans="1:29" x14ac:dyDescent="0.45">
      <c r="A35" t="str">
        <f>IF('MASTER DATA'!A519="","",'MASTER DATA'!A519)</f>
        <v>SYN-CLM-0518</v>
      </c>
      <c r="B35" t="str">
        <f>IF('MASTER DATA'!B519="","",'MASTER DATA'!B519)</f>
        <v>Synthetic Claimant 0518</v>
      </c>
      <c r="C35" t="str">
        <f>IF('MASTER DATA'!C519="","",'MASTER DATA'!C519)</f>
        <v>Claims Analyst L</v>
      </c>
      <c r="D35" t="str">
        <f>IF('MASTER DATA'!D519="","",'MASTER DATA'!D519)</f>
        <v>Synthetic Policyholder 021, LLC</v>
      </c>
      <c r="E35" s="15">
        <f>IF('MASTER DATA'!E519="","",'MASTER DATA'!E519)</f>
        <v>43824</v>
      </c>
      <c r="F35" s="16" t="str">
        <f>IF('MASTER DATA'!F519="","",'MASTER DATA'!F519)</f>
        <v>N</v>
      </c>
      <c r="G35" s="17" t="str">
        <f>IF('MASTER DATA'!G519="","",'MASTER DATA'!G519)</f>
        <v/>
      </c>
      <c r="H35" s="16" t="str">
        <f>IF('MASTER DATA'!H519="","",'MASTER DATA'!H519)</f>
        <v/>
      </c>
      <c r="I35" s="15" t="str">
        <f>IF('MASTER DATA'!I519="","",'MASTER DATA'!I519)</f>
        <v/>
      </c>
      <c r="J35" s="16" t="str">
        <f>IF('MASTER DATA'!J519="","",'MASTER DATA'!J519)</f>
        <v>N</v>
      </c>
      <c r="K35" s="15" t="str">
        <f>IF('MASTER DATA'!K519="","",'MASTER DATA'!K519)</f>
        <v/>
      </c>
      <c r="L35" s="16" t="str">
        <f>IF('MASTER DATA'!L519="","",'MASTER DATA'!L519)</f>
        <v/>
      </c>
      <c r="M35" s="16" t="str">
        <f>IF('MASTER DATA'!M519="","",'MASTER DATA'!M519)</f>
        <v>N</v>
      </c>
      <c r="N35" s="15" t="str">
        <f>IF('MASTER DATA'!N519="","",'MASTER DATA'!N519)</f>
        <v/>
      </c>
      <c r="O35" s="16" t="str">
        <f>IF('MASTER DATA'!O519="","",'MASTER DATA'!O519)</f>
        <v/>
      </c>
      <c r="P35" s="16" t="str">
        <f>IF('MASTER DATA'!P519="","",'MASTER DATA'!P519)</f>
        <v>Y</v>
      </c>
      <c r="Q35" s="16" t="str">
        <f>IF('MASTER DATA'!Q519="","",'MASTER DATA'!Q519)</f>
        <v>MSA Eligible in Next 3 Years; MMI Date Reported</v>
      </c>
      <c r="R35" s="16" t="str">
        <f>IF('MASTER DATA'!R519="","",'MASTER DATA'!R519)</f>
        <v>Surgery Requested</v>
      </c>
      <c r="S35" s="16" t="str">
        <f>IF('MASTER DATA'!S519="","",'MASTER DATA'!S519)</f>
        <v>N</v>
      </c>
      <c r="T35" s="15" t="str">
        <f>IF('MASTER DATA'!T519="","",'MASTER DATA'!T519)</f>
        <v/>
      </c>
      <c r="U35" s="16" t="str">
        <f>IF('MASTER DATA'!U519="","",'MASTER DATA'!U519)</f>
        <v>Y</v>
      </c>
      <c r="V35" s="16" t="str">
        <f>IF('MASTER DATA'!V519="","",'MASTER DATA'!V519)</f>
        <v>Y</v>
      </c>
      <c r="W35" s="16" t="str">
        <f>IF('MASTER DATA'!W519="","",'MASTER DATA'!W519)</f>
        <v>N</v>
      </c>
      <c r="X35" s="16" t="str">
        <f>IF('MASTER DATA'!X519="","",'MASTER DATA'!X519)</f>
        <v>N</v>
      </c>
      <c r="Y35" s="16" t="str">
        <f>IF('MASTER DATA'!Y519="","",'MASTER DATA'!Y519)</f>
        <v>N</v>
      </c>
      <c r="Z35" s="16" t="str">
        <f>IF('MASTER DATA'!Z519="","",'MASTER DATA'!Z519)</f>
        <v>Y</v>
      </c>
      <c r="AA35" s="16">
        <f>IF('MASTER DATA'!AA519="","",'MASTER DATA'!AA519)</f>
        <v>1</v>
      </c>
      <c r="AB35" s="16" t="str">
        <f>IF('MASTER DATA'!AB519="","",'MASTER DATA'!AB519)</f>
        <v>SINGLE-SIGNAL</v>
      </c>
      <c r="AC35" s="16" t="str">
        <f>IF('MASTER DATA'!AC519="","",'MASTER DATA'!AC519)</f>
        <v>Automated Claim Alert</v>
      </c>
    </row>
    <row r="36" spans="1:29" x14ac:dyDescent="0.45">
      <c r="A36" t="str">
        <f>IF('MASTER DATA'!A520="","",'MASTER DATA'!A520)</f>
        <v>SYN-CLM-0519</v>
      </c>
      <c r="B36" t="str">
        <f>IF('MASTER DATA'!B520="","",'MASTER DATA'!B520)</f>
        <v>Synthetic Claimant 0519</v>
      </c>
      <c r="C36" t="str">
        <f>IF('MASTER DATA'!C520="","",'MASTER DATA'!C520)</f>
        <v>Claims Analyst L</v>
      </c>
      <c r="D36" t="str">
        <f>IF('MASTER DATA'!D520="","",'MASTER DATA'!D520)</f>
        <v>Synthetic Policyholder 040, LLC</v>
      </c>
      <c r="E36" s="15">
        <f>IF('MASTER DATA'!E520="","",'MASTER DATA'!E520)</f>
        <v>45746</v>
      </c>
      <c r="F36" s="16" t="str">
        <f>IF('MASTER DATA'!F520="","",'MASTER DATA'!F520)</f>
        <v>N</v>
      </c>
      <c r="G36" s="17" t="str">
        <f>IF('MASTER DATA'!G520="","",'MASTER DATA'!G520)</f>
        <v/>
      </c>
      <c r="H36" s="16" t="str">
        <f>IF('MASTER DATA'!H520="","",'MASTER DATA'!H520)</f>
        <v/>
      </c>
      <c r="I36" s="15" t="str">
        <f>IF('MASTER DATA'!I520="","",'MASTER DATA'!I520)</f>
        <v/>
      </c>
      <c r="J36" s="16" t="str">
        <f>IF('MASTER DATA'!J520="","",'MASTER DATA'!J520)</f>
        <v>N</v>
      </c>
      <c r="K36" s="15" t="str">
        <f>IF('MASTER DATA'!K520="","",'MASTER DATA'!K520)</f>
        <v/>
      </c>
      <c r="L36" s="16" t="str">
        <f>IF('MASTER DATA'!L520="","",'MASTER DATA'!L520)</f>
        <v/>
      </c>
      <c r="M36" s="16" t="str">
        <f>IF('MASTER DATA'!M520="","",'MASTER DATA'!M520)</f>
        <v>N</v>
      </c>
      <c r="N36" s="15" t="str">
        <f>IF('MASTER DATA'!N520="","",'MASTER DATA'!N520)</f>
        <v/>
      </c>
      <c r="O36" s="16" t="str">
        <f>IF('MASTER DATA'!O520="","",'MASTER DATA'!O520)</f>
        <v/>
      </c>
      <c r="P36" s="16" t="str">
        <f>IF('MASTER DATA'!P520="","",'MASTER DATA'!P520)</f>
        <v>N</v>
      </c>
      <c r="Q36" s="16" t="str">
        <f>IF('MASTER DATA'!Q520="","",'MASTER DATA'!Q520)</f>
        <v/>
      </c>
      <c r="R36" s="16" t="str">
        <f>IF('MASTER DATA'!R520="","",'MASTER DATA'!R520)</f>
        <v/>
      </c>
      <c r="S36" s="16" t="str">
        <f>IF('MASTER DATA'!S520="","",'MASTER DATA'!S520)</f>
        <v>Y</v>
      </c>
      <c r="T36" s="15">
        <f>IF('MASTER DATA'!T520="","",'MASTER DATA'!T520)</f>
        <v>46344</v>
      </c>
      <c r="U36" s="16" t="str">
        <f>IF('MASTER DATA'!U520="","",'MASTER DATA'!U520)</f>
        <v>N</v>
      </c>
      <c r="V36" s="16" t="str">
        <f>IF('MASTER DATA'!V520="","",'MASTER DATA'!V520)</f>
        <v>N</v>
      </c>
      <c r="W36" s="16" t="str">
        <f>IF('MASTER DATA'!W520="","",'MASTER DATA'!W520)</f>
        <v>N</v>
      </c>
      <c r="X36" s="16" t="str">
        <f>IF('MASTER DATA'!X520="","",'MASTER DATA'!X520)</f>
        <v>N</v>
      </c>
      <c r="Y36" s="16" t="str">
        <f>IF('MASTER DATA'!Y520="","",'MASTER DATA'!Y520)</f>
        <v>N</v>
      </c>
      <c r="Z36" s="16" t="str">
        <f>IF('MASTER DATA'!Z520="","",'MASTER DATA'!Z520)</f>
        <v>N</v>
      </c>
      <c r="AA36" s="16">
        <f>IF('MASTER DATA'!AA520="","",'MASTER DATA'!AA520)</f>
        <v>1</v>
      </c>
      <c r="AB36" s="16" t="str">
        <f>IF('MASTER DATA'!AB520="","",'MASTER DATA'!AB520)</f>
        <v>SINGLE-SIGNAL</v>
      </c>
      <c r="AC36" s="16" t="str">
        <f>IF('MASTER DATA'!AC520="","",'MASTER DATA'!AC520)</f>
        <v>Inactive Customer</v>
      </c>
    </row>
    <row r="37" spans="1:29" x14ac:dyDescent="0.45">
      <c r="A37" t="str">
        <f>IF('MASTER DATA'!A521="","",'MASTER DATA'!A521)</f>
        <v>SYN-CLM-0520</v>
      </c>
      <c r="B37" t="str">
        <f>IF('MASTER DATA'!B521="","",'MASTER DATA'!B521)</f>
        <v>Synthetic Claimant 0520</v>
      </c>
      <c r="C37" t="str">
        <f>IF('MASTER DATA'!C521="","",'MASTER DATA'!C521)</f>
        <v>Claims Analyst L</v>
      </c>
      <c r="D37" t="str">
        <f>IF('MASTER DATA'!D521="","",'MASTER DATA'!D521)</f>
        <v>Synthetic Policyholder 115, LLC</v>
      </c>
      <c r="E37" s="15">
        <f>IF('MASTER DATA'!E521="","",'MASTER DATA'!E521)</f>
        <v>44798</v>
      </c>
      <c r="F37" s="16" t="str">
        <f>IF('MASTER DATA'!F521="","",'MASTER DATA'!F521)</f>
        <v>Y</v>
      </c>
      <c r="G37" s="17">
        <f>IF('MASTER DATA'!G521="","",'MASTER DATA'!G521)</f>
        <v>122000</v>
      </c>
      <c r="H37" s="16" t="str">
        <f>IF('MASTER DATA'!H521="","",'MASTER DATA'!H521)</f>
        <v>Synthetic Approver 04</v>
      </c>
      <c r="I37" s="15">
        <f>IF('MASTER DATA'!I521="","",'MASTER DATA'!I521)</f>
        <v>44855</v>
      </c>
      <c r="J37" s="16" t="str">
        <f>IF('MASTER DATA'!J521="","",'MASTER DATA'!J521)</f>
        <v>N</v>
      </c>
      <c r="K37" s="15" t="str">
        <f>IF('MASTER DATA'!K521="","",'MASTER DATA'!K521)</f>
        <v/>
      </c>
      <c r="L37" s="16" t="str">
        <f>IF('MASTER DATA'!L521="","",'MASTER DATA'!L521)</f>
        <v>N</v>
      </c>
      <c r="M37" s="16" t="str">
        <f>IF('MASTER DATA'!M521="","",'MASTER DATA'!M521)</f>
        <v>N</v>
      </c>
      <c r="N37" s="15" t="str">
        <f>IF('MASTER DATA'!N521="","",'MASTER DATA'!N521)</f>
        <v/>
      </c>
      <c r="O37" s="16" t="str">
        <f>IF('MASTER DATA'!O521="","",'MASTER DATA'!O521)</f>
        <v/>
      </c>
      <c r="P37" s="16" t="str">
        <f>IF('MASTER DATA'!P521="","",'MASTER DATA'!P521)</f>
        <v>N</v>
      </c>
      <c r="Q37" s="16" t="str">
        <f>IF('MASTER DATA'!Q521="","",'MASTER DATA'!Q521)</f>
        <v/>
      </c>
      <c r="R37" s="16" t="str">
        <f>IF('MASTER DATA'!R521="","",'MASTER DATA'!R521)</f>
        <v/>
      </c>
      <c r="S37" s="16" t="str">
        <f>IF('MASTER DATA'!S521="","",'MASTER DATA'!S521)</f>
        <v>N</v>
      </c>
      <c r="T37" s="15" t="str">
        <f>IF('MASTER DATA'!T521="","",'MASTER DATA'!T521)</f>
        <v/>
      </c>
      <c r="U37" s="16" t="str">
        <f>IF('MASTER DATA'!U521="","",'MASTER DATA'!U521)</f>
        <v>N</v>
      </c>
      <c r="V37" s="16" t="str">
        <f>IF('MASTER DATA'!V521="","",'MASTER DATA'!V521)</f>
        <v>N</v>
      </c>
      <c r="W37" s="16" t="str">
        <f>IF('MASTER DATA'!W521="","",'MASTER DATA'!W521)</f>
        <v>N</v>
      </c>
      <c r="X37" s="16" t="str">
        <f>IF('MASTER DATA'!X521="","",'MASTER DATA'!X521)</f>
        <v>N</v>
      </c>
      <c r="Y37" s="16" t="str">
        <f>IF('MASTER DATA'!Y521="","",'MASTER DATA'!Y521)</f>
        <v>N</v>
      </c>
      <c r="Z37" s="16" t="str">
        <f>IF('MASTER DATA'!Z521="","",'MASTER DATA'!Z521)</f>
        <v>N</v>
      </c>
      <c r="AA37" s="16">
        <f>IF('MASTER DATA'!AA521="","",'MASTER DATA'!AA521)</f>
        <v>1</v>
      </c>
      <c r="AB37" s="16" t="str">
        <f>IF('MASTER DATA'!AB521="","",'MASTER DATA'!AB521)</f>
        <v>SINGLE-SIGNAL</v>
      </c>
      <c r="AC37" s="16" t="str">
        <f>IF('MASTER DATA'!AC521="","",'MASTER DATA'!AC521)</f>
        <v>Settlement Authorization</v>
      </c>
    </row>
    <row r="38" spans="1:29" x14ac:dyDescent="0.45">
      <c r="A38" t="str">
        <f>IF('MASTER DATA'!A522="","",'MASTER DATA'!A522)</f>
        <v>SYN-CLM-0521</v>
      </c>
      <c r="B38" t="str">
        <f>IF('MASTER DATA'!B522="","",'MASTER DATA'!B522)</f>
        <v>Synthetic Claimant 0521</v>
      </c>
      <c r="C38" t="str">
        <f>IF('MASTER DATA'!C522="","",'MASTER DATA'!C522)</f>
        <v>Claims Analyst L</v>
      </c>
      <c r="D38" t="str">
        <f>IF('MASTER DATA'!D522="","",'MASTER DATA'!D522)</f>
        <v>Synthetic Policyholder 043, LLC</v>
      </c>
      <c r="E38" s="15">
        <f>IF('MASTER DATA'!E522="","",'MASTER DATA'!E522)</f>
        <v>45180</v>
      </c>
      <c r="F38" s="16" t="str">
        <f>IF('MASTER DATA'!F522="","",'MASTER DATA'!F522)</f>
        <v>Y</v>
      </c>
      <c r="G38" s="17">
        <f>IF('MASTER DATA'!G522="","",'MASTER DATA'!G522)</f>
        <v>93750</v>
      </c>
      <c r="H38" s="16" t="str">
        <f>IF('MASTER DATA'!H522="","",'MASTER DATA'!H522)</f>
        <v>Synthetic Approver 09</v>
      </c>
      <c r="I38" s="15">
        <f>IF('MASTER DATA'!I522="","",'MASTER DATA'!I522)</f>
        <v>46479</v>
      </c>
      <c r="J38" s="16" t="str">
        <f>IF('MASTER DATA'!J522="","",'MASTER DATA'!J522)</f>
        <v>Y</v>
      </c>
      <c r="K38" s="15">
        <f>IF('MASTER DATA'!K522="","",'MASTER DATA'!K522)</f>
        <v>46188</v>
      </c>
      <c r="L38" s="16" t="str">
        <f>IF('MASTER DATA'!L522="","",'MASTER DATA'!L522)</f>
        <v>N</v>
      </c>
      <c r="M38" s="16" t="str">
        <f>IF('MASTER DATA'!M522="","",'MASTER DATA'!M522)</f>
        <v>N</v>
      </c>
      <c r="N38" s="15" t="str">
        <f>IF('MASTER DATA'!N522="","",'MASTER DATA'!N522)</f>
        <v/>
      </c>
      <c r="O38" s="16" t="str">
        <f>IF('MASTER DATA'!O522="","",'MASTER DATA'!O522)</f>
        <v/>
      </c>
      <c r="P38" s="16" t="str">
        <f>IF('MASTER DATA'!P522="","",'MASTER DATA'!P522)</f>
        <v>N</v>
      </c>
      <c r="Q38" s="16" t="str">
        <f>IF('MASTER DATA'!Q522="","",'MASTER DATA'!Q522)</f>
        <v/>
      </c>
      <c r="R38" s="16" t="str">
        <f>IF('MASTER DATA'!R522="","",'MASTER DATA'!R522)</f>
        <v/>
      </c>
      <c r="S38" s="16" t="str">
        <f>IF('MASTER DATA'!S522="","",'MASTER DATA'!S522)</f>
        <v>N</v>
      </c>
      <c r="T38" s="15" t="str">
        <f>IF('MASTER DATA'!T522="","",'MASTER DATA'!T522)</f>
        <v/>
      </c>
      <c r="U38" s="16" t="str">
        <f>IF('MASTER DATA'!U522="","",'MASTER DATA'!U522)</f>
        <v>N</v>
      </c>
      <c r="V38" s="16" t="str">
        <f>IF('MASTER DATA'!V522="","",'MASTER DATA'!V522)</f>
        <v>N</v>
      </c>
      <c r="W38" s="16" t="str">
        <f>IF('MASTER DATA'!W522="","",'MASTER DATA'!W522)</f>
        <v>N</v>
      </c>
      <c r="X38" s="16" t="str">
        <f>IF('MASTER DATA'!X522="","",'MASTER DATA'!X522)</f>
        <v>N</v>
      </c>
      <c r="Y38" s="16" t="str">
        <f>IF('MASTER DATA'!Y522="","",'MASTER DATA'!Y522)</f>
        <v>N</v>
      </c>
      <c r="Z38" s="16" t="str">
        <f>IF('MASTER DATA'!Z522="","",'MASTER DATA'!Z522)</f>
        <v>N</v>
      </c>
      <c r="AA38" s="16">
        <f>IF('MASTER DATA'!AA522="","",'MASTER DATA'!AA522)</f>
        <v>2</v>
      </c>
      <c r="AB38" s="16" t="str">
        <f>IF('MASTER DATA'!AB522="","",'MASTER DATA'!AB522)</f>
        <v>MULTI-SIGNAL</v>
      </c>
      <c r="AC38" s="16" t="str">
        <f>IF('MASTER DATA'!AC522="","",'MASTER DATA'!AC522)</f>
        <v>Settlement Authorization | Open Stipulation</v>
      </c>
    </row>
    <row r="39" spans="1:29" x14ac:dyDescent="0.45">
      <c r="A39" t="str">
        <f>IF('MASTER DATA'!A523="","",'MASTER DATA'!A523)</f>
        <v>SYN-CLM-0522</v>
      </c>
      <c r="B39" t="str">
        <f>IF('MASTER DATA'!B523="","",'MASTER DATA'!B523)</f>
        <v>Synthetic Claimant 0522</v>
      </c>
      <c r="C39" t="str">
        <f>IF('MASTER DATA'!C523="","",'MASTER DATA'!C523)</f>
        <v>Claims Analyst L</v>
      </c>
      <c r="D39" t="str">
        <f>IF('MASTER DATA'!D523="","",'MASTER DATA'!D523)</f>
        <v>Synthetic Policyholder 027, LLC</v>
      </c>
      <c r="E39" s="15">
        <f>IF('MASTER DATA'!E523="","",'MASTER DATA'!E523)</f>
        <v>44126</v>
      </c>
      <c r="F39" s="16" t="str">
        <f>IF('MASTER DATA'!F523="","",'MASTER DATA'!F523)</f>
        <v>Y</v>
      </c>
      <c r="G39" s="17">
        <f>IF('MASTER DATA'!G523="","",'MASTER DATA'!G523)</f>
        <v>44000</v>
      </c>
      <c r="H39" s="16" t="str">
        <f>IF('MASTER DATA'!H523="","",'MASTER DATA'!H523)</f>
        <v>Synthetic Approver 07</v>
      </c>
      <c r="I39" s="15">
        <f>IF('MASTER DATA'!I523="","",'MASTER DATA'!I523)</f>
        <v>44762</v>
      </c>
      <c r="J39" s="16" t="str">
        <f>IF('MASTER DATA'!J523="","",'MASTER DATA'!J523)</f>
        <v>N</v>
      </c>
      <c r="K39" s="15" t="str">
        <f>IF('MASTER DATA'!K523="","",'MASTER DATA'!K523)</f>
        <v/>
      </c>
      <c r="L39" s="16" t="str">
        <f>IF('MASTER DATA'!L523="","",'MASTER DATA'!L523)</f>
        <v>N</v>
      </c>
      <c r="M39" s="16" t="str">
        <f>IF('MASTER DATA'!M523="","",'MASTER DATA'!M523)</f>
        <v>N</v>
      </c>
      <c r="N39" s="15" t="str">
        <f>IF('MASTER DATA'!N523="","",'MASTER DATA'!N523)</f>
        <v/>
      </c>
      <c r="O39" s="16" t="str">
        <f>IF('MASTER DATA'!O523="","",'MASTER DATA'!O523)</f>
        <v/>
      </c>
      <c r="P39" s="16" t="str">
        <f>IF('MASTER DATA'!P523="","",'MASTER DATA'!P523)</f>
        <v>N</v>
      </c>
      <c r="Q39" s="16" t="str">
        <f>IF('MASTER DATA'!Q523="","",'MASTER DATA'!Q523)</f>
        <v/>
      </c>
      <c r="R39" s="16" t="str">
        <f>IF('MASTER DATA'!R523="","",'MASTER DATA'!R523)</f>
        <v/>
      </c>
      <c r="S39" s="16" t="str">
        <f>IF('MASTER DATA'!S523="","",'MASTER DATA'!S523)</f>
        <v>N</v>
      </c>
      <c r="T39" s="15" t="str">
        <f>IF('MASTER DATA'!T523="","",'MASTER DATA'!T523)</f>
        <v/>
      </c>
      <c r="U39" s="16" t="str">
        <f>IF('MASTER DATA'!U523="","",'MASTER DATA'!U523)</f>
        <v>N</v>
      </c>
      <c r="V39" s="16" t="str">
        <f>IF('MASTER DATA'!V523="","",'MASTER DATA'!V523)</f>
        <v>N</v>
      </c>
      <c r="W39" s="16" t="str">
        <f>IF('MASTER DATA'!W523="","",'MASTER DATA'!W523)</f>
        <v>N</v>
      </c>
      <c r="X39" s="16" t="str">
        <f>IF('MASTER DATA'!X523="","",'MASTER DATA'!X523)</f>
        <v>N</v>
      </c>
      <c r="Y39" s="16" t="str">
        <f>IF('MASTER DATA'!Y523="","",'MASTER DATA'!Y523)</f>
        <v>N</v>
      </c>
      <c r="Z39" s="16" t="str">
        <f>IF('MASTER DATA'!Z523="","",'MASTER DATA'!Z523)</f>
        <v>N</v>
      </c>
      <c r="AA39" s="16">
        <f>IF('MASTER DATA'!AA523="","",'MASTER DATA'!AA523)</f>
        <v>1</v>
      </c>
      <c r="AB39" s="16" t="str">
        <f>IF('MASTER DATA'!AB523="","",'MASTER DATA'!AB523)</f>
        <v>SINGLE-SIGNAL</v>
      </c>
      <c r="AC39" s="16" t="str">
        <f>IF('MASTER DATA'!AC523="","",'MASTER DATA'!AC523)</f>
        <v>Settlement Authorization</v>
      </c>
    </row>
    <row r="40" spans="1:29" x14ac:dyDescent="0.45">
      <c r="A40" t="str">
        <f>IF('MASTER DATA'!A524="","",'MASTER DATA'!A524)</f>
        <v>SYN-CLM-0523</v>
      </c>
      <c r="B40" t="str">
        <f>IF('MASTER DATA'!B524="","",'MASTER DATA'!B524)</f>
        <v>Synthetic Claimant 0523</v>
      </c>
      <c r="C40" t="str">
        <f>IF('MASTER DATA'!C524="","",'MASTER DATA'!C524)</f>
        <v>Claims Analyst L</v>
      </c>
      <c r="D40" t="str">
        <f>IF('MASTER DATA'!D524="","",'MASTER DATA'!D524)</f>
        <v>Synthetic Policyholder 054, LLC</v>
      </c>
      <c r="E40" s="15">
        <f>IF('MASTER DATA'!E524="","",'MASTER DATA'!E524)</f>
        <v>44975</v>
      </c>
      <c r="F40" s="16" t="str">
        <f>IF('MASTER DATA'!F524="","",'MASTER DATA'!F524)</f>
        <v>Y</v>
      </c>
      <c r="G40" s="17">
        <f>IF('MASTER DATA'!G524="","",'MASTER DATA'!G524)</f>
        <v>158500</v>
      </c>
      <c r="H40" s="16" t="str">
        <f>IF('MASTER DATA'!H524="","",'MASTER DATA'!H524)</f>
        <v>Synthetic Approver 12</v>
      </c>
      <c r="I40" s="15">
        <f>IF('MASTER DATA'!I524="","",'MASTER DATA'!I524)</f>
        <v>45972</v>
      </c>
      <c r="J40" s="16" t="str">
        <f>IF('MASTER DATA'!J524="","",'MASTER DATA'!J524)</f>
        <v>Y</v>
      </c>
      <c r="K40" s="15">
        <f>IF('MASTER DATA'!K524="","",'MASTER DATA'!K524)</f>
        <v>45293</v>
      </c>
      <c r="L40" s="16" t="str">
        <f>IF('MASTER DATA'!L524="","",'MASTER DATA'!L524)</f>
        <v>Y</v>
      </c>
      <c r="M40" s="16" t="str">
        <f>IF('MASTER DATA'!M524="","",'MASTER DATA'!M524)</f>
        <v>Y</v>
      </c>
      <c r="N40" s="15">
        <f>IF('MASTER DATA'!N524="","",'MASTER DATA'!N524)</f>
        <v>45374</v>
      </c>
      <c r="O40" s="16" t="str">
        <f>IF('MASTER DATA'!O524="","",'MASTER DATA'!O524)</f>
        <v>Synthetic QME Evaluator 24</v>
      </c>
      <c r="P40" s="16" t="str">
        <f>IF('MASTER DATA'!P524="","",'MASTER DATA'!P524)</f>
        <v>N</v>
      </c>
      <c r="Q40" s="16" t="str">
        <f>IF('MASTER DATA'!Q524="","",'MASTER DATA'!Q524)</f>
        <v/>
      </c>
      <c r="R40" s="16" t="str">
        <f>IF('MASTER DATA'!R524="","",'MASTER DATA'!R524)</f>
        <v/>
      </c>
      <c r="S40" s="16" t="str">
        <f>IF('MASTER DATA'!S524="","",'MASTER DATA'!S524)</f>
        <v>N</v>
      </c>
      <c r="T40" s="15" t="str">
        <f>IF('MASTER DATA'!T524="","",'MASTER DATA'!T524)</f>
        <v/>
      </c>
      <c r="U40" s="16" t="str">
        <f>IF('MASTER DATA'!U524="","",'MASTER DATA'!U524)</f>
        <v>N</v>
      </c>
      <c r="V40" s="16" t="str">
        <f>IF('MASTER DATA'!V524="","",'MASTER DATA'!V524)</f>
        <v>N</v>
      </c>
      <c r="W40" s="16" t="str">
        <f>IF('MASTER DATA'!W524="","",'MASTER DATA'!W524)</f>
        <v>N</v>
      </c>
      <c r="X40" s="16" t="str">
        <f>IF('MASTER DATA'!X524="","",'MASTER DATA'!X524)</f>
        <v>N</v>
      </c>
      <c r="Y40" s="16" t="str">
        <f>IF('MASTER DATA'!Y524="","",'MASTER DATA'!Y524)</f>
        <v>N</v>
      </c>
      <c r="Z40" s="16" t="str">
        <f>IF('MASTER DATA'!Z524="","",'MASTER DATA'!Z524)</f>
        <v>N</v>
      </c>
      <c r="AA40" s="16">
        <f>IF('MASTER DATA'!AA524="","",'MASTER DATA'!AA524)</f>
        <v>3</v>
      </c>
      <c r="AB40" s="16" t="str">
        <f>IF('MASTER DATA'!AB524="","",'MASTER DATA'!AB524)</f>
        <v>ELEVATED MULTI-SIGNAL</v>
      </c>
      <c r="AC40" s="16" t="str">
        <f>IF('MASTER DATA'!AC524="","",'MASTER DATA'!AC524)</f>
        <v>Settlement Authorization | Open Stipulation | Pending QME</v>
      </c>
    </row>
    <row r="41" spans="1:29" x14ac:dyDescent="0.45">
      <c r="A41" t="str">
        <f>IF('MASTER DATA'!A525="","",'MASTER DATA'!A525)</f>
        <v>SYN-CLM-0524</v>
      </c>
      <c r="B41" t="str">
        <f>IF('MASTER DATA'!B525="","",'MASTER DATA'!B525)</f>
        <v>Synthetic Claimant 0524</v>
      </c>
      <c r="C41" t="str">
        <f>IF('MASTER DATA'!C525="","",'MASTER DATA'!C525)</f>
        <v>Claims Analyst L</v>
      </c>
      <c r="D41" t="str">
        <f>IF('MASTER DATA'!D525="","",'MASTER DATA'!D525)</f>
        <v>Synthetic Policyholder 082, LLC</v>
      </c>
      <c r="E41" s="15">
        <f>IF('MASTER DATA'!E525="","",'MASTER DATA'!E525)</f>
        <v>44960</v>
      </c>
      <c r="F41" s="16" t="str">
        <f>IF('MASTER DATA'!F525="","",'MASTER DATA'!F525)</f>
        <v>N</v>
      </c>
      <c r="G41" s="17" t="str">
        <f>IF('MASTER DATA'!G525="","",'MASTER DATA'!G525)</f>
        <v/>
      </c>
      <c r="H41" s="16" t="str">
        <f>IF('MASTER DATA'!H525="","",'MASTER DATA'!H525)</f>
        <v/>
      </c>
      <c r="I41" s="15" t="str">
        <f>IF('MASTER DATA'!I525="","",'MASTER DATA'!I525)</f>
        <v/>
      </c>
      <c r="J41" s="16" t="str">
        <f>IF('MASTER DATA'!J525="","",'MASTER DATA'!J525)</f>
        <v>N</v>
      </c>
      <c r="K41" s="15" t="str">
        <f>IF('MASTER DATA'!K525="","",'MASTER DATA'!K525)</f>
        <v/>
      </c>
      <c r="L41" s="16" t="str">
        <f>IF('MASTER DATA'!L525="","",'MASTER DATA'!L525)</f>
        <v/>
      </c>
      <c r="M41" s="16" t="str">
        <f>IF('MASTER DATA'!M525="","",'MASTER DATA'!M525)</f>
        <v>N</v>
      </c>
      <c r="N41" s="15" t="str">
        <f>IF('MASTER DATA'!N525="","",'MASTER DATA'!N525)</f>
        <v/>
      </c>
      <c r="O41" s="16" t="str">
        <f>IF('MASTER DATA'!O525="","",'MASTER DATA'!O525)</f>
        <v/>
      </c>
      <c r="P41" s="16" t="str">
        <f>IF('MASTER DATA'!P525="","",'MASTER DATA'!P525)</f>
        <v>N</v>
      </c>
      <c r="Q41" s="16" t="str">
        <f>IF('MASTER DATA'!Q525="","",'MASTER DATA'!Q525)</f>
        <v/>
      </c>
      <c r="R41" s="16" t="str">
        <f>IF('MASTER DATA'!R525="","",'MASTER DATA'!R525)</f>
        <v/>
      </c>
      <c r="S41" s="16" t="str">
        <f>IF('MASTER DATA'!S525="","",'MASTER DATA'!S525)</f>
        <v>Y</v>
      </c>
      <c r="T41" s="15">
        <f>IF('MASTER DATA'!T525="","",'MASTER DATA'!T525)</f>
        <v>45824</v>
      </c>
      <c r="U41" s="16" t="str">
        <f>IF('MASTER DATA'!U525="","",'MASTER DATA'!U525)</f>
        <v>N</v>
      </c>
      <c r="V41" s="16" t="str">
        <f>IF('MASTER DATA'!V525="","",'MASTER DATA'!V525)</f>
        <v>N</v>
      </c>
      <c r="W41" s="16" t="str">
        <f>IF('MASTER DATA'!W525="","",'MASTER DATA'!W525)</f>
        <v>N</v>
      </c>
      <c r="X41" s="16" t="str">
        <f>IF('MASTER DATA'!X525="","",'MASTER DATA'!X525)</f>
        <v>N</v>
      </c>
      <c r="Y41" s="16" t="str">
        <f>IF('MASTER DATA'!Y525="","",'MASTER DATA'!Y525)</f>
        <v>N</v>
      </c>
      <c r="Z41" s="16" t="str">
        <f>IF('MASTER DATA'!Z525="","",'MASTER DATA'!Z525)</f>
        <v>N</v>
      </c>
      <c r="AA41" s="16">
        <f>IF('MASTER DATA'!AA525="","",'MASTER DATA'!AA525)</f>
        <v>1</v>
      </c>
      <c r="AB41" s="16" t="str">
        <f>IF('MASTER DATA'!AB525="","",'MASTER DATA'!AB525)</f>
        <v>SINGLE-SIGNAL</v>
      </c>
      <c r="AC41" s="16" t="str">
        <f>IF('MASTER DATA'!AC525="","",'MASTER DATA'!AC525)</f>
        <v>Inactive Customer</v>
      </c>
    </row>
    <row r="42" spans="1:29" x14ac:dyDescent="0.45">
      <c r="A42" t="str">
        <f>IF('MASTER DATA'!A526="","",'MASTER DATA'!A526)</f>
        <v>SYN-CLM-0525</v>
      </c>
      <c r="B42" t="str">
        <f>IF('MASTER DATA'!B526="","",'MASTER DATA'!B526)</f>
        <v>Synthetic Claimant 0525</v>
      </c>
      <c r="C42" t="str">
        <f>IF('MASTER DATA'!C526="","",'MASTER DATA'!C526)</f>
        <v>Claims Analyst L</v>
      </c>
      <c r="D42" t="str">
        <f>IF('MASTER DATA'!D526="","",'MASTER DATA'!D526)</f>
        <v>Synthetic Policyholder 011, LLC</v>
      </c>
      <c r="E42" s="15">
        <f>IF('MASTER DATA'!E526="","",'MASTER DATA'!E526)</f>
        <v>44414</v>
      </c>
      <c r="F42" s="16" t="str">
        <f>IF('MASTER DATA'!F526="","",'MASTER DATA'!F526)</f>
        <v>Y</v>
      </c>
      <c r="G42" s="17">
        <f>IF('MASTER DATA'!G526="","",'MASTER DATA'!G526)</f>
        <v>96250</v>
      </c>
      <c r="H42" s="16" t="str">
        <f>IF('MASTER DATA'!H526="","",'MASTER DATA'!H526)</f>
        <v>Synthetic Approver 11</v>
      </c>
      <c r="I42" s="15">
        <f>IF('MASTER DATA'!I526="","",'MASTER DATA'!I526)</f>
        <v>45984</v>
      </c>
      <c r="J42" s="16" t="str">
        <f>IF('MASTER DATA'!J526="","",'MASTER DATA'!J526)</f>
        <v>N</v>
      </c>
      <c r="K42" s="15" t="str">
        <f>IF('MASTER DATA'!K526="","",'MASTER DATA'!K526)</f>
        <v/>
      </c>
      <c r="L42" s="16" t="str">
        <f>IF('MASTER DATA'!L526="","",'MASTER DATA'!L526)</f>
        <v>N</v>
      </c>
      <c r="M42" s="16" t="str">
        <f>IF('MASTER DATA'!M526="","",'MASTER DATA'!M526)</f>
        <v>N</v>
      </c>
      <c r="N42" s="15" t="str">
        <f>IF('MASTER DATA'!N526="","",'MASTER DATA'!N526)</f>
        <v/>
      </c>
      <c r="O42" s="16" t="str">
        <f>IF('MASTER DATA'!O526="","",'MASTER DATA'!O526)</f>
        <v/>
      </c>
      <c r="P42" s="16" t="str">
        <f>IF('MASTER DATA'!P526="","",'MASTER DATA'!P526)</f>
        <v>N</v>
      </c>
      <c r="Q42" s="16" t="str">
        <f>IF('MASTER DATA'!Q526="","",'MASTER DATA'!Q526)</f>
        <v/>
      </c>
      <c r="R42" s="16" t="str">
        <f>IF('MASTER DATA'!R526="","",'MASTER DATA'!R526)</f>
        <v/>
      </c>
      <c r="S42" s="16" t="str">
        <f>IF('MASTER DATA'!S526="","",'MASTER DATA'!S526)</f>
        <v>N</v>
      </c>
      <c r="T42" s="15" t="str">
        <f>IF('MASTER DATA'!T526="","",'MASTER DATA'!T526)</f>
        <v/>
      </c>
      <c r="U42" s="16" t="str">
        <f>IF('MASTER DATA'!U526="","",'MASTER DATA'!U526)</f>
        <v>N</v>
      </c>
      <c r="V42" s="16" t="str">
        <f>IF('MASTER DATA'!V526="","",'MASTER DATA'!V526)</f>
        <v>N</v>
      </c>
      <c r="W42" s="16" t="str">
        <f>IF('MASTER DATA'!W526="","",'MASTER DATA'!W526)</f>
        <v>N</v>
      </c>
      <c r="X42" s="16" t="str">
        <f>IF('MASTER DATA'!X526="","",'MASTER DATA'!X526)</f>
        <v>N</v>
      </c>
      <c r="Y42" s="16" t="str">
        <f>IF('MASTER DATA'!Y526="","",'MASTER DATA'!Y526)</f>
        <v>N</v>
      </c>
      <c r="Z42" s="16" t="str">
        <f>IF('MASTER DATA'!Z526="","",'MASTER DATA'!Z526)</f>
        <v>N</v>
      </c>
      <c r="AA42" s="16">
        <f>IF('MASTER DATA'!AA526="","",'MASTER DATA'!AA526)</f>
        <v>1</v>
      </c>
      <c r="AB42" s="16" t="str">
        <f>IF('MASTER DATA'!AB526="","",'MASTER DATA'!AB526)</f>
        <v>SINGLE-SIGNAL</v>
      </c>
      <c r="AC42" s="16" t="str">
        <f>IF('MASTER DATA'!AC526="","",'MASTER DATA'!AC526)</f>
        <v>Settlement Authorization</v>
      </c>
    </row>
    <row r="43" spans="1:29" x14ac:dyDescent="0.45">
      <c r="A43" t="str">
        <f>IF('MASTER DATA'!A527="","",'MASTER DATA'!A527)</f>
        <v>SYN-CLM-0526</v>
      </c>
      <c r="B43" t="str">
        <f>IF('MASTER DATA'!B527="","",'MASTER DATA'!B527)</f>
        <v>Synthetic Claimant 0526</v>
      </c>
      <c r="C43" t="str">
        <f>IF('MASTER DATA'!C527="","",'MASTER DATA'!C527)</f>
        <v>Claims Analyst L</v>
      </c>
      <c r="D43" t="str">
        <f>IF('MASTER DATA'!D527="","",'MASTER DATA'!D527)</f>
        <v>Synthetic Policyholder 029, LLC</v>
      </c>
      <c r="E43" s="15">
        <f>IF('MASTER DATA'!E527="","",'MASTER DATA'!E527)</f>
        <v>43362</v>
      </c>
      <c r="F43" s="16" t="str">
        <f>IF('MASTER DATA'!F527="","",'MASTER DATA'!F527)</f>
        <v>Y</v>
      </c>
      <c r="G43" s="17">
        <f>IF('MASTER DATA'!G527="","",'MASTER DATA'!G527)</f>
        <v>37500</v>
      </c>
      <c r="H43" s="16" t="str">
        <f>IF('MASTER DATA'!H527="","",'MASTER DATA'!H527)</f>
        <v>Synthetic Approver 04</v>
      </c>
      <c r="I43" s="15">
        <f>IF('MASTER DATA'!I527="","",'MASTER DATA'!I527)</f>
        <v>43555</v>
      </c>
      <c r="J43" s="16" t="str">
        <f>IF('MASTER DATA'!J527="","",'MASTER DATA'!J527)</f>
        <v>N</v>
      </c>
      <c r="K43" s="15" t="str">
        <f>IF('MASTER DATA'!K527="","",'MASTER DATA'!K527)</f>
        <v/>
      </c>
      <c r="L43" s="16" t="str">
        <f>IF('MASTER DATA'!L527="","",'MASTER DATA'!L527)</f>
        <v>N</v>
      </c>
      <c r="M43" s="16" t="str">
        <f>IF('MASTER DATA'!M527="","",'MASTER DATA'!M527)</f>
        <v>N</v>
      </c>
      <c r="N43" s="15" t="str">
        <f>IF('MASTER DATA'!N527="","",'MASTER DATA'!N527)</f>
        <v/>
      </c>
      <c r="O43" s="16" t="str">
        <f>IF('MASTER DATA'!O527="","",'MASTER DATA'!O527)</f>
        <v/>
      </c>
      <c r="P43" s="16" t="str">
        <f>IF('MASTER DATA'!P527="","",'MASTER DATA'!P527)</f>
        <v>N</v>
      </c>
      <c r="Q43" s="16" t="str">
        <f>IF('MASTER DATA'!Q527="","",'MASTER DATA'!Q527)</f>
        <v/>
      </c>
      <c r="R43" s="16" t="str">
        <f>IF('MASTER DATA'!R527="","",'MASTER DATA'!R527)</f>
        <v/>
      </c>
      <c r="S43" s="16" t="str">
        <f>IF('MASTER DATA'!S527="","",'MASTER DATA'!S527)</f>
        <v>N</v>
      </c>
      <c r="T43" s="15" t="str">
        <f>IF('MASTER DATA'!T527="","",'MASTER DATA'!T527)</f>
        <v/>
      </c>
      <c r="U43" s="16" t="str">
        <f>IF('MASTER DATA'!U527="","",'MASTER DATA'!U527)</f>
        <v>N</v>
      </c>
      <c r="V43" s="16" t="str">
        <f>IF('MASTER DATA'!V527="","",'MASTER DATA'!V527)</f>
        <v>N</v>
      </c>
      <c r="W43" s="16" t="str">
        <f>IF('MASTER DATA'!W527="","",'MASTER DATA'!W527)</f>
        <v>N</v>
      </c>
      <c r="X43" s="16" t="str">
        <f>IF('MASTER DATA'!X527="","",'MASTER DATA'!X527)</f>
        <v>N</v>
      </c>
      <c r="Y43" s="16" t="str">
        <f>IF('MASTER DATA'!Y527="","",'MASTER DATA'!Y527)</f>
        <v>N</v>
      </c>
      <c r="Z43" s="16" t="str">
        <f>IF('MASTER DATA'!Z527="","",'MASTER DATA'!Z527)</f>
        <v>N</v>
      </c>
      <c r="AA43" s="16">
        <f>IF('MASTER DATA'!AA527="","",'MASTER DATA'!AA527)</f>
        <v>1</v>
      </c>
      <c r="AB43" s="16" t="str">
        <f>IF('MASTER DATA'!AB527="","",'MASTER DATA'!AB527)</f>
        <v>SINGLE-SIGNAL</v>
      </c>
      <c r="AC43" s="16" t="str">
        <f>IF('MASTER DATA'!AC527="","",'MASTER DATA'!AC527)</f>
        <v>Settlement Authorization</v>
      </c>
    </row>
    <row r="44" spans="1:29" x14ac:dyDescent="0.45">
      <c r="A44" t="str">
        <f>IF('MASTER DATA'!A528="","",'MASTER DATA'!A528)</f>
        <v>SYN-CLM-0527</v>
      </c>
      <c r="B44" t="str">
        <f>IF('MASTER DATA'!B528="","",'MASTER DATA'!B528)</f>
        <v>Synthetic Claimant 0527</v>
      </c>
      <c r="C44" t="str">
        <f>IF('MASTER DATA'!C528="","",'MASTER DATA'!C528)</f>
        <v>Claims Analyst L</v>
      </c>
      <c r="D44" t="str">
        <f>IF('MASTER DATA'!D528="","",'MASTER DATA'!D528)</f>
        <v>Synthetic Policyholder 018, LLC</v>
      </c>
      <c r="E44" s="15">
        <f>IF('MASTER DATA'!E528="","",'MASTER DATA'!E528)</f>
        <v>43626</v>
      </c>
      <c r="F44" s="16" t="str">
        <f>IF('MASTER DATA'!F528="","",'MASTER DATA'!F528)</f>
        <v>N</v>
      </c>
      <c r="G44" s="17" t="str">
        <f>IF('MASTER DATA'!G528="","",'MASTER DATA'!G528)</f>
        <v/>
      </c>
      <c r="H44" s="16" t="str">
        <f>IF('MASTER DATA'!H528="","",'MASTER DATA'!H528)</f>
        <v/>
      </c>
      <c r="I44" s="15" t="str">
        <f>IF('MASTER DATA'!I528="","",'MASTER DATA'!I528)</f>
        <v/>
      </c>
      <c r="J44" s="16" t="str">
        <f>IF('MASTER DATA'!J528="","",'MASTER DATA'!J528)</f>
        <v>N</v>
      </c>
      <c r="K44" s="15" t="str">
        <f>IF('MASTER DATA'!K528="","",'MASTER DATA'!K528)</f>
        <v/>
      </c>
      <c r="L44" s="16" t="str">
        <f>IF('MASTER DATA'!L528="","",'MASTER DATA'!L528)</f>
        <v/>
      </c>
      <c r="M44" s="16" t="str">
        <f>IF('MASTER DATA'!M528="","",'MASTER DATA'!M528)</f>
        <v>N</v>
      </c>
      <c r="N44" s="15" t="str">
        <f>IF('MASTER DATA'!N528="","",'MASTER DATA'!N528)</f>
        <v/>
      </c>
      <c r="O44" s="16" t="str">
        <f>IF('MASTER DATA'!O528="","",'MASTER DATA'!O528)</f>
        <v/>
      </c>
      <c r="P44" s="16" t="str">
        <f>IF('MASTER DATA'!P528="","",'MASTER DATA'!P528)</f>
        <v>N</v>
      </c>
      <c r="Q44" s="16" t="str">
        <f>IF('MASTER DATA'!Q528="","",'MASTER DATA'!Q528)</f>
        <v/>
      </c>
      <c r="R44" s="16" t="str">
        <f>IF('MASTER DATA'!R528="","",'MASTER DATA'!R528)</f>
        <v/>
      </c>
      <c r="S44" s="16" t="str">
        <f>IF('MASTER DATA'!S528="","",'MASTER DATA'!S528)</f>
        <v>Y</v>
      </c>
      <c r="T44" s="15">
        <f>IF('MASTER DATA'!T528="","",'MASTER DATA'!T528)</f>
        <v>45825</v>
      </c>
      <c r="U44" s="16" t="str">
        <f>IF('MASTER DATA'!U528="","",'MASTER DATA'!U528)</f>
        <v>N</v>
      </c>
      <c r="V44" s="16" t="str">
        <f>IF('MASTER DATA'!V528="","",'MASTER DATA'!V528)</f>
        <v>N</v>
      </c>
      <c r="W44" s="16" t="str">
        <f>IF('MASTER DATA'!W528="","",'MASTER DATA'!W528)</f>
        <v>N</v>
      </c>
      <c r="X44" s="16" t="str">
        <f>IF('MASTER DATA'!X528="","",'MASTER DATA'!X528)</f>
        <v>N</v>
      </c>
      <c r="Y44" s="16" t="str">
        <f>IF('MASTER DATA'!Y528="","",'MASTER DATA'!Y528)</f>
        <v>N</v>
      </c>
      <c r="Z44" s="16" t="str">
        <f>IF('MASTER DATA'!Z528="","",'MASTER DATA'!Z528)</f>
        <v>N</v>
      </c>
      <c r="AA44" s="16">
        <f>IF('MASTER DATA'!AA528="","",'MASTER DATA'!AA528)</f>
        <v>1</v>
      </c>
      <c r="AB44" s="16" t="str">
        <f>IF('MASTER DATA'!AB528="","",'MASTER DATA'!AB528)</f>
        <v>SINGLE-SIGNAL</v>
      </c>
      <c r="AC44" s="16" t="str">
        <f>IF('MASTER DATA'!AC528="","",'MASTER DATA'!AC528)</f>
        <v>Inactive Customer</v>
      </c>
    </row>
    <row r="45" spans="1:29" x14ac:dyDescent="0.45">
      <c r="A45" t="str">
        <f>IF('MASTER DATA'!A529="","",'MASTER DATA'!A529)</f>
        <v>SYN-CLM-0528</v>
      </c>
      <c r="B45" t="str">
        <f>IF('MASTER DATA'!B529="","",'MASTER DATA'!B529)</f>
        <v>Synthetic Claimant 0528</v>
      </c>
      <c r="C45" t="str">
        <f>IF('MASTER DATA'!C529="","",'MASTER DATA'!C529)</f>
        <v>Claims Analyst L</v>
      </c>
      <c r="D45" t="str">
        <f>IF('MASTER DATA'!D529="","",'MASTER DATA'!D529)</f>
        <v>Synthetic Policyholder 111, LLC</v>
      </c>
      <c r="E45" s="15">
        <f>IF('MASTER DATA'!E529="","",'MASTER DATA'!E529)</f>
        <v>45669</v>
      </c>
      <c r="F45" s="16" t="str">
        <f>IF('MASTER DATA'!F529="","",'MASTER DATA'!F529)</f>
        <v>N</v>
      </c>
      <c r="G45" s="17" t="str">
        <f>IF('MASTER DATA'!G529="","",'MASTER DATA'!G529)</f>
        <v/>
      </c>
      <c r="H45" s="16" t="str">
        <f>IF('MASTER DATA'!H529="","",'MASTER DATA'!H529)</f>
        <v/>
      </c>
      <c r="I45" s="15" t="str">
        <f>IF('MASTER DATA'!I529="","",'MASTER DATA'!I529)</f>
        <v/>
      </c>
      <c r="J45" s="16" t="str">
        <f>IF('MASTER DATA'!J529="","",'MASTER DATA'!J529)</f>
        <v>N</v>
      </c>
      <c r="K45" s="15" t="str">
        <f>IF('MASTER DATA'!K529="","",'MASTER DATA'!K529)</f>
        <v/>
      </c>
      <c r="L45" s="16" t="str">
        <f>IF('MASTER DATA'!L529="","",'MASTER DATA'!L529)</f>
        <v/>
      </c>
      <c r="M45" s="16" t="str">
        <f>IF('MASTER DATA'!M529="","",'MASTER DATA'!M529)</f>
        <v>Y</v>
      </c>
      <c r="N45" s="15">
        <f>IF('MASTER DATA'!N529="","",'MASTER DATA'!N529)</f>
        <v>46620</v>
      </c>
      <c r="O45" s="16" t="str">
        <f>IF('MASTER DATA'!O529="","",'MASTER DATA'!O529)</f>
        <v>Synthetic QME Evaluator 20</v>
      </c>
      <c r="P45" s="16" t="str">
        <f>IF('MASTER DATA'!P529="","",'MASTER DATA'!P529)</f>
        <v>N</v>
      </c>
      <c r="Q45" s="16" t="str">
        <f>IF('MASTER DATA'!Q529="","",'MASTER DATA'!Q529)</f>
        <v/>
      </c>
      <c r="R45" s="16" t="str">
        <f>IF('MASTER DATA'!R529="","",'MASTER DATA'!R529)</f>
        <v/>
      </c>
      <c r="S45" s="16" t="str">
        <f>IF('MASTER DATA'!S529="","",'MASTER DATA'!S529)</f>
        <v>N</v>
      </c>
      <c r="T45" s="15" t="str">
        <f>IF('MASTER DATA'!T529="","",'MASTER DATA'!T529)</f>
        <v/>
      </c>
      <c r="U45" s="16" t="str">
        <f>IF('MASTER DATA'!U529="","",'MASTER DATA'!U529)</f>
        <v>N</v>
      </c>
      <c r="V45" s="16" t="str">
        <f>IF('MASTER DATA'!V529="","",'MASTER DATA'!V529)</f>
        <v>N</v>
      </c>
      <c r="W45" s="16" t="str">
        <f>IF('MASTER DATA'!W529="","",'MASTER DATA'!W529)</f>
        <v>N</v>
      </c>
      <c r="X45" s="16" t="str">
        <f>IF('MASTER DATA'!X529="","",'MASTER DATA'!X529)</f>
        <v>N</v>
      </c>
      <c r="Y45" s="16" t="str">
        <f>IF('MASTER DATA'!Y529="","",'MASTER DATA'!Y529)</f>
        <v>N</v>
      </c>
      <c r="Z45" s="16" t="str">
        <f>IF('MASTER DATA'!Z529="","",'MASTER DATA'!Z529)</f>
        <v>N</v>
      </c>
      <c r="AA45" s="16">
        <f>IF('MASTER DATA'!AA529="","",'MASTER DATA'!AA529)</f>
        <v>1</v>
      </c>
      <c r="AB45" s="16" t="str">
        <f>IF('MASTER DATA'!AB529="","",'MASTER DATA'!AB529)</f>
        <v>SINGLE-SIGNAL</v>
      </c>
      <c r="AC45" s="16" t="str">
        <f>IF('MASTER DATA'!AC529="","",'MASTER DATA'!AC529)</f>
        <v>Pending QME</v>
      </c>
    </row>
    <row r="46" spans="1:29" x14ac:dyDescent="0.45">
      <c r="A46" t="str">
        <f>IF('MASTER DATA'!A530="","",'MASTER DATA'!A530)</f>
        <v>SYN-CLM-0529</v>
      </c>
      <c r="B46" t="str">
        <f>IF('MASTER DATA'!B530="","",'MASTER DATA'!B530)</f>
        <v>Synthetic Claimant 0529</v>
      </c>
      <c r="C46" t="str">
        <f>IF('MASTER DATA'!C530="","",'MASTER DATA'!C530)</f>
        <v>Claims Analyst L</v>
      </c>
      <c r="D46" t="str">
        <f>IF('MASTER DATA'!D530="","",'MASTER DATA'!D530)</f>
        <v>Synthetic Policyholder 094, LLC</v>
      </c>
      <c r="E46" s="15">
        <f>IF('MASTER DATA'!E530="","",'MASTER DATA'!E530)</f>
        <v>44343</v>
      </c>
      <c r="F46" s="16" t="str">
        <f>IF('MASTER DATA'!F530="","",'MASTER DATA'!F530)</f>
        <v>N</v>
      </c>
      <c r="G46" s="17" t="str">
        <f>IF('MASTER DATA'!G530="","",'MASTER DATA'!G530)</f>
        <v/>
      </c>
      <c r="H46" s="16" t="str">
        <f>IF('MASTER DATA'!H530="","",'MASTER DATA'!H530)</f>
        <v/>
      </c>
      <c r="I46" s="15" t="str">
        <f>IF('MASTER DATA'!I530="","",'MASTER DATA'!I530)</f>
        <v/>
      </c>
      <c r="J46" s="16" t="str">
        <f>IF('MASTER DATA'!J530="","",'MASTER DATA'!J530)</f>
        <v>Y</v>
      </c>
      <c r="K46" s="15">
        <f>IF('MASTER DATA'!K530="","",'MASTER DATA'!K530)</f>
        <v>45582</v>
      </c>
      <c r="L46" s="16" t="str">
        <f>IF('MASTER DATA'!L530="","",'MASTER DATA'!L530)</f>
        <v>N</v>
      </c>
      <c r="M46" s="16" t="str">
        <f>IF('MASTER DATA'!M530="","",'MASTER DATA'!M530)</f>
        <v>N</v>
      </c>
      <c r="N46" s="15" t="str">
        <f>IF('MASTER DATA'!N530="","",'MASTER DATA'!N530)</f>
        <v/>
      </c>
      <c r="O46" s="16" t="str">
        <f>IF('MASTER DATA'!O530="","",'MASTER DATA'!O530)</f>
        <v/>
      </c>
      <c r="P46" s="16" t="str">
        <f>IF('MASTER DATA'!P530="","",'MASTER DATA'!P530)</f>
        <v>N</v>
      </c>
      <c r="Q46" s="16" t="str">
        <f>IF('MASTER DATA'!Q530="","",'MASTER DATA'!Q530)</f>
        <v/>
      </c>
      <c r="R46" s="16" t="str">
        <f>IF('MASTER DATA'!R530="","",'MASTER DATA'!R530)</f>
        <v/>
      </c>
      <c r="S46" s="16" t="str">
        <f>IF('MASTER DATA'!S530="","",'MASTER DATA'!S530)</f>
        <v>N</v>
      </c>
      <c r="T46" s="15" t="str">
        <f>IF('MASTER DATA'!T530="","",'MASTER DATA'!T530)</f>
        <v/>
      </c>
      <c r="U46" s="16" t="str">
        <f>IF('MASTER DATA'!U530="","",'MASTER DATA'!U530)</f>
        <v>N</v>
      </c>
      <c r="V46" s="16" t="str">
        <f>IF('MASTER DATA'!V530="","",'MASTER DATA'!V530)</f>
        <v>N</v>
      </c>
      <c r="W46" s="16" t="str">
        <f>IF('MASTER DATA'!W530="","",'MASTER DATA'!W530)</f>
        <v>N</v>
      </c>
      <c r="X46" s="16" t="str">
        <f>IF('MASTER DATA'!X530="","",'MASTER DATA'!X530)</f>
        <v>N</v>
      </c>
      <c r="Y46" s="16" t="str">
        <f>IF('MASTER DATA'!Y530="","",'MASTER DATA'!Y530)</f>
        <v>N</v>
      </c>
      <c r="Z46" s="16" t="str">
        <f>IF('MASTER DATA'!Z530="","",'MASTER DATA'!Z530)</f>
        <v>N</v>
      </c>
      <c r="AA46" s="16">
        <f>IF('MASTER DATA'!AA530="","",'MASTER DATA'!AA530)</f>
        <v>1</v>
      </c>
      <c r="AB46" s="16" t="str">
        <f>IF('MASTER DATA'!AB530="","",'MASTER DATA'!AB530)</f>
        <v>SINGLE-SIGNAL</v>
      </c>
      <c r="AC46" s="16" t="str">
        <f>IF('MASTER DATA'!AC530="","",'MASTER DATA'!AC530)</f>
        <v>Open Stipulation</v>
      </c>
    </row>
    <row r="47" spans="1:29" x14ac:dyDescent="0.45">
      <c r="A47" t="str">
        <f>IF('MASTER DATA'!A531="","",'MASTER DATA'!A531)</f>
        <v>SYN-CLM-0530</v>
      </c>
      <c r="B47" t="str">
        <f>IF('MASTER DATA'!B531="","",'MASTER DATA'!B531)</f>
        <v>Synthetic Claimant 0530</v>
      </c>
      <c r="C47" t="str">
        <f>IF('MASTER DATA'!C531="","",'MASTER DATA'!C531)</f>
        <v>Claims Analyst L</v>
      </c>
      <c r="D47" t="str">
        <f>IF('MASTER DATA'!D531="","",'MASTER DATA'!D531)</f>
        <v>Synthetic Policyholder 022, LLC</v>
      </c>
      <c r="E47" s="15">
        <f>IF('MASTER DATA'!E531="","",'MASTER DATA'!E531)</f>
        <v>44086</v>
      </c>
      <c r="F47" s="16" t="str">
        <f>IF('MASTER DATA'!F531="","",'MASTER DATA'!F531)</f>
        <v>Y</v>
      </c>
      <c r="G47" s="17">
        <f>IF('MASTER DATA'!G531="","",'MASTER DATA'!G531)</f>
        <v>141250</v>
      </c>
      <c r="H47" s="16" t="str">
        <f>IF('MASTER DATA'!H531="","",'MASTER DATA'!H531)</f>
        <v>Synthetic Approver 01</v>
      </c>
      <c r="I47" s="15">
        <f>IF('MASTER DATA'!I531="","",'MASTER DATA'!I531)</f>
        <v>44250</v>
      </c>
      <c r="J47" s="16" t="str">
        <f>IF('MASTER DATA'!J531="","",'MASTER DATA'!J531)</f>
        <v>N</v>
      </c>
      <c r="K47" s="15" t="str">
        <f>IF('MASTER DATA'!K531="","",'MASTER DATA'!K531)</f>
        <v/>
      </c>
      <c r="L47" s="16" t="str">
        <f>IF('MASTER DATA'!L531="","",'MASTER DATA'!L531)</f>
        <v>N</v>
      </c>
      <c r="M47" s="16" t="str">
        <f>IF('MASTER DATA'!M531="","",'MASTER DATA'!M531)</f>
        <v>N</v>
      </c>
      <c r="N47" s="15" t="str">
        <f>IF('MASTER DATA'!N531="","",'MASTER DATA'!N531)</f>
        <v/>
      </c>
      <c r="O47" s="16" t="str">
        <f>IF('MASTER DATA'!O531="","",'MASTER DATA'!O531)</f>
        <v/>
      </c>
      <c r="P47" s="16" t="str">
        <f>IF('MASTER DATA'!P531="","",'MASTER DATA'!P531)</f>
        <v>N</v>
      </c>
      <c r="Q47" s="16" t="str">
        <f>IF('MASTER DATA'!Q531="","",'MASTER DATA'!Q531)</f>
        <v/>
      </c>
      <c r="R47" s="16" t="str">
        <f>IF('MASTER DATA'!R531="","",'MASTER DATA'!R531)</f>
        <v/>
      </c>
      <c r="S47" s="16" t="str">
        <f>IF('MASTER DATA'!S531="","",'MASTER DATA'!S531)</f>
        <v>N</v>
      </c>
      <c r="T47" s="15" t="str">
        <f>IF('MASTER DATA'!T531="","",'MASTER DATA'!T531)</f>
        <v/>
      </c>
      <c r="U47" s="16" t="str">
        <f>IF('MASTER DATA'!U531="","",'MASTER DATA'!U531)</f>
        <v>N</v>
      </c>
      <c r="V47" s="16" t="str">
        <f>IF('MASTER DATA'!V531="","",'MASTER DATA'!V531)</f>
        <v>N</v>
      </c>
      <c r="W47" s="16" t="str">
        <f>IF('MASTER DATA'!W531="","",'MASTER DATA'!W531)</f>
        <v>N</v>
      </c>
      <c r="X47" s="16" t="str">
        <f>IF('MASTER DATA'!X531="","",'MASTER DATA'!X531)</f>
        <v>N</v>
      </c>
      <c r="Y47" s="16" t="str">
        <f>IF('MASTER DATA'!Y531="","",'MASTER DATA'!Y531)</f>
        <v>N</v>
      </c>
      <c r="Z47" s="16" t="str">
        <f>IF('MASTER DATA'!Z531="","",'MASTER DATA'!Z531)</f>
        <v>N</v>
      </c>
      <c r="AA47" s="16">
        <f>IF('MASTER DATA'!AA531="","",'MASTER DATA'!AA531)</f>
        <v>1</v>
      </c>
      <c r="AB47" s="16" t="str">
        <f>IF('MASTER DATA'!AB531="","",'MASTER DATA'!AB531)</f>
        <v>SINGLE-SIGNAL</v>
      </c>
      <c r="AC47" s="16" t="str">
        <f>IF('MASTER DATA'!AC531="","",'MASTER DATA'!AC531)</f>
        <v>Settlement Authorization</v>
      </c>
    </row>
    <row r="48" spans="1:29" x14ac:dyDescent="0.45">
      <c r="A48" t="str">
        <f>IF('MASTER DATA'!A532="","",'MASTER DATA'!A532)</f>
        <v>SYN-CLM-0531</v>
      </c>
      <c r="B48" t="str">
        <f>IF('MASTER DATA'!B532="","",'MASTER DATA'!B532)</f>
        <v>Synthetic Claimant 0531</v>
      </c>
      <c r="C48" t="str">
        <f>IF('MASTER DATA'!C532="","",'MASTER DATA'!C532)</f>
        <v>Claims Analyst L</v>
      </c>
      <c r="D48" t="str">
        <f>IF('MASTER DATA'!D532="","",'MASTER DATA'!D532)</f>
        <v>Synthetic Policyholder 132, LLC</v>
      </c>
      <c r="E48" s="15">
        <f>IF('MASTER DATA'!E532="","",'MASTER DATA'!E532)</f>
        <v>45140</v>
      </c>
      <c r="F48" s="16" t="str">
        <f>IF('MASTER DATA'!F532="","",'MASTER DATA'!F532)</f>
        <v>Y</v>
      </c>
      <c r="G48" s="17">
        <f>IF('MASTER DATA'!G532="","",'MASTER DATA'!G532)</f>
        <v>50000</v>
      </c>
      <c r="H48" s="16" t="str">
        <f>IF('MASTER DATA'!H532="","",'MASTER DATA'!H532)</f>
        <v>Synthetic Approver 09</v>
      </c>
      <c r="I48" s="15">
        <f>IF('MASTER DATA'!I532="","",'MASTER DATA'!I532)</f>
        <v>46913</v>
      </c>
      <c r="J48" s="16" t="str">
        <f>IF('MASTER DATA'!J532="","",'MASTER DATA'!J532)</f>
        <v>N</v>
      </c>
      <c r="K48" s="15" t="str">
        <f>IF('MASTER DATA'!K532="","",'MASTER DATA'!K532)</f>
        <v/>
      </c>
      <c r="L48" s="16" t="str">
        <f>IF('MASTER DATA'!L532="","",'MASTER DATA'!L532)</f>
        <v>N</v>
      </c>
      <c r="M48" s="16" t="str">
        <f>IF('MASTER DATA'!M532="","",'MASTER DATA'!M532)</f>
        <v>N</v>
      </c>
      <c r="N48" s="15" t="str">
        <f>IF('MASTER DATA'!N532="","",'MASTER DATA'!N532)</f>
        <v/>
      </c>
      <c r="O48" s="16" t="str">
        <f>IF('MASTER DATA'!O532="","",'MASTER DATA'!O532)</f>
        <v/>
      </c>
      <c r="P48" s="16" t="str">
        <f>IF('MASTER DATA'!P532="","",'MASTER DATA'!P532)</f>
        <v>Y</v>
      </c>
      <c r="Q48" s="16" t="str">
        <f>IF('MASTER DATA'!Q532="","",'MASTER DATA'!Q532)</f>
        <v>Denied Treatment Requests; Non-Renewed Account; MMI Date Reported</v>
      </c>
      <c r="R48" s="16" t="str">
        <f>IF('MASTER DATA'!R532="","",'MASTER DATA'!R532)</f>
        <v>Surgery Requested; Specialist Consultation Requested</v>
      </c>
      <c r="S48" s="16" t="str">
        <f>IF('MASTER DATA'!S532="","",'MASTER DATA'!S532)</f>
        <v>N</v>
      </c>
      <c r="T48" s="15" t="str">
        <f>IF('MASTER DATA'!T532="","",'MASTER DATA'!T532)</f>
        <v/>
      </c>
      <c r="U48" s="16" t="str">
        <f>IF('MASTER DATA'!U532="","",'MASTER DATA'!U532)</f>
        <v>Y</v>
      </c>
      <c r="V48" s="16" t="str">
        <f>IF('MASTER DATA'!V532="","",'MASTER DATA'!V532)</f>
        <v>Y</v>
      </c>
      <c r="W48" s="16" t="str">
        <f>IF('MASTER DATA'!W532="","",'MASTER DATA'!W532)</f>
        <v>Y</v>
      </c>
      <c r="X48" s="16" t="str">
        <f>IF('MASTER DATA'!X532="","",'MASTER DATA'!X532)</f>
        <v>Y</v>
      </c>
      <c r="Y48" s="16" t="str">
        <f>IF('MASTER DATA'!Y532="","",'MASTER DATA'!Y532)</f>
        <v>Y</v>
      </c>
      <c r="Z48" s="16" t="str">
        <f>IF('MASTER DATA'!Z532="","",'MASTER DATA'!Z532)</f>
        <v>N</v>
      </c>
      <c r="AA48" s="16">
        <f>IF('MASTER DATA'!AA532="","",'MASTER DATA'!AA532)</f>
        <v>2</v>
      </c>
      <c r="AB48" s="16" t="str">
        <f>IF('MASTER DATA'!AB532="","",'MASTER DATA'!AB532)</f>
        <v>MULTI-SIGNAL</v>
      </c>
      <c r="AC48" s="16" t="str">
        <f>IF('MASTER DATA'!AC532="","",'MASTER DATA'!AC532)</f>
        <v>Settlement Authorization | Automated Claim Alert</v>
      </c>
    </row>
    <row r="49" spans="1:29" x14ac:dyDescent="0.45">
      <c r="A49" t="str">
        <f>IF('MASTER DATA'!A533="","",'MASTER DATA'!A533)</f>
        <v>SYN-CLM-0532</v>
      </c>
      <c r="B49" t="str">
        <f>IF('MASTER DATA'!B533="","",'MASTER DATA'!B533)</f>
        <v>Synthetic Claimant 0532</v>
      </c>
      <c r="C49" t="str">
        <f>IF('MASTER DATA'!C533="","",'MASTER DATA'!C533)</f>
        <v>Claims Analyst L</v>
      </c>
      <c r="D49" t="str">
        <f>IF('MASTER DATA'!D533="","",'MASTER DATA'!D533)</f>
        <v>Synthetic Policyholder 090, LLC</v>
      </c>
      <c r="E49" s="15">
        <f>IF('MASTER DATA'!E533="","",'MASTER DATA'!E533)</f>
        <v>45843</v>
      </c>
      <c r="F49" s="16" t="str">
        <f>IF('MASTER DATA'!F533="","",'MASTER DATA'!F533)</f>
        <v>Y</v>
      </c>
      <c r="G49" s="17">
        <f>IF('MASTER DATA'!G533="","",'MASTER DATA'!G533)</f>
        <v>64000</v>
      </c>
      <c r="H49" s="16" t="str">
        <f>IF('MASTER DATA'!H533="","",'MASTER DATA'!H533)</f>
        <v>Synthetic Approver 06</v>
      </c>
      <c r="I49" s="15">
        <f>IF('MASTER DATA'!I533="","",'MASTER DATA'!I533)</f>
        <v>46964</v>
      </c>
      <c r="J49" s="16" t="str">
        <f>IF('MASTER DATA'!J533="","",'MASTER DATA'!J533)</f>
        <v>N</v>
      </c>
      <c r="K49" s="15" t="str">
        <f>IF('MASTER DATA'!K533="","",'MASTER DATA'!K533)</f>
        <v/>
      </c>
      <c r="L49" s="16" t="str">
        <f>IF('MASTER DATA'!L533="","",'MASTER DATA'!L533)</f>
        <v>N</v>
      </c>
      <c r="M49" s="16" t="str">
        <f>IF('MASTER DATA'!M533="","",'MASTER DATA'!M533)</f>
        <v>Y</v>
      </c>
      <c r="N49" s="15">
        <f>IF('MASTER DATA'!N533="","",'MASTER DATA'!N533)</f>
        <v>46638</v>
      </c>
      <c r="O49" s="16" t="str">
        <f>IF('MASTER DATA'!O533="","",'MASTER DATA'!O533)</f>
        <v>Synthetic QME Evaluator 35</v>
      </c>
      <c r="P49" s="16" t="str">
        <f>IF('MASTER DATA'!P533="","",'MASTER DATA'!P533)</f>
        <v>Y</v>
      </c>
      <c r="Q49" s="16" t="str">
        <f>IF('MASTER DATA'!Q533="","",'MASTER DATA'!Q533)</f>
        <v>Non-Renewed Account; MMI Date Reported</v>
      </c>
      <c r="R49" s="16" t="str">
        <f>IF('MASTER DATA'!R533="","",'MASTER DATA'!R533)</f>
        <v>MSA Eligible in Next 3 Years; Specialist Consultation Requested</v>
      </c>
      <c r="S49" s="16" t="str">
        <f>IF('MASTER DATA'!S533="","",'MASTER DATA'!S533)</f>
        <v>Y</v>
      </c>
      <c r="T49" s="15">
        <f>IF('MASTER DATA'!T533="","",'MASTER DATA'!T533)</f>
        <v>47665</v>
      </c>
      <c r="U49" s="16" t="str">
        <f>IF('MASTER DATA'!U533="","",'MASTER DATA'!U533)</f>
        <v>N</v>
      </c>
      <c r="V49" s="16" t="str">
        <f>IF('MASTER DATA'!V533="","",'MASTER DATA'!V533)</f>
        <v>Y</v>
      </c>
      <c r="W49" s="16" t="str">
        <f>IF('MASTER DATA'!W533="","",'MASTER DATA'!W533)</f>
        <v>N</v>
      </c>
      <c r="X49" s="16" t="str">
        <f>IF('MASTER DATA'!X533="","",'MASTER DATA'!X533)</f>
        <v>Y</v>
      </c>
      <c r="Y49" s="16" t="str">
        <f>IF('MASTER DATA'!Y533="","",'MASTER DATA'!Y533)</f>
        <v>Y</v>
      </c>
      <c r="Z49" s="16" t="str">
        <f>IF('MASTER DATA'!Z533="","",'MASTER DATA'!Z533)</f>
        <v>Y</v>
      </c>
      <c r="AA49" s="16">
        <f>IF('MASTER DATA'!AA533="","",'MASTER DATA'!AA533)</f>
        <v>4</v>
      </c>
      <c r="AB49" s="16" t="str">
        <f>IF('MASTER DATA'!AB533="","",'MASTER DATA'!AB533)</f>
        <v>HIGH MULTI-SIGNAL</v>
      </c>
      <c r="AC49" s="16" t="str">
        <f>IF('MASTER DATA'!AC533="","",'MASTER DATA'!AC533)</f>
        <v>Settlement Authorization | Pending QME | Automated Claim Alert | Inactive Customer</v>
      </c>
    </row>
    <row r="50" spans="1:29" x14ac:dyDescent="0.45">
      <c r="A50" t="str">
        <f>IF('MASTER DATA'!A534="","",'MASTER DATA'!A534)</f>
        <v>SYN-CLM-0533</v>
      </c>
      <c r="B50" t="str">
        <f>IF('MASTER DATA'!B534="","",'MASTER DATA'!B534)</f>
        <v>Synthetic Claimant 0533</v>
      </c>
      <c r="C50" t="str">
        <f>IF('MASTER DATA'!C534="","",'MASTER DATA'!C534)</f>
        <v>Claims Analyst L</v>
      </c>
      <c r="D50" t="str">
        <f>IF('MASTER DATA'!D534="","",'MASTER DATA'!D534)</f>
        <v>Synthetic Policyholder 064, LLC</v>
      </c>
      <c r="E50" s="15">
        <f>IF('MASTER DATA'!E534="","",'MASTER DATA'!E534)</f>
        <v>43392</v>
      </c>
      <c r="F50" s="16" t="str">
        <f>IF('MASTER DATA'!F534="","",'MASTER DATA'!F534)</f>
        <v>Y</v>
      </c>
      <c r="G50" s="17">
        <f>IF('MASTER DATA'!G534="","",'MASTER DATA'!G534)</f>
        <v>98000</v>
      </c>
      <c r="H50" s="16" t="str">
        <f>IF('MASTER DATA'!H534="","",'MASTER DATA'!H534)</f>
        <v>Synthetic Approver 01</v>
      </c>
      <c r="I50" s="15">
        <f>IF('MASTER DATA'!I534="","",'MASTER DATA'!I534)</f>
        <v>44952</v>
      </c>
      <c r="J50" s="16" t="str">
        <f>IF('MASTER DATA'!J534="","",'MASTER DATA'!J534)</f>
        <v>Y</v>
      </c>
      <c r="K50" s="15">
        <f>IF('MASTER DATA'!K534="","",'MASTER DATA'!K534)</f>
        <v>43823</v>
      </c>
      <c r="L50" s="16" t="str">
        <f>IF('MASTER DATA'!L534="","",'MASTER DATA'!L534)</f>
        <v>Y</v>
      </c>
      <c r="M50" s="16" t="str">
        <f>IF('MASTER DATA'!M534="","",'MASTER DATA'!M534)</f>
        <v>N</v>
      </c>
      <c r="N50" s="15" t="str">
        <f>IF('MASTER DATA'!N534="","",'MASTER DATA'!N534)</f>
        <v/>
      </c>
      <c r="O50" s="16" t="str">
        <f>IF('MASTER DATA'!O534="","",'MASTER DATA'!O534)</f>
        <v/>
      </c>
      <c r="P50" s="16" t="str">
        <f>IF('MASTER DATA'!P534="","",'MASTER DATA'!P534)</f>
        <v>N</v>
      </c>
      <c r="Q50" s="16" t="str">
        <f>IF('MASTER DATA'!Q534="","",'MASTER DATA'!Q534)</f>
        <v/>
      </c>
      <c r="R50" s="16" t="str">
        <f>IF('MASTER DATA'!R534="","",'MASTER DATA'!R534)</f>
        <v/>
      </c>
      <c r="S50" s="16" t="str">
        <f>IF('MASTER DATA'!S534="","",'MASTER DATA'!S534)</f>
        <v>N</v>
      </c>
      <c r="T50" s="15" t="str">
        <f>IF('MASTER DATA'!T534="","",'MASTER DATA'!T534)</f>
        <v/>
      </c>
      <c r="U50" s="16" t="str">
        <f>IF('MASTER DATA'!U534="","",'MASTER DATA'!U534)</f>
        <v>N</v>
      </c>
      <c r="V50" s="16" t="str">
        <f>IF('MASTER DATA'!V534="","",'MASTER DATA'!V534)</f>
        <v>N</v>
      </c>
      <c r="W50" s="16" t="str">
        <f>IF('MASTER DATA'!W534="","",'MASTER DATA'!W534)</f>
        <v>N</v>
      </c>
      <c r="X50" s="16" t="str">
        <f>IF('MASTER DATA'!X534="","",'MASTER DATA'!X534)</f>
        <v>N</v>
      </c>
      <c r="Y50" s="16" t="str">
        <f>IF('MASTER DATA'!Y534="","",'MASTER DATA'!Y534)</f>
        <v>N</v>
      </c>
      <c r="Z50" s="16" t="str">
        <f>IF('MASTER DATA'!Z534="","",'MASTER DATA'!Z534)</f>
        <v>N</v>
      </c>
      <c r="AA50" s="16">
        <f>IF('MASTER DATA'!AA534="","",'MASTER DATA'!AA534)</f>
        <v>2</v>
      </c>
      <c r="AB50" s="16" t="str">
        <f>IF('MASTER DATA'!AB534="","",'MASTER DATA'!AB534)</f>
        <v>MULTI-SIGNAL</v>
      </c>
      <c r="AC50" s="16" t="str">
        <f>IF('MASTER DATA'!AC534="","",'MASTER DATA'!AC534)</f>
        <v>Settlement Authorization | Open Stipulation</v>
      </c>
    </row>
    <row r="51" spans="1:29" x14ac:dyDescent="0.45">
      <c r="A51" t="str">
        <f>IF('MASTER DATA'!A535="","",'MASTER DATA'!A535)</f>
        <v>SYN-CLM-0534</v>
      </c>
      <c r="B51" t="str">
        <f>IF('MASTER DATA'!B535="","",'MASTER DATA'!B535)</f>
        <v>Synthetic Claimant 0534</v>
      </c>
      <c r="C51" t="str">
        <f>IF('MASTER DATA'!C535="","",'MASTER DATA'!C535)</f>
        <v>Claims Analyst L</v>
      </c>
      <c r="D51" t="str">
        <f>IF('MASTER DATA'!D535="","",'MASTER DATA'!D535)</f>
        <v>Synthetic Policyholder 042, LLC</v>
      </c>
      <c r="E51" s="15">
        <f>IF('MASTER DATA'!E535="","",'MASTER DATA'!E535)</f>
        <v>43606</v>
      </c>
      <c r="F51" s="16" t="str">
        <f>IF('MASTER DATA'!F535="","",'MASTER DATA'!F535)</f>
        <v>N</v>
      </c>
      <c r="G51" s="17" t="str">
        <f>IF('MASTER DATA'!G535="","",'MASTER DATA'!G535)</f>
        <v/>
      </c>
      <c r="H51" s="16" t="str">
        <f>IF('MASTER DATA'!H535="","",'MASTER DATA'!H535)</f>
        <v/>
      </c>
      <c r="I51" s="15" t="str">
        <f>IF('MASTER DATA'!I535="","",'MASTER DATA'!I535)</f>
        <v/>
      </c>
      <c r="J51" s="16" t="str">
        <f>IF('MASTER DATA'!J535="","",'MASTER DATA'!J535)</f>
        <v>Y</v>
      </c>
      <c r="K51" s="15">
        <f>IF('MASTER DATA'!K535="","",'MASTER DATA'!K535)</f>
        <v>44951</v>
      </c>
      <c r="L51" s="16" t="str">
        <f>IF('MASTER DATA'!L535="","",'MASTER DATA'!L535)</f>
        <v>Y</v>
      </c>
      <c r="M51" s="16" t="str">
        <f>IF('MASTER DATA'!M535="","",'MASTER DATA'!M535)</f>
        <v>Y</v>
      </c>
      <c r="N51" s="15">
        <f>IF('MASTER DATA'!N535="","",'MASTER DATA'!N535)</f>
        <v>45448</v>
      </c>
      <c r="O51" s="16" t="str">
        <f>IF('MASTER DATA'!O535="","",'MASTER DATA'!O535)</f>
        <v>Synthetic QME Evaluator 33</v>
      </c>
      <c r="P51" s="16" t="str">
        <f>IF('MASTER DATA'!P535="","",'MASTER DATA'!P535)</f>
        <v>Y</v>
      </c>
      <c r="Q51" s="16" t="str">
        <f>IF('MASTER DATA'!Q535="","",'MASTER DATA'!Q535)</f>
        <v>Non-Renewed Account</v>
      </c>
      <c r="R51" s="16" t="str">
        <f>IF('MASTER DATA'!R535="","",'MASTER DATA'!R535)</f>
        <v>Specialist Consultation Requested; MSA Eligible in Next 3 Years</v>
      </c>
      <c r="S51" s="16" t="str">
        <f>IF('MASTER DATA'!S535="","",'MASTER DATA'!S535)</f>
        <v>N</v>
      </c>
      <c r="T51" s="15" t="str">
        <f>IF('MASTER DATA'!T535="","",'MASTER DATA'!T535)</f>
        <v/>
      </c>
      <c r="U51" s="16" t="str">
        <f>IF('MASTER DATA'!U535="","",'MASTER DATA'!U535)</f>
        <v>N</v>
      </c>
      <c r="V51" s="16" t="str">
        <f>IF('MASTER DATA'!V535="","",'MASTER DATA'!V535)</f>
        <v>N</v>
      </c>
      <c r="W51" s="16" t="str">
        <f>IF('MASTER DATA'!W535="","",'MASTER DATA'!W535)</f>
        <v>N</v>
      </c>
      <c r="X51" s="16" t="str">
        <f>IF('MASTER DATA'!X535="","",'MASTER DATA'!X535)</f>
        <v>Y</v>
      </c>
      <c r="Y51" s="16" t="str">
        <f>IF('MASTER DATA'!Y535="","",'MASTER DATA'!Y535)</f>
        <v>Y</v>
      </c>
      <c r="Z51" s="16" t="str">
        <f>IF('MASTER DATA'!Z535="","",'MASTER DATA'!Z535)</f>
        <v>Y</v>
      </c>
      <c r="AA51" s="16">
        <f>IF('MASTER DATA'!AA535="","",'MASTER DATA'!AA535)</f>
        <v>3</v>
      </c>
      <c r="AB51" s="16" t="str">
        <f>IF('MASTER DATA'!AB535="","",'MASTER DATA'!AB535)</f>
        <v>ELEVATED MULTI-SIGNAL</v>
      </c>
      <c r="AC51" s="16" t="str">
        <f>IF('MASTER DATA'!AC535="","",'MASTER DATA'!AC535)</f>
        <v>Open Stipulation | Pending QME | Automated Claim Alert</v>
      </c>
    </row>
    <row r="52" spans="1:29" x14ac:dyDescent="0.45">
      <c r="A52" t="str">
        <f>IF('MASTER DATA'!A536="","",'MASTER DATA'!A536)</f>
        <v>SYN-CLM-0535</v>
      </c>
      <c r="B52" t="str">
        <f>IF('MASTER DATA'!B536="","",'MASTER DATA'!B536)</f>
        <v>Synthetic Claimant 0535</v>
      </c>
      <c r="C52" t="str">
        <f>IF('MASTER DATA'!C536="","",'MASTER DATA'!C536)</f>
        <v>Claims Analyst L</v>
      </c>
      <c r="D52" t="str">
        <f>IF('MASTER DATA'!D536="","",'MASTER DATA'!D536)</f>
        <v>Synthetic Policyholder 084, LLC</v>
      </c>
      <c r="E52" s="15">
        <f>IF('MASTER DATA'!E536="","",'MASTER DATA'!E536)</f>
        <v>43621</v>
      </c>
      <c r="F52" s="16" t="str">
        <f>IF('MASTER DATA'!F536="","",'MASTER DATA'!F536)</f>
        <v>Y</v>
      </c>
      <c r="G52" s="17">
        <f>IF('MASTER DATA'!G536="","",'MASTER DATA'!G536)</f>
        <v>62500</v>
      </c>
      <c r="H52" s="16" t="str">
        <f>IF('MASTER DATA'!H536="","",'MASTER DATA'!H536)</f>
        <v>Synthetic Approver 12</v>
      </c>
      <c r="I52" s="15">
        <f>IF('MASTER DATA'!I536="","",'MASTER DATA'!I536)</f>
        <v>44692</v>
      </c>
      <c r="J52" s="16" t="str">
        <f>IF('MASTER DATA'!J536="","",'MASTER DATA'!J536)</f>
        <v>N</v>
      </c>
      <c r="K52" s="15" t="str">
        <f>IF('MASTER DATA'!K536="","",'MASTER DATA'!K536)</f>
        <v/>
      </c>
      <c r="L52" s="16" t="str">
        <f>IF('MASTER DATA'!L536="","",'MASTER DATA'!L536)</f>
        <v>N</v>
      </c>
      <c r="M52" s="16" t="str">
        <f>IF('MASTER DATA'!M536="","",'MASTER DATA'!M536)</f>
        <v>N</v>
      </c>
      <c r="N52" s="15" t="str">
        <f>IF('MASTER DATA'!N536="","",'MASTER DATA'!N536)</f>
        <v/>
      </c>
      <c r="O52" s="16" t="str">
        <f>IF('MASTER DATA'!O536="","",'MASTER DATA'!O536)</f>
        <v/>
      </c>
      <c r="P52" s="16" t="str">
        <f>IF('MASTER DATA'!P536="","",'MASTER DATA'!P536)</f>
        <v>Y</v>
      </c>
      <c r="Q52" s="16" t="str">
        <f>IF('MASTER DATA'!Q536="","",'MASTER DATA'!Q536)</f>
        <v>Non-Renewed Account</v>
      </c>
      <c r="R52" s="16" t="str">
        <f>IF('MASTER DATA'!R536="","",'MASTER DATA'!R536)</f>
        <v>Denied Treatment Requests</v>
      </c>
      <c r="S52" s="16" t="str">
        <f>IF('MASTER DATA'!S536="","",'MASTER DATA'!S536)</f>
        <v>N</v>
      </c>
      <c r="T52" s="15" t="str">
        <f>IF('MASTER DATA'!T536="","",'MASTER DATA'!T536)</f>
        <v/>
      </c>
      <c r="U52" s="16" t="str">
        <f>IF('MASTER DATA'!U536="","",'MASTER DATA'!U536)</f>
        <v>N</v>
      </c>
      <c r="V52" s="16" t="str">
        <f>IF('MASTER DATA'!V536="","",'MASTER DATA'!V536)</f>
        <v>N</v>
      </c>
      <c r="W52" s="16" t="str">
        <f>IF('MASTER DATA'!W536="","",'MASTER DATA'!W536)</f>
        <v>Y</v>
      </c>
      <c r="X52" s="16" t="str">
        <f>IF('MASTER DATA'!X536="","",'MASTER DATA'!X536)</f>
        <v>N</v>
      </c>
      <c r="Y52" s="16" t="str">
        <f>IF('MASTER DATA'!Y536="","",'MASTER DATA'!Y536)</f>
        <v>Y</v>
      </c>
      <c r="Z52" s="16" t="str">
        <f>IF('MASTER DATA'!Z536="","",'MASTER DATA'!Z536)</f>
        <v>N</v>
      </c>
      <c r="AA52" s="16">
        <f>IF('MASTER DATA'!AA536="","",'MASTER DATA'!AA536)</f>
        <v>2</v>
      </c>
      <c r="AB52" s="16" t="str">
        <f>IF('MASTER DATA'!AB536="","",'MASTER DATA'!AB536)</f>
        <v>MULTI-SIGNAL</v>
      </c>
      <c r="AC52" s="16" t="str">
        <f>IF('MASTER DATA'!AC536="","",'MASTER DATA'!AC536)</f>
        <v>Settlement Authorization | Automated Claim Alert</v>
      </c>
    </row>
    <row r="53" spans="1:29" x14ac:dyDescent="0.45">
      <c r="A53" t="str">
        <f>IF('MASTER DATA'!A537="","",'MASTER DATA'!A537)</f>
        <v>SYN-CLM-0536</v>
      </c>
      <c r="B53" t="str">
        <f>IF('MASTER DATA'!B537="","",'MASTER DATA'!B537)</f>
        <v>Synthetic Claimant 0536</v>
      </c>
      <c r="C53" t="str">
        <f>IF('MASTER DATA'!C537="","",'MASTER DATA'!C537)</f>
        <v>Claims Analyst L</v>
      </c>
      <c r="D53" t="str">
        <f>IF('MASTER DATA'!D537="","",'MASTER DATA'!D537)</f>
        <v>Synthetic Policyholder 090, LLC</v>
      </c>
      <c r="E53" s="15">
        <f>IF('MASTER DATA'!E537="","",'MASTER DATA'!E537)</f>
        <v>45643</v>
      </c>
      <c r="F53" s="16" t="str">
        <f>IF('MASTER DATA'!F537="","",'MASTER DATA'!F537)</f>
        <v>Y</v>
      </c>
      <c r="G53" s="17">
        <f>IF('MASTER DATA'!G537="","",'MASTER DATA'!G537)</f>
        <v>4750</v>
      </c>
      <c r="H53" s="16" t="str">
        <f>IF('MASTER DATA'!H537="","",'MASTER DATA'!H537)</f>
        <v>Synthetic Approver 02</v>
      </c>
      <c r="I53" s="15">
        <f>IF('MASTER DATA'!I537="","",'MASTER DATA'!I537)</f>
        <v>46400</v>
      </c>
      <c r="J53" s="16" t="str">
        <f>IF('MASTER DATA'!J537="","",'MASTER DATA'!J537)</f>
        <v>N</v>
      </c>
      <c r="K53" s="15" t="str">
        <f>IF('MASTER DATA'!K537="","",'MASTER DATA'!K537)</f>
        <v/>
      </c>
      <c r="L53" s="16" t="str">
        <f>IF('MASTER DATA'!L537="","",'MASTER DATA'!L537)</f>
        <v>N</v>
      </c>
      <c r="M53" s="16" t="str">
        <f>IF('MASTER DATA'!M537="","",'MASTER DATA'!M537)</f>
        <v>N</v>
      </c>
      <c r="N53" s="15" t="str">
        <f>IF('MASTER DATA'!N537="","",'MASTER DATA'!N537)</f>
        <v/>
      </c>
      <c r="O53" s="16" t="str">
        <f>IF('MASTER DATA'!O537="","",'MASTER DATA'!O537)</f>
        <v/>
      </c>
      <c r="P53" s="16" t="str">
        <f>IF('MASTER DATA'!P537="","",'MASTER DATA'!P537)</f>
        <v>N</v>
      </c>
      <c r="Q53" s="16" t="str">
        <f>IF('MASTER DATA'!Q537="","",'MASTER DATA'!Q537)</f>
        <v/>
      </c>
      <c r="R53" s="16" t="str">
        <f>IF('MASTER DATA'!R537="","",'MASTER DATA'!R537)</f>
        <v/>
      </c>
      <c r="S53" s="16" t="str">
        <f>IF('MASTER DATA'!S537="","",'MASTER DATA'!S537)</f>
        <v>Y</v>
      </c>
      <c r="T53" s="15">
        <f>IF('MASTER DATA'!T537="","",'MASTER DATA'!T537)</f>
        <v>47292</v>
      </c>
      <c r="U53" s="16" t="str">
        <f>IF('MASTER DATA'!U537="","",'MASTER DATA'!U537)</f>
        <v>N</v>
      </c>
      <c r="V53" s="16" t="str">
        <f>IF('MASTER DATA'!V537="","",'MASTER DATA'!V537)</f>
        <v>N</v>
      </c>
      <c r="W53" s="16" t="str">
        <f>IF('MASTER DATA'!W537="","",'MASTER DATA'!W537)</f>
        <v>N</v>
      </c>
      <c r="X53" s="16" t="str">
        <f>IF('MASTER DATA'!X537="","",'MASTER DATA'!X537)</f>
        <v>N</v>
      </c>
      <c r="Y53" s="16" t="str">
        <f>IF('MASTER DATA'!Y537="","",'MASTER DATA'!Y537)</f>
        <v>N</v>
      </c>
      <c r="Z53" s="16" t="str">
        <f>IF('MASTER DATA'!Z537="","",'MASTER DATA'!Z537)</f>
        <v>N</v>
      </c>
      <c r="AA53" s="16">
        <f>IF('MASTER DATA'!AA537="","",'MASTER DATA'!AA537)</f>
        <v>2</v>
      </c>
      <c r="AB53" s="16" t="str">
        <f>IF('MASTER DATA'!AB537="","",'MASTER DATA'!AB537)</f>
        <v>MULTI-SIGNAL</v>
      </c>
      <c r="AC53" s="16" t="str">
        <f>IF('MASTER DATA'!AC537="","",'MASTER DATA'!AC537)</f>
        <v>Settlement Authorization | Inactive Customer</v>
      </c>
    </row>
    <row r="54" spans="1:29" x14ac:dyDescent="0.45">
      <c r="A54" t="str">
        <f>IF('MASTER DATA'!A538="","",'MASTER DATA'!A538)</f>
        <v>SYN-CLM-0537</v>
      </c>
      <c r="B54" t="str">
        <f>IF('MASTER DATA'!B538="","",'MASTER DATA'!B538)</f>
        <v>Synthetic Claimant 0537</v>
      </c>
      <c r="C54" t="str">
        <f>IF('MASTER DATA'!C538="","",'MASTER DATA'!C538)</f>
        <v>Claims Analyst L</v>
      </c>
      <c r="D54" t="str">
        <f>IF('MASTER DATA'!D538="","",'MASTER DATA'!D538)</f>
        <v>Synthetic Policyholder 177, LLC</v>
      </c>
      <c r="E54" s="15">
        <f>IF('MASTER DATA'!E538="","",'MASTER DATA'!E538)</f>
        <v>45919</v>
      </c>
      <c r="F54" s="16" t="str">
        <f>IF('MASTER DATA'!F538="","",'MASTER DATA'!F538)</f>
        <v>Y</v>
      </c>
      <c r="G54" s="17">
        <f>IF('MASTER DATA'!G538="","",'MASTER DATA'!G538)</f>
        <v>139250</v>
      </c>
      <c r="H54" s="16" t="str">
        <f>IF('MASTER DATA'!H538="","",'MASTER DATA'!H538)</f>
        <v>Synthetic Approver 06</v>
      </c>
      <c r="I54" s="15">
        <f>IF('MASTER DATA'!I538="","",'MASTER DATA'!I538)</f>
        <v>47599</v>
      </c>
      <c r="J54" s="16" t="str">
        <f>IF('MASTER DATA'!J538="","",'MASTER DATA'!J538)</f>
        <v>N</v>
      </c>
      <c r="K54" s="15" t="str">
        <f>IF('MASTER DATA'!K538="","",'MASTER DATA'!K538)</f>
        <v/>
      </c>
      <c r="L54" s="16" t="str">
        <f>IF('MASTER DATA'!L538="","",'MASTER DATA'!L538)</f>
        <v>Y</v>
      </c>
      <c r="M54" s="16" t="str">
        <f>IF('MASTER DATA'!M538="","",'MASTER DATA'!M538)</f>
        <v>N</v>
      </c>
      <c r="N54" s="15" t="str">
        <f>IF('MASTER DATA'!N538="","",'MASTER DATA'!N538)</f>
        <v/>
      </c>
      <c r="O54" s="16" t="str">
        <f>IF('MASTER DATA'!O538="","",'MASTER DATA'!O538)</f>
        <v/>
      </c>
      <c r="P54" s="16" t="str">
        <f>IF('MASTER DATA'!P538="","",'MASTER DATA'!P538)</f>
        <v>N</v>
      </c>
      <c r="Q54" s="16" t="str">
        <f>IF('MASTER DATA'!Q538="","",'MASTER DATA'!Q538)</f>
        <v/>
      </c>
      <c r="R54" s="16" t="str">
        <f>IF('MASTER DATA'!R538="","",'MASTER DATA'!R538)</f>
        <v/>
      </c>
      <c r="S54" s="16" t="str">
        <f>IF('MASTER DATA'!S538="","",'MASTER DATA'!S538)</f>
        <v>Y</v>
      </c>
      <c r="T54" s="15">
        <f>IF('MASTER DATA'!T538="","",'MASTER DATA'!T538)</f>
        <v>46332</v>
      </c>
      <c r="U54" s="16" t="str">
        <f>IF('MASTER DATA'!U538="","",'MASTER DATA'!U538)</f>
        <v>N</v>
      </c>
      <c r="V54" s="16" t="str">
        <f>IF('MASTER DATA'!V538="","",'MASTER DATA'!V538)</f>
        <v>N</v>
      </c>
      <c r="W54" s="16" t="str">
        <f>IF('MASTER DATA'!W538="","",'MASTER DATA'!W538)</f>
        <v>N</v>
      </c>
      <c r="X54" s="16" t="str">
        <f>IF('MASTER DATA'!X538="","",'MASTER DATA'!X538)</f>
        <v>N</v>
      </c>
      <c r="Y54" s="16" t="str">
        <f>IF('MASTER DATA'!Y538="","",'MASTER DATA'!Y538)</f>
        <v>N</v>
      </c>
      <c r="Z54" s="16" t="str">
        <f>IF('MASTER DATA'!Z538="","",'MASTER DATA'!Z538)</f>
        <v>N</v>
      </c>
      <c r="AA54" s="16">
        <f>IF('MASTER DATA'!AA538="","",'MASTER DATA'!AA538)</f>
        <v>2</v>
      </c>
      <c r="AB54" s="16" t="str">
        <f>IF('MASTER DATA'!AB538="","",'MASTER DATA'!AB538)</f>
        <v>MULTI-SIGNAL</v>
      </c>
      <c r="AC54" s="16" t="str">
        <f>IF('MASTER DATA'!AC538="","",'MASTER DATA'!AC538)</f>
        <v>Settlement Authorization | Inactive Customer</v>
      </c>
    </row>
    <row r="55" spans="1:29" x14ac:dyDescent="0.45">
      <c r="A55" t="str">
        <f>IF('MASTER DATA'!A539="","",'MASTER DATA'!A539)</f>
        <v>SYN-CLM-0538</v>
      </c>
      <c r="B55" t="str">
        <f>IF('MASTER DATA'!B539="","",'MASTER DATA'!B539)</f>
        <v>Synthetic Claimant 0538</v>
      </c>
      <c r="C55" t="str">
        <f>IF('MASTER DATA'!C539="","",'MASTER DATA'!C539)</f>
        <v>Claims Analyst L</v>
      </c>
      <c r="D55" t="str">
        <f>IF('MASTER DATA'!D539="","",'MASTER DATA'!D539)</f>
        <v>Synthetic Policyholder 176, LLC</v>
      </c>
      <c r="E55" s="15">
        <f>IF('MASTER DATA'!E539="","",'MASTER DATA'!E539)</f>
        <v>45670</v>
      </c>
      <c r="F55" s="16" t="str">
        <f>IF('MASTER DATA'!F539="","",'MASTER DATA'!F539)</f>
        <v>N</v>
      </c>
      <c r="G55" s="17" t="str">
        <f>IF('MASTER DATA'!G539="","",'MASTER DATA'!G539)</f>
        <v/>
      </c>
      <c r="H55" s="16" t="str">
        <f>IF('MASTER DATA'!H539="","",'MASTER DATA'!H539)</f>
        <v/>
      </c>
      <c r="I55" s="15" t="str">
        <f>IF('MASTER DATA'!I539="","",'MASTER DATA'!I539)</f>
        <v/>
      </c>
      <c r="J55" s="16" t="str">
        <f>IF('MASTER DATA'!J539="","",'MASTER DATA'!J539)</f>
        <v>N</v>
      </c>
      <c r="K55" s="15" t="str">
        <f>IF('MASTER DATA'!K539="","",'MASTER DATA'!K539)</f>
        <v/>
      </c>
      <c r="L55" s="16" t="str">
        <f>IF('MASTER DATA'!L539="","",'MASTER DATA'!L539)</f>
        <v/>
      </c>
      <c r="M55" s="16" t="str">
        <f>IF('MASTER DATA'!M539="","",'MASTER DATA'!M539)</f>
        <v>N</v>
      </c>
      <c r="N55" s="15" t="str">
        <f>IF('MASTER DATA'!N539="","",'MASTER DATA'!N539)</f>
        <v/>
      </c>
      <c r="O55" s="16" t="str">
        <f>IF('MASTER DATA'!O539="","",'MASTER DATA'!O539)</f>
        <v/>
      </c>
      <c r="P55" s="16" t="str">
        <f>IF('MASTER DATA'!P539="","",'MASTER DATA'!P539)</f>
        <v>Y</v>
      </c>
      <c r="Q55" s="16" t="str">
        <f>IF('MASTER DATA'!Q539="","",'MASTER DATA'!Q539)</f>
        <v>Denied Treatment Requests; MSA Eligible in Next 3 Years; MMI Date Reported</v>
      </c>
      <c r="R55" s="16" t="str">
        <f>IF('MASTER DATA'!R539="","",'MASTER DATA'!R539)</f>
        <v/>
      </c>
      <c r="S55" s="16" t="str">
        <f>IF('MASTER DATA'!S539="","",'MASTER DATA'!S539)</f>
        <v>Y</v>
      </c>
      <c r="T55" s="15">
        <f>IF('MASTER DATA'!T539="","",'MASTER DATA'!T539)</f>
        <v>47540</v>
      </c>
      <c r="U55" s="16" t="str">
        <f>IF('MASTER DATA'!U539="","",'MASTER DATA'!U539)</f>
        <v>N</v>
      </c>
      <c r="V55" s="16" t="str">
        <f>IF('MASTER DATA'!V539="","",'MASTER DATA'!V539)</f>
        <v>Y</v>
      </c>
      <c r="W55" s="16" t="str">
        <f>IF('MASTER DATA'!W539="","",'MASTER DATA'!W539)</f>
        <v>Y</v>
      </c>
      <c r="X55" s="16" t="str">
        <f>IF('MASTER DATA'!X539="","",'MASTER DATA'!X539)</f>
        <v>N</v>
      </c>
      <c r="Y55" s="16" t="str">
        <f>IF('MASTER DATA'!Y539="","",'MASTER DATA'!Y539)</f>
        <v>N</v>
      </c>
      <c r="Z55" s="16" t="str">
        <f>IF('MASTER DATA'!Z539="","",'MASTER DATA'!Z539)</f>
        <v>Y</v>
      </c>
      <c r="AA55" s="16">
        <f>IF('MASTER DATA'!AA539="","",'MASTER DATA'!AA539)</f>
        <v>2</v>
      </c>
      <c r="AB55" s="16" t="str">
        <f>IF('MASTER DATA'!AB539="","",'MASTER DATA'!AB539)</f>
        <v>MULTI-SIGNAL</v>
      </c>
      <c r="AC55" s="16" t="str">
        <f>IF('MASTER DATA'!AC539="","",'MASTER DATA'!AC539)</f>
        <v>Automated Claim Alert | Inactive Customer</v>
      </c>
    </row>
    <row r="56" spans="1:29" x14ac:dyDescent="0.45">
      <c r="A56" t="str">
        <f>IF('MASTER DATA'!A540="","",'MASTER DATA'!A540)</f>
        <v>SYN-CLM-0539</v>
      </c>
      <c r="B56" t="str">
        <f>IF('MASTER DATA'!B540="","",'MASTER DATA'!B540)</f>
        <v>Synthetic Claimant 0539</v>
      </c>
      <c r="C56" t="str">
        <f>IF('MASTER DATA'!C540="","",'MASTER DATA'!C540)</f>
        <v>Claims Analyst L</v>
      </c>
      <c r="D56" t="str">
        <f>IF('MASTER DATA'!D540="","",'MASTER DATA'!D540)</f>
        <v>Synthetic Policyholder 078, LLC</v>
      </c>
      <c r="E56" s="15">
        <f>IF('MASTER DATA'!E540="","",'MASTER DATA'!E540)</f>
        <v>44090</v>
      </c>
      <c r="F56" s="16" t="str">
        <f>IF('MASTER DATA'!F540="","",'MASTER DATA'!F540)</f>
        <v>N</v>
      </c>
      <c r="G56" s="17" t="str">
        <f>IF('MASTER DATA'!G540="","",'MASTER DATA'!G540)</f>
        <v/>
      </c>
      <c r="H56" s="16" t="str">
        <f>IF('MASTER DATA'!H540="","",'MASTER DATA'!H540)</f>
        <v/>
      </c>
      <c r="I56" s="15" t="str">
        <f>IF('MASTER DATA'!I540="","",'MASTER DATA'!I540)</f>
        <v/>
      </c>
      <c r="J56" s="16" t="str">
        <f>IF('MASTER DATA'!J540="","",'MASTER DATA'!J540)</f>
        <v>N</v>
      </c>
      <c r="K56" s="15" t="str">
        <f>IF('MASTER DATA'!K540="","",'MASTER DATA'!K540)</f>
        <v/>
      </c>
      <c r="L56" s="16" t="str">
        <f>IF('MASTER DATA'!L540="","",'MASTER DATA'!L540)</f>
        <v/>
      </c>
      <c r="M56" s="16" t="str">
        <f>IF('MASTER DATA'!M540="","",'MASTER DATA'!M540)</f>
        <v>N</v>
      </c>
      <c r="N56" s="15" t="str">
        <f>IF('MASTER DATA'!N540="","",'MASTER DATA'!N540)</f>
        <v/>
      </c>
      <c r="O56" s="16" t="str">
        <f>IF('MASTER DATA'!O540="","",'MASTER DATA'!O540)</f>
        <v/>
      </c>
      <c r="P56" s="16" t="str">
        <f>IF('MASTER DATA'!P540="","",'MASTER DATA'!P540)</f>
        <v>Y</v>
      </c>
      <c r="Q56" s="16" t="str">
        <f>IF('MASTER DATA'!Q540="","",'MASTER DATA'!Q540)</f>
        <v>Non-Renewed Account; MMI Date Reported</v>
      </c>
      <c r="R56" s="16" t="str">
        <f>IF('MASTER DATA'!R540="","",'MASTER DATA'!R540)</f>
        <v/>
      </c>
      <c r="S56" s="16" t="str">
        <f>IF('MASTER DATA'!S540="","",'MASTER DATA'!S540)</f>
        <v>N</v>
      </c>
      <c r="T56" s="15" t="str">
        <f>IF('MASTER DATA'!T540="","",'MASTER DATA'!T540)</f>
        <v/>
      </c>
      <c r="U56" s="16" t="str">
        <f>IF('MASTER DATA'!U540="","",'MASTER DATA'!U540)</f>
        <v>N</v>
      </c>
      <c r="V56" s="16" t="str">
        <f>IF('MASTER DATA'!V540="","",'MASTER DATA'!V540)</f>
        <v>Y</v>
      </c>
      <c r="W56" s="16" t="str">
        <f>IF('MASTER DATA'!W540="","",'MASTER DATA'!W540)</f>
        <v>N</v>
      </c>
      <c r="X56" s="16" t="str">
        <f>IF('MASTER DATA'!X540="","",'MASTER DATA'!X540)</f>
        <v>N</v>
      </c>
      <c r="Y56" s="16" t="str">
        <f>IF('MASTER DATA'!Y540="","",'MASTER DATA'!Y540)</f>
        <v>Y</v>
      </c>
      <c r="Z56" s="16" t="str">
        <f>IF('MASTER DATA'!Z540="","",'MASTER DATA'!Z540)</f>
        <v>N</v>
      </c>
      <c r="AA56" s="16">
        <f>IF('MASTER DATA'!AA540="","",'MASTER DATA'!AA540)</f>
        <v>1</v>
      </c>
      <c r="AB56" s="16" t="str">
        <f>IF('MASTER DATA'!AB540="","",'MASTER DATA'!AB540)</f>
        <v>SINGLE-SIGNAL</v>
      </c>
      <c r="AC56" s="16" t="str">
        <f>IF('MASTER DATA'!AC540="","",'MASTER DATA'!AC540)</f>
        <v>Automated Claim Alert</v>
      </c>
    </row>
    <row r="57" spans="1:29" x14ac:dyDescent="0.45">
      <c r="A57" t="str">
        <f>IF('MASTER DATA'!A541="","",'MASTER DATA'!A541)</f>
        <v>SYN-CLM-0540</v>
      </c>
      <c r="B57" t="str">
        <f>IF('MASTER DATA'!B541="","",'MASTER DATA'!B541)</f>
        <v>Synthetic Claimant 0540</v>
      </c>
      <c r="C57" t="str">
        <f>IF('MASTER DATA'!C541="","",'MASTER DATA'!C541)</f>
        <v>Claims Analyst L</v>
      </c>
      <c r="D57" t="str">
        <f>IF('MASTER DATA'!D541="","",'MASTER DATA'!D541)</f>
        <v>Synthetic Policyholder 007, LLC</v>
      </c>
      <c r="E57" s="15">
        <f>IF('MASTER DATA'!E541="","",'MASTER DATA'!E541)</f>
        <v>44404</v>
      </c>
      <c r="F57" s="16" t="str">
        <f>IF('MASTER DATA'!F541="","",'MASTER DATA'!F541)</f>
        <v>N</v>
      </c>
      <c r="G57" s="17" t="str">
        <f>IF('MASTER DATA'!G541="","",'MASTER DATA'!G541)</f>
        <v/>
      </c>
      <c r="H57" s="16" t="str">
        <f>IF('MASTER DATA'!H541="","",'MASTER DATA'!H541)</f>
        <v/>
      </c>
      <c r="I57" s="15" t="str">
        <f>IF('MASTER DATA'!I541="","",'MASTER DATA'!I541)</f>
        <v/>
      </c>
      <c r="J57" s="16" t="str">
        <f>IF('MASTER DATA'!J541="","",'MASTER DATA'!J541)</f>
        <v>N</v>
      </c>
      <c r="K57" s="15" t="str">
        <f>IF('MASTER DATA'!K541="","",'MASTER DATA'!K541)</f>
        <v/>
      </c>
      <c r="L57" s="16" t="str">
        <f>IF('MASTER DATA'!L541="","",'MASTER DATA'!L541)</f>
        <v/>
      </c>
      <c r="M57" s="16" t="str">
        <f>IF('MASTER DATA'!M541="","",'MASTER DATA'!M541)</f>
        <v>N</v>
      </c>
      <c r="N57" s="15" t="str">
        <f>IF('MASTER DATA'!N541="","",'MASTER DATA'!N541)</f>
        <v/>
      </c>
      <c r="O57" s="16" t="str">
        <f>IF('MASTER DATA'!O541="","",'MASTER DATA'!O541)</f>
        <v/>
      </c>
      <c r="P57" s="16" t="str">
        <f>IF('MASTER DATA'!P541="","",'MASTER DATA'!P541)</f>
        <v>Y</v>
      </c>
      <c r="Q57" s="16" t="str">
        <f>IF('MASTER DATA'!Q541="","",'MASTER DATA'!Q541)</f>
        <v>Non-Renewed Account; Surgery Requested; MMI Date Reported</v>
      </c>
      <c r="R57" s="16" t="str">
        <f>IF('MASTER DATA'!R541="","",'MASTER DATA'!R541)</f>
        <v>MSA Eligible in Next 3 Years</v>
      </c>
      <c r="S57" s="16" t="str">
        <f>IF('MASTER DATA'!S541="","",'MASTER DATA'!S541)</f>
        <v>N</v>
      </c>
      <c r="T57" s="15" t="str">
        <f>IF('MASTER DATA'!T541="","",'MASTER DATA'!T541)</f>
        <v/>
      </c>
      <c r="U57" s="16" t="str">
        <f>IF('MASTER DATA'!U541="","",'MASTER DATA'!U541)</f>
        <v>Y</v>
      </c>
      <c r="V57" s="16" t="str">
        <f>IF('MASTER DATA'!V541="","",'MASTER DATA'!V541)</f>
        <v>Y</v>
      </c>
      <c r="W57" s="16" t="str">
        <f>IF('MASTER DATA'!W541="","",'MASTER DATA'!W541)</f>
        <v>N</v>
      </c>
      <c r="X57" s="16" t="str">
        <f>IF('MASTER DATA'!X541="","",'MASTER DATA'!X541)</f>
        <v>N</v>
      </c>
      <c r="Y57" s="16" t="str">
        <f>IF('MASTER DATA'!Y541="","",'MASTER DATA'!Y541)</f>
        <v>Y</v>
      </c>
      <c r="Z57" s="16" t="str">
        <f>IF('MASTER DATA'!Z541="","",'MASTER DATA'!Z541)</f>
        <v>Y</v>
      </c>
      <c r="AA57" s="16">
        <f>IF('MASTER DATA'!AA541="","",'MASTER DATA'!AA541)</f>
        <v>1</v>
      </c>
      <c r="AB57" s="16" t="str">
        <f>IF('MASTER DATA'!AB541="","",'MASTER DATA'!AB541)</f>
        <v>SINGLE-SIGNAL</v>
      </c>
      <c r="AC57" s="16" t="str">
        <f>IF('MASTER DATA'!AC541="","",'MASTER DATA'!AC541)</f>
        <v>Automated Claim Alert</v>
      </c>
    </row>
    <row r="58" spans="1:29" x14ac:dyDescent="0.45">
      <c r="A58" t="str">
        <f>IF('MASTER DATA'!A542="","",'MASTER DATA'!A542)</f>
        <v>SYN-CLM-0541</v>
      </c>
      <c r="B58" t="str">
        <f>IF('MASTER DATA'!B542="","",'MASTER DATA'!B542)</f>
        <v>Synthetic Claimant 0541</v>
      </c>
      <c r="C58" t="str">
        <f>IF('MASTER DATA'!C542="","",'MASTER DATA'!C542)</f>
        <v>Claims Analyst L</v>
      </c>
      <c r="D58" t="str">
        <f>IF('MASTER DATA'!D542="","",'MASTER DATA'!D542)</f>
        <v>Synthetic Policyholder 104, LLC</v>
      </c>
      <c r="E58" s="15">
        <f>IF('MASTER DATA'!E542="","",'MASTER DATA'!E542)</f>
        <v>45216</v>
      </c>
      <c r="F58" s="16" t="str">
        <f>IF('MASTER DATA'!F542="","",'MASTER DATA'!F542)</f>
        <v>Y</v>
      </c>
      <c r="G58" s="17">
        <f>IF('MASTER DATA'!G542="","",'MASTER DATA'!G542)</f>
        <v>61500</v>
      </c>
      <c r="H58" s="16" t="str">
        <f>IF('MASTER DATA'!H542="","",'MASTER DATA'!H542)</f>
        <v>Synthetic Approver 05</v>
      </c>
      <c r="I58" s="15">
        <f>IF('MASTER DATA'!I542="","",'MASTER DATA'!I542)</f>
        <v>46224</v>
      </c>
      <c r="J58" s="16" t="str">
        <f>IF('MASTER DATA'!J542="","",'MASTER DATA'!J542)</f>
        <v>N</v>
      </c>
      <c r="K58" s="15" t="str">
        <f>IF('MASTER DATA'!K542="","",'MASTER DATA'!K542)</f>
        <v/>
      </c>
      <c r="L58" s="16" t="str">
        <f>IF('MASTER DATA'!L542="","",'MASTER DATA'!L542)</f>
        <v>N</v>
      </c>
      <c r="M58" s="16" t="str">
        <f>IF('MASTER DATA'!M542="","",'MASTER DATA'!M542)</f>
        <v>N</v>
      </c>
      <c r="N58" s="15" t="str">
        <f>IF('MASTER DATA'!N542="","",'MASTER DATA'!N542)</f>
        <v/>
      </c>
      <c r="O58" s="16" t="str">
        <f>IF('MASTER DATA'!O542="","",'MASTER DATA'!O542)</f>
        <v/>
      </c>
      <c r="P58" s="16" t="str">
        <f>IF('MASTER DATA'!P542="","",'MASTER DATA'!P542)</f>
        <v>N</v>
      </c>
      <c r="Q58" s="16" t="str">
        <f>IF('MASTER DATA'!Q542="","",'MASTER DATA'!Q542)</f>
        <v/>
      </c>
      <c r="R58" s="16" t="str">
        <f>IF('MASTER DATA'!R542="","",'MASTER DATA'!R542)</f>
        <v/>
      </c>
      <c r="S58" s="16" t="str">
        <f>IF('MASTER DATA'!S542="","",'MASTER DATA'!S542)</f>
        <v>N</v>
      </c>
      <c r="T58" s="15" t="str">
        <f>IF('MASTER DATA'!T542="","",'MASTER DATA'!T542)</f>
        <v/>
      </c>
      <c r="U58" s="16" t="str">
        <f>IF('MASTER DATA'!U542="","",'MASTER DATA'!U542)</f>
        <v>N</v>
      </c>
      <c r="V58" s="16" t="str">
        <f>IF('MASTER DATA'!V542="","",'MASTER DATA'!V542)</f>
        <v>N</v>
      </c>
      <c r="W58" s="16" t="str">
        <f>IF('MASTER DATA'!W542="","",'MASTER DATA'!W542)</f>
        <v>N</v>
      </c>
      <c r="X58" s="16" t="str">
        <f>IF('MASTER DATA'!X542="","",'MASTER DATA'!X542)</f>
        <v>N</v>
      </c>
      <c r="Y58" s="16" t="str">
        <f>IF('MASTER DATA'!Y542="","",'MASTER DATA'!Y542)</f>
        <v>N</v>
      </c>
      <c r="Z58" s="16" t="str">
        <f>IF('MASTER DATA'!Z542="","",'MASTER DATA'!Z542)</f>
        <v>N</v>
      </c>
      <c r="AA58" s="16">
        <f>IF('MASTER DATA'!AA542="","",'MASTER DATA'!AA542)</f>
        <v>1</v>
      </c>
      <c r="AB58" s="16" t="str">
        <f>IF('MASTER DATA'!AB542="","",'MASTER DATA'!AB542)</f>
        <v>SINGLE-SIGNAL</v>
      </c>
      <c r="AC58" s="16" t="str">
        <f>IF('MASTER DATA'!AC542="","",'MASTER DATA'!AC542)</f>
        <v>Settlement Authorization</v>
      </c>
    </row>
    <row r="59" spans="1:29" x14ac:dyDescent="0.45">
      <c r="A59" t="str">
        <f>IF('MASTER DATA'!A543="","",'MASTER DATA'!A543)</f>
        <v>SYN-CLM-0542</v>
      </c>
      <c r="B59" t="str">
        <f>IF('MASTER DATA'!B543="","",'MASTER DATA'!B543)</f>
        <v>Synthetic Claimant 0542</v>
      </c>
      <c r="C59" t="str">
        <f>IF('MASTER DATA'!C543="","",'MASTER DATA'!C543)</f>
        <v>Claims Analyst L</v>
      </c>
      <c r="D59" t="str">
        <f>IF('MASTER DATA'!D543="","",'MASTER DATA'!D543)</f>
        <v>Synthetic Policyholder 157, LLC</v>
      </c>
      <c r="E59" s="15">
        <f>IF('MASTER DATA'!E543="","",'MASTER DATA'!E543)</f>
        <v>45188</v>
      </c>
      <c r="F59" s="16" t="str">
        <f>IF('MASTER DATA'!F543="","",'MASTER DATA'!F543)</f>
        <v>Y</v>
      </c>
      <c r="G59" s="17">
        <f>IF('MASTER DATA'!G543="","",'MASTER DATA'!G543)</f>
        <v>144250</v>
      </c>
      <c r="H59" s="16" t="str">
        <f>IF('MASTER DATA'!H543="","",'MASTER DATA'!H543)</f>
        <v>Synthetic Approver 11</v>
      </c>
      <c r="I59" s="15">
        <f>IF('MASTER DATA'!I543="","",'MASTER DATA'!I543)</f>
        <v>46841</v>
      </c>
      <c r="J59" s="16" t="str">
        <f>IF('MASTER DATA'!J543="","",'MASTER DATA'!J543)</f>
        <v>N</v>
      </c>
      <c r="K59" s="15" t="str">
        <f>IF('MASTER DATA'!K543="","",'MASTER DATA'!K543)</f>
        <v/>
      </c>
      <c r="L59" s="16" t="str">
        <f>IF('MASTER DATA'!L543="","",'MASTER DATA'!L543)</f>
        <v>Y</v>
      </c>
      <c r="M59" s="16" t="str">
        <f>IF('MASTER DATA'!M543="","",'MASTER DATA'!M543)</f>
        <v>N</v>
      </c>
      <c r="N59" s="15" t="str">
        <f>IF('MASTER DATA'!N543="","",'MASTER DATA'!N543)</f>
        <v/>
      </c>
      <c r="O59" s="16" t="str">
        <f>IF('MASTER DATA'!O543="","",'MASTER DATA'!O543)</f>
        <v/>
      </c>
      <c r="P59" s="16" t="str">
        <f>IF('MASTER DATA'!P543="","",'MASTER DATA'!P543)</f>
        <v>N</v>
      </c>
      <c r="Q59" s="16" t="str">
        <f>IF('MASTER DATA'!Q543="","",'MASTER DATA'!Q543)</f>
        <v/>
      </c>
      <c r="R59" s="16" t="str">
        <f>IF('MASTER DATA'!R543="","",'MASTER DATA'!R543)</f>
        <v/>
      </c>
      <c r="S59" s="16" t="str">
        <f>IF('MASTER DATA'!S543="","",'MASTER DATA'!S543)</f>
        <v>N</v>
      </c>
      <c r="T59" s="15" t="str">
        <f>IF('MASTER DATA'!T543="","",'MASTER DATA'!T543)</f>
        <v/>
      </c>
      <c r="U59" s="16" t="str">
        <f>IF('MASTER DATA'!U543="","",'MASTER DATA'!U543)</f>
        <v>N</v>
      </c>
      <c r="V59" s="16" t="str">
        <f>IF('MASTER DATA'!V543="","",'MASTER DATA'!V543)</f>
        <v>N</v>
      </c>
      <c r="W59" s="16" t="str">
        <f>IF('MASTER DATA'!W543="","",'MASTER DATA'!W543)</f>
        <v>N</v>
      </c>
      <c r="X59" s="16" t="str">
        <f>IF('MASTER DATA'!X543="","",'MASTER DATA'!X543)</f>
        <v>N</v>
      </c>
      <c r="Y59" s="16" t="str">
        <f>IF('MASTER DATA'!Y543="","",'MASTER DATA'!Y543)</f>
        <v>N</v>
      </c>
      <c r="Z59" s="16" t="str">
        <f>IF('MASTER DATA'!Z543="","",'MASTER DATA'!Z543)</f>
        <v>N</v>
      </c>
      <c r="AA59" s="16">
        <f>IF('MASTER DATA'!AA543="","",'MASTER DATA'!AA543)</f>
        <v>1</v>
      </c>
      <c r="AB59" s="16" t="str">
        <f>IF('MASTER DATA'!AB543="","",'MASTER DATA'!AB543)</f>
        <v>SINGLE-SIGNAL</v>
      </c>
      <c r="AC59" s="16" t="str">
        <f>IF('MASTER DATA'!AC543="","",'MASTER DATA'!AC543)</f>
        <v>Settlement Authorization</v>
      </c>
    </row>
    <row r="60" spans="1:29" x14ac:dyDescent="0.45">
      <c r="A60" t="str">
        <f>IF('MASTER DATA'!A544="","",'MASTER DATA'!A544)</f>
        <v>SYN-CLM-0543</v>
      </c>
      <c r="B60" t="str">
        <f>IF('MASTER DATA'!B544="","",'MASTER DATA'!B544)</f>
        <v>Synthetic Claimant 0543</v>
      </c>
      <c r="C60" t="str">
        <f>IF('MASTER DATA'!C544="","",'MASTER DATA'!C544)</f>
        <v>Claims Analyst L</v>
      </c>
      <c r="D60" t="str">
        <f>IF('MASTER DATA'!D544="","",'MASTER DATA'!D544)</f>
        <v>Synthetic Policyholder 098, LLC</v>
      </c>
      <c r="E60" s="15">
        <f>IF('MASTER DATA'!E544="","",'MASTER DATA'!E544)</f>
        <v>46006</v>
      </c>
      <c r="F60" s="16" t="str">
        <f>IF('MASTER DATA'!F544="","",'MASTER DATA'!F544)</f>
        <v>Y</v>
      </c>
      <c r="G60" s="17">
        <f>IF('MASTER DATA'!G544="","",'MASTER DATA'!G544)</f>
        <v>48500</v>
      </c>
      <c r="H60" s="16" t="str">
        <f>IF('MASTER DATA'!H544="","",'MASTER DATA'!H544)</f>
        <v>Synthetic Approver 09</v>
      </c>
      <c r="I60" s="15">
        <f>IF('MASTER DATA'!I544="","",'MASTER DATA'!I544)</f>
        <v>46166</v>
      </c>
      <c r="J60" s="16" t="str">
        <f>IF('MASTER DATA'!J544="","",'MASTER DATA'!J544)</f>
        <v>N</v>
      </c>
      <c r="K60" s="15" t="str">
        <f>IF('MASTER DATA'!K544="","",'MASTER DATA'!K544)</f>
        <v/>
      </c>
      <c r="L60" s="16" t="str">
        <f>IF('MASTER DATA'!L544="","",'MASTER DATA'!L544)</f>
        <v>N</v>
      </c>
      <c r="M60" s="16" t="str">
        <f>IF('MASTER DATA'!M544="","",'MASTER DATA'!M544)</f>
        <v>N</v>
      </c>
      <c r="N60" s="15" t="str">
        <f>IF('MASTER DATA'!N544="","",'MASTER DATA'!N544)</f>
        <v/>
      </c>
      <c r="O60" s="16" t="str">
        <f>IF('MASTER DATA'!O544="","",'MASTER DATA'!O544)</f>
        <v/>
      </c>
      <c r="P60" s="16" t="str">
        <f>IF('MASTER DATA'!P544="","",'MASTER DATA'!P544)</f>
        <v>Y</v>
      </c>
      <c r="Q60" s="16" t="str">
        <f>IF('MASTER DATA'!Q544="","",'MASTER DATA'!Q544)</f>
        <v>MMI Date Reported; Surgery Requested; Non-Renewed Account</v>
      </c>
      <c r="R60" s="16" t="str">
        <f>IF('MASTER DATA'!R544="","",'MASTER DATA'!R544)</f>
        <v>MSA Eligible in Next 3 Years</v>
      </c>
      <c r="S60" s="16" t="str">
        <f>IF('MASTER DATA'!S544="","",'MASTER DATA'!S544)</f>
        <v>Y</v>
      </c>
      <c r="T60" s="15">
        <f>IF('MASTER DATA'!T544="","",'MASTER DATA'!T544)</f>
        <v>48137</v>
      </c>
      <c r="U60" s="16" t="str">
        <f>IF('MASTER DATA'!U544="","",'MASTER DATA'!U544)</f>
        <v>Y</v>
      </c>
      <c r="V60" s="16" t="str">
        <f>IF('MASTER DATA'!V544="","",'MASTER DATA'!V544)</f>
        <v>Y</v>
      </c>
      <c r="W60" s="16" t="str">
        <f>IF('MASTER DATA'!W544="","",'MASTER DATA'!W544)</f>
        <v>N</v>
      </c>
      <c r="X60" s="16" t="str">
        <f>IF('MASTER DATA'!X544="","",'MASTER DATA'!X544)</f>
        <v>N</v>
      </c>
      <c r="Y60" s="16" t="str">
        <f>IF('MASTER DATA'!Y544="","",'MASTER DATA'!Y544)</f>
        <v>Y</v>
      </c>
      <c r="Z60" s="16" t="str">
        <f>IF('MASTER DATA'!Z544="","",'MASTER DATA'!Z544)</f>
        <v>Y</v>
      </c>
      <c r="AA60" s="16">
        <f>IF('MASTER DATA'!AA544="","",'MASTER DATA'!AA544)</f>
        <v>3</v>
      </c>
      <c r="AB60" s="16" t="str">
        <f>IF('MASTER DATA'!AB544="","",'MASTER DATA'!AB544)</f>
        <v>ELEVATED MULTI-SIGNAL</v>
      </c>
      <c r="AC60" s="16" t="str">
        <f>IF('MASTER DATA'!AC544="","",'MASTER DATA'!AC544)</f>
        <v>Settlement Authorization | Automated Claim Alert | Inactive Customer</v>
      </c>
    </row>
    <row r="61" spans="1:29" x14ac:dyDescent="0.45">
      <c r="A61" t="str">
        <f>IF('MASTER DATA'!A545="","",'MASTER DATA'!A545)</f>
        <v>SYN-CLM-0544</v>
      </c>
      <c r="B61" t="str">
        <f>IF('MASTER DATA'!B545="","",'MASTER DATA'!B545)</f>
        <v>Synthetic Claimant 0544</v>
      </c>
      <c r="C61" t="str">
        <f>IF('MASTER DATA'!C545="","",'MASTER DATA'!C545)</f>
        <v>Claims Analyst L</v>
      </c>
      <c r="D61" t="str">
        <f>IF('MASTER DATA'!D545="","",'MASTER DATA'!D545)</f>
        <v>Synthetic Policyholder 092, LLC</v>
      </c>
      <c r="E61" s="15">
        <f>IF('MASTER DATA'!E545="","",'MASTER DATA'!E545)</f>
        <v>43644</v>
      </c>
      <c r="F61" s="16" t="str">
        <f>IF('MASTER DATA'!F545="","",'MASTER DATA'!F545)</f>
        <v>Y</v>
      </c>
      <c r="G61" s="17">
        <f>IF('MASTER DATA'!G545="","",'MASTER DATA'!G545)</f>
        <v>108750</v>
      </c>
      <c r="H61" s="16" t="str">
        <f>IF('MASTER DATA'!H545="","",'MASTER DATA'!H545)</f>
        <v>Synthetic Approver 07</v>
      </c>
      <c r="I61" s="15">
        <f>IF('MASTER DATA'!I545="","",'MASTER DATA'!I545)</f>
        <v>44016</v>
      </c>
      <c r="J61" s="16" t="str">
        <f>IF('MASTER DATA'!J545="","",'MASTER DATA'!J545)</f>
        <v>N</v>
      </c>
      <c r="K61" s="15" t="str">
        <f>IF('MASTER DATA'!K545="","",'MASTER DATA'!K545)</f>
        <v/>
      </c>
      <c r="L61" s="16" t="str">
        <f>IF('MASTER DATA'!L545="","",'MASTER DATA'!L545)</f>
        <v>N</v>
      </c>
      <c r="M61" s="16" t="str">
        <f>IF('MASTER DATA'!M545="","",'MASTER DATA'!M545)</f>
        <v>N</v>
      </c>
      <c r="N61" s="15" t="str">
        <f>IF('MASTER DATA'!N545="","",'MASTER DATA'!N545)</f>
        <v/>
      </c>
      <c r="O61" s="16" t="str">
        <f>IF('MASTER DATA'!O545="","",'MASTER DATA'!O545)</f>
        <v/>
      </c>
      <c r="P61" s="16" t="str">
        <f>IF('MASTER DATA'!P545="","",'MASTER DATA'!P545)</f>
        <v>N</v>
      </c>
      <c r="Q61" s="16" t="str">
        <f>IF('MASTER DATA'!Q545="","",'MASTER DATA'!Q545)</f>
        <v/>
      </c>
      <c r="R61" s="16" t="str">
        <f>IF('MASTER DATA'!R545="","",'MASTER DATA'!R545)</f>
        <v/>
      </c>
      <c r="S61" s="16" t="str">
        <f>IF('MASTER DATA'!S545="","",'MASTER DATA'!S545)</f>
        <v>N</v>
      </c>
      <c r="T61" s="15" t="str">
        <f>IF('MASTER DATA'!T545="","",'MASTER DATA'!T545)</f>
        <v/>
      </c>
      <c r="U61" s="16" t="str">
        <f>IF('MASTER DATA'!U545="","",'MASTER DATA'!U545)</f>
        <v>N</v>
      </c>
      <c r="V61" s="16" t="str">
        <f>IF('MASTER DATA'!V545="","",'MASTER DATA'!V545)</f>
        <v>N</v>
      </c>
      <c r="W61" s="16" t="str">
        <f>IF('MASTER DATA'!W545="","",'MASTER DATA'!W545)</f>
        <v>N</v>
      </c>
      <c r="X61" s="16" t="str">
        <f>IF('MASTER DATA'!X545="","",'MASTER DATA'!X545)</f>
        <v>N</v>
      </c>
      <c r="Y61" s="16" t="str">
        <f>IF('MASTER DATA'!Y545="","",'MASTER DATA'!Y545)</f>
        <v>N</v>
      </c>
      <c r="Z61" s="16" t="str">
        <f>IF('MASTER DATA'!Z545="","",'MASTER DATA'!Z545)</f>
        <v>N</v>
      </c>
      <c r="AA61" s="16">
        <f>IF('MASTER DATA'!AA545="","",'MASTER DATA'!AA545)</f>
        <v>1</v>
      </c>
      <c r="AB61" s="16" t="str">
        <f>IF('MASTER DATA'!AB545="","",'MASTER DATA'!AB545)</f>
        <v>SINGLE-SIGNAL</v>
      </c>
      <c r="AC61" s="16" t="str">
        <f>IF('MASTER DATA'!AC545="","",'MASTER DATA'!AC545)</f>
        <v>Settlement Authorization</v>
      </c>
    </row>
    <row r="62" spans="1:29" x14ac:dyDescent="0.45">
      <c r="A62" t="str">
        <f>IF('MASTER DATA'!A546="","",'MASTER DATA'!A546)</f>
        <v>SYN-CLM-0545</v>
      </c>
      <c r="B62" t="str">
        <f>IF('MASTER DATA'!B546="","",'MASTER DATA'!B546)</f>
        <v>Synthetic Claimant 0545</v>
      </c>
      <c r="C62" t="str">
        <f>IF('MASTER DATA'!C546="","",'MASTER DATA'!C546)</f>
        <v>Claims Analyst L</v>
      </c>
      <c r="D62" t="str">
        <f>IF('MASTER DATA'!D546="","",'MASTER DATA'!D546)</f>
        <v>Synthetic Policyholder 081, LLC</v>
      </c>
      <c r="E62" s="15">
        <f>IF('MASTER DATA'!E546="","",'MASTER DATA'!E546)</f>
        <v>43567</v>
      </c>
      <c r="F62" s="16" t="str">
        <f>IF('MASTER DATA'!F546="","",'MASTER DATA'!F546)</f>
        <v>Y</v>
      </c>
      <c r="G62" s="17">
        <f>IF('MASTER DATA'!G546="","",'MASTER DATA'!G546)</f>
        <v>31750</v>
      </c>
      <c r="H62" s="16" t="str">
        <f>IF('MASTER DATA'!H546="","",'MASTER DATA'!H546)</f>
        <v>Synthetic Approver 04</v>
      </c>
      <c r="I62" s="15">
        <f>IF('MASTER DATA'!I546="","",'MASTER DATA'!I546)</f>
        <v>44707</v>
      </c>
      <c r="J62" s="16" t="str">
        <f>IF('MASTER DATA'!J546="","",'MASTER DATA'!J546)</f>
        <v>N</v>
      </c>
      <c r="K62" s="15" t="str">
        <f>IF('MASTER DATA'!K546="","",'MASTER DATA'!K546)</f>
        <v/>
      </c>
      <c r="L62" s="16" t="str">
        <f>IF('MASTER DATA'!L546="","",'MASTER DATA'!L546)</f>
        <v>Y</v>
      </c>
      <c r="M62" s="16" t="str">
        <f>IF('MASTER DATA'!M546="","",'MASTER DATA'!M546)</f>
        <v>N</v>
      </c>
      <c r="N62" s="15" t="str">
        <f>IF('MASTER DATA'!N546="","",'MASTER DATA'!N546)</f>
        <v/>
      </c>
      <c r="O62" s="16" t="str">
        <f>IF('MASTER DATA'!O546="","",'MASTER DATA'!O546)</f>
        <v/>
      </c>
      <c r="P62" s="16" t="str">
        <f>IF('MASTER DATA'!P546="","",'MASTER DATA'!P546)</f>
        <v>N</v>
      </c>
      <c r="Q62" s="16" t="str">
        <f>IF('MASTER DATA'!Q546="","",'MASTER DATA'!Q546)</f>
        <v/>
      </c>
      <c r="R62" s="16" t="str">
        <f>IF('MASTER DATA'!R546="","",'MASTER DATA'!R546)</f>
        <v/>
      </c>
      <c r="S62" s="16" t="str">
        <f>IF('MASTER DATA'!S546="","",'MASTER DATA'!S546)</f>
        <v>N</v>
      </c>
      <c r="T62" s="15" t="str">
        <f>IF('MASTER DATA'!T546="","",'MASTER DATA'!T546)</f>
        <v/>
      </c>
      <c r="U62" s="16" t="str">
        <f>IF('MASTER DATA'!U546="","",'MASTER DATA'!U546)</f>
        <v>N</v>
      </c>
      <c r="V62" s="16" t="str">
        <f>IF('MASTER DATA'!V546="","",'MASTER DATA'!V546)</f>
        <v>N</v>
      </c>
      <c r="W62" s="16" t="str">
        <f>IF('MASTER DATA'!W546="","",'MASTER DATA'!W546)</f>
        <v>N</v>
      </c>
      <c r="X62" s="16" t="str">
        <f>IF('MASTER DATA'!X546="","",'MASTER DATA'!X546)</f>
        <v>N</v>
      </c>
      <c r="Y62" s="16" t="str">
        <f>IF('MASTER DATA'!Y546="","",'MASTER DATA'!Y546)</f>
        <v>N</v>
      </c>
      <c r="Z62" s="16" t="str">
        <f>IF('MASTER DATA'!Z546="","",'MASTER DATA'!Z546)</f>
        <v>N</v>
      </c>
      <c r="AA62" s="16">
        <f>IF('MASTER DATA'!AA546="","",'MASTER DATA'!AA546)</f>
        <v>1</v>
      </c>
      <c r="AB62" s="16" t="str">
        <f>IF('MASTER DATA'!AB546="","",'MASTER DATA'!AB546)</f>
        <v>SINGLE-SIGNAL</v>
      </c>
      <c r="AC62" s="16" t="str">
        <f>IF('MASTER DATA'!AC546="","",'MASTER DATA'!AC546)</f>
        <v>Settlement Authorization</v>
      </c>
    </row>
    <row r="63" spans="1:29" x14ac:dyDescent="0.45">
      <c r="A63" t="str">
        <f>IF('MASTER DATA'!A547="","",'MASTER DATA'!A547)</f>
        <v>SYN-CLM-0546</v>
      </c>
      <c r="B63" t="str">
        <f>IF('MASTER DATA'!B547="","",'MASTER DATA'!B547)</f>
        <v>Synthetic Claimant 0546</v>
      </c>
      <c r="C63" t="str">
        <f>IF('MASTER DATA'!C547="","",'MASTER DATA'!C547)</f>
        <v>Claims Analyst L</v>
      </c>
      <c r="D63" t="str">
        <f>IF('MASTER DATA'!D547="","",'MASTER DATA'!D547)</f>
        <v>Synthetic Policyholder 138, LLC</v>
      </c>
      <c r="E63" s="15">
        <f>IF('MASTER DATA'!E547="","",'MASTER DATA'!E547)</f>
        <v>45513</v>
      </c>
      <c r="F63" s="16" t="str">
        <f>IF('MASTER DATA'!F547="","",'MASTER DATA'!F547)</f>
        <v>Y</v>
      </c>
      <c r="G63" s="17">
        <f>IF('MASTER DATA'!G547="","",'MASTER DATA'!G547)</f>
        <v>47000</v>
      </c>
      <c r="H63" s="16" t="str">
        <f>IF('MASTER DATA'!H547="","",'MASTER DATA'!H547)</f>
        <v>Synthetic Approver 03</v>
      </c>
      <c r="I63" s="15">
        <f>IF('MASTER DATA'!I547="","",'MASTER DATA'!I547)</f>
        <v>46617</v>
      </c>
      <c r="J63" s="16" t="str">
        <f>IF('MASTER DATA'!J547="","",'MASTER DATA'!J547)</f>
        <v>N</v>
      </c>
      <c r="K63" s="15" t="str">
        <f>IF('MASTER DATA'!K547="","",'MASTER DATA'!K547)</f>
        <v/>
      </c>
      <c r="L63" s="16" t="str">
        <f>IF('MASTER DATA'!L547="","",'MASTER DATA'!L547)</f>
        <v>Y</v>
      </c>
      <c r="M63" s="16" t="str">
        <f>IF('MASTER DATA'!M547="","",'MASTER DATA'!M547)</f>
        <v>N</v>
      </c>
      <c r="N63" s="15" t="str">
        <f>IF('MASTER DATA'!N547="","",'MASTER DATA'!N547)</f>
        <v/>
      </c>
      <c r="O63" s="16" t="str">
        <f>IF('MASTER DATA'!O547="","",'MASTER DATA'!O547)</f>
        <v/>
      </c>
      <c r="P63" s="16" t="str">
        <f>IF('MASTER DATA'!P547="","",'MASTER DATA'!P547)</f>
        <v>N</v>
      </c>
      <c r="Q63" s="16" t="str">
        <f>IF('MASTER DATA'!Q547="","",'MASTER DATA'!Q547)</f>
        <v/>
      </c>
      <c r="R63" s="16" t="str">
        <f>IF('MASTER DATA'!R547="","",'MASTER DATA'!R547)</f>
        <v/>
      </c>
      <c r="S63" s="16" t="str">
        <f>IF('MASTER DATA'!S547="","",'MASTER DATA'!S547)</f>
        <v>N</v>
      </c>
      <c r="T63" s="15" t="str">
        <f>IF('MASTER DATA'!T547="","",'MASTER DATA'!T547)</f>
        <v/>
      </c>
      <c r="U63" s="16" t="str">
        <f>IF('MASTER DATA'!U547="","",'MASTER DATA'!U547)</f>
        <v>N</v>
      </c>
      <c r="V63" s="16" t="str">
        <f>IF('MASTER DATA'!V547="","",'MASTER DATA'!V547)</f>
        <v>N</v>
      </c>
      <c r="W63" s="16" t="str">
        <f>IF('MASTER DATA'!W547="","",'MASTER DATA'!W547)</f>
        <v>N</v>
      </c>
      <c r="X63" s="16" t="str">
        <f>IF('MASTER DATA'!X547="","",'MASTER DATA'!X547)</f>
        <v>N</v>
      </c>
      <c r="Y63" s="16" t="str">
        <f>IF('MASTER DATA'!Y547="","",'MASTER DATA'!Y547)</f>
        <v>N</v>
      </c>
      <c r="Z63" s="16" t="str">
        <f>IF('MASTER DATA'!Z547="","",'MASTER DATA'!Z547)</f>
        <v>N</v>
      </c>
      <c r="AA63" s="16">
        <f>IF('MASTER DATA'!AA547="","",'MASTER DATA'!AA547)</f>
        <v>1</v>
      </c>
      <c r="AB63" s="16" t="str">
        <f>IF('MASTER DATA'!AB547="","",'MASTER DATA'!AB547)</f>
        <v>SINGLE-SIGNAL</v>
      </c>
      <c r="AC63" s="16" t="str">
        <f>IF('MASTER DATA'!AC547="","",'MASTER DATA'!AC547)</f>
        <v>Settlement Authorization</v>
      </c>
    </row>
    <row r="64" spans="1:29" x14ac:dyDescent="0.45">
      <c r="A64" t="str">
        <f>IF('MASTER DATA'!A548="","",'MASTER DATA'!A548)</f>
        <v>SYN-CLM-0547</v>
      </c>
      <c r="B64" t="str">
        <f>IF('MASTER DATA'!B548="","",'MASTER DATA'!B548)</f>
        <v>Synthetic Claimant 0547</v>
      </c>
      <c r="C64" t="str">
        <f>IF('MASTER DATA'!C548="","",'MASTER DATA'!C548)</f>
        <v>Claims Analyst L</v>
      </c>
      <c r="D64" t="str">
        <f>IF('MASTER DATA'!D548="","",'MASTER DATA'!D548)</f>
        <v>Synthetic Policyholder 096, LLC</v>
      </c>
      <c r="E64" s="15">
        <f>IF('MASTER DATA'!E548="","",'MASTER DATA'!E548)</f>
        <v>44516</v>
      </c>
      <c r="F64" s="16" t="str">
        <f>IF('MASTER DATA'!F548="","",'MASTER DATA'!F548)</f>
        <v>N</v>
      </c>
      <c r="G64" s="17" t="str">
        <f>IF('MASTER DATA'!G548="","",'MASTER DATA'!G548)</f>
        <v/>
      </c>
      <c r="H64" s="16" t="str">
        <f>IF('MASTER DATA'!H548="","",'MASTER DATA'!H548)</f>
        <v/>
      </c>
      <c r="I64" s="15" t="str">
        <f>IF('MASTER DATA'!I548="","",'MASTER DATA'!I548)</f>
        <v/>
      </c>
      <c r="J64" s="16" t="str">
        <f>IF('MASTER DATA'!J548="","",'MASTER DATA'!J548)</f>
        <v>N</v>
      </c>
      <c r="K64" s="15" t="str">
        <f>IF('MASTER DATA'!K548="","",'MASTER DATA'!K548)</f>
        <v/>
      </c>
      <c r="L64" s="16" t="str">
        <f>IF('MASTER DATA'!L548="","",'MASTER DATA'!L548)</f>
        <v/>
      </c>
      <c r="M64" s="16" t="str">
        <f>IF('MASTER DATA'!M548="","",'MASTER DATA'!M548)</f>
        <v>N</v>
      </c>
      <c r="N64" s="15" t="str">
        <f>IF('MASTER DATA'!N548="","",'MASTER DATA'!N548)</f>
        <v/>
      </c>
      <c r="O64" s="16" t="str">
        <f>IF('MASTER DATA'!O548="","",'MASTER DATA'!O548)</f>
        <v/>
      </c>
      <c r="P64" s="16" t="str">
        <f>IF('MASTER DATA'!P548="","",'MASTER DATA'!P548)</f>
        <v>Y</v>
      </c>
      <c r="Q64" s="16" t="str">
        <f>IF('MASTER DATA'!Q548="","",'MASTER DATA'!Q548)</f>
        <v>Denied Treatment Requests; Surgery Requested; Non-Renewed Account</v>
      </c>
      <c r="R64" s="16" t="str">
        <f>IF('MASTER DATA'!R548="","",'MASTER DATA'!R548)</f>
        <v>MMI Date Reported</v>
      </c>
      <c r="S64" s="16" t="str">
        <f>IF('MASTER DATA'!S548="","",'MASTER DATA'!S548)</f>
        <v>N</v>
      </c>
      <c r="T64" s="15" t="str">
        <f>IF('MASTER DATA'!T548="","",'MASTER DATA'!T548)</f>
        <v/>
      </c>
      <c r="U64" s="16" t="str">
        <f>IF('MASTER DATA'!U548="","",'MASTER DATA'!U548)</f>
        <v>Y</v>
      </c>
      <c r="V64" s="16" t="str">
        <f>IF('MASTER DATA'!V548="","",'MASTER DATA'!V548)</f>
        <v>Y</v>
      </c>
      <c r="W64" s="16" t="str">
        <f>IF('MASTER DATA'!W548="","",'MASTER DATA'!W548)</f>
        <v>Y</v>
      </c>
      <c r="X64" s="16" t="str">
        <f>IF('MASTER DATA'!X548="","",'MASTER DATA'!X548)</f>
        <v>N</v>
      </c>
      <c r="Y64" s="16" t="str">
        <f>IF('MASTER DATA'!Y548="","",'MASTER DATA'!Y548)</f>
        <v>Y</v>
      </c>
      <c r="Z64" s="16" t="str">
        <f>IF('MASTER DATA'!Z548="","",'MASTER DATA'!Z548)</f>
        <v>N</v>
      </c>
      <c r="AA64" s="16">
        <f>IF('MASTER DATA'!AA548="","",'MASTER DATA'!AA548)</f>
        <v>1</v>
      </c>
      <c r="AB64" s="16" t="str">
        <f>IF('MASTER DATA'!AB548="","",'MASTER DATA'!AB548)</f>
        <v>SINGLE-SIGNAL</v>
      </c>
      <c r="AC64" s="16" t="str">
        <f>IF('MASTER DATA'!AC548="","",'MASTER DATA'!AC548)</f>
        <v>Automated Claim Alert</v>
      </c>
    </row>
    <row r="65" spans="1:29" x14ac:dyDescent="0.45">
      <c r="A65" t="str">
        <f>IF('MASTER DATA'!A549="","",'MASTER DATA'!A549)</f>
        <v>SYN-CLM-0548</v>
      </c>
      <c r="B65" t="str">
        <f>IF('MASTER DATA'!B549="","",'MASTER DATA'!B549)</f>
        <v>Synthetic Claimant 0548</v>
      </c>
      <c r="C65" t="str">
        <f>IF('MASTER DATA'!C549="","",'MASTER DATA'!C549)</f>
        <v>Claims Analyst L</v>
      </c>
      <c r="D65" t="str">
        <f>IF('MASTER DATA'!D549="","",'MASTER DATA'!D549)</f>
        <v>Synthetic Policyholder 085, LLC</v>
      </c>
      <c r="E65" s="15">
        <f>IF('MASTER DATA'!E549="","",'MASTER DATA'!E549)</f>
        <v>44660</v>
      </c>
      <c r="F65" s="16" t="str">
        <f>IF('MASTER DATA'!F549="","",'MASTER DATA'!F549)</f>
        <v>N</v>
      </c>
      <c r="G65" s="17" t="str">
        <f>IF('MASTER DATA'!G549="","",'MASTER DATA'!G549)</f>
        <v/>
      </c>
      <c r="H65" s="16" t="str">
        <f>IF('MASTER DATA'!H549="","",'MASTER DATA'!H549)</f>
        <v/>
      </c>
      <c r="I65" s="15" t="str">
        <f>IF('MASTER DATA'!I549="","",'MASTER DATA'!I549)</f>
        <v/>
      </c>
      <c r="J65" s="16" t="str">
        <f>IF('MASTER DATA'!J549="","",'MASTER DATA'!J549)</f>
        <v>N</v>
      </c>
      <c r="K65" s="15" t="str">
        <f>IF('MASTER DATA'!K549="","",'MASTER DATA'!K549)</f>
        <v/>
      </c>
      <c r="L65" s="16" t="str">
        <f>IF('MASTER DATA'!L549="","",'MASTER DATA'!L549)</f>
        <v/>
      </c>
      <c r="M65" s="16" t="str">
        <f>IF('MASTER DATA'!M549="","",'MASTER DATA'!M549)</f>
        <v>Y</v>
      </c>
      <c r="N65" s="15">
        <f>IF('MASTER DATA'!N549="","",'MASTER DATA'!N549)</f>
        <v>45851</v>
      </c>
      <c r="O65" s="16" t="str">
        <f>IF('MASTER DATA'!O549="","",'MASTER DATA'!O549)</f>
        <v>Synthetic QME Evaluator 25</v>
      </c>
      <c r="P65" s="16" t="str">
        <f>IF('MASTER DATA'!P549="","",'MASTER DATA'!P549)</f>
        <v>N</v>
      </c>
      <c r="Q65" s="16" t="str">
        <f>IF('MASTER DATA'!Q549="","",'MASTER DATA'!Q549)</f>
        <v/>
      </c>
      <c r="R65" s="16" t="str">
        <f>IF('MASTER DATA'!R549="","",'MASTER DATA'!R549)</f>
        <v/>
      </c>
      <c r="S65" s="16" t="str">
        <f>IF('MASTER DATA'!S549="","",'MASTER DATA'!S549)</f>
        <v>N</v>
      </c>
      <c r="T65" s="15" t="str">
        <f>IF('MASTER DATA'!T549="","",'MASTER DATA'!T549)</f>
        <v/>
      </c>
      <c r="U65" s="16" t="str">
        <f>IF('MASTER DATA'!U549="","",'MASTER DATA'!U549)</f>
        <v>N</v>
      </c>
      <c r="V65" s="16" t="str">
        <f>IF('MASTER DATA'!V549="","",'MASTER DATA'!V549)</f>
        <v>N</v>
      </c>
      <c r="W65" s="16" t="str">
        <f>IF('MASTER DATA'!W549="","",'MASTER DATA'!W549)</f>
        <v>N</v>
      </c>
      <c r="X65" s="16" t="str">
        <f>IF('MASTER DATA'!X549="","",'MASTER DATA'!X549)</f>
        <v>N</v>
      </c>
      <c r="Y65" s="16" t="str">
        <f>IF('MASTER DATA'!Y549="","",'MASTER DATA'!Y549)</f>
        <v>N</v>
      </c>
      <c r="Z65" s="16" t="str">
        <f>IF('MASTER DATA'!Z549="","",'MASTER DATA'!Z549)</f>
        <v>N</v>
      </c>
      <c r="AA65" s="16">
        <f>IF('MASTER DATA'!AA549="","",'MASTER DATA'!AA549)</f>
        <v>1</v>
      </c>
      <c r="AB65" s="16" t="str">
        <f>IF('MASTER DATA'!AB549="","",'MASTER DATA'!AB549)</f>
        <v>SINGLE-SIGNAL</v>
      </c>
      <c r="AC65" s="16" t="str">
        <f>IF('MASTER DATA'!AC549="","",'MASTER DATA'!AC549)</f>
        <v>Pending QME</v>
      </c>
    </row>
    <row r="66" spans="1:29" x14ac:dyDescent="0.45">
      <c r="A66" t="str">
        <f>IF('MASTER DATA'!A550="","",'MASTER DATA'!A550)</f>
        <v>SYN-CLM-0549</v>
      </c>
      <c r="B66" t="str">
        <f>IF('MASTER DATA'!B550="","",'MASTER DATA'!B550)</f>
        <v>Synthetic Claimant 0549</v>
      </c>
      <c r="C66" t="str">
        <f>IF('MASTER DATA'!C550="","",'MASTER DATA'!C550)</f>
        <v>Claims Analyst L</v>
      </c>
      <c r="D66" t="str">
        <f>IF('MASTER DATA'!D550="","",'MASTER DATA'!D550)</f>
        <v>Synthetic Policyholder 079, LLC</v>
      </c>
      <c r="E66" s="15">
        <f>IF('MASTER DATA'!E550="","",'MASTER DATA'!E550)</f>
        <v>43737</v>
      </c>
      <c r="F66" s="16" t="str">
        <f>IF('MASTER DATA'!F550="","",'MASTER DATA'!F550)</f>
        <v>Y</v>
      </c>
      <c r="G66" s="17">
        <f>IF('MASTER DATA'!G550="","",'MASTER DATA'!G550)</f>
        <v>80750</v>
      </c>
      <c r="H66" s="16" t="str">
        <f>IF('MASTER DATA'!H550="","",'MASTER DATA'!H550)</f>
        <v>Synthetic Approver 02</v>
      </c>
      <c r="I66" s="15">
        <f>IF('MASTER DATA'!I550="","",'MASTER DATA'!I550)</f>
        <v>43941</v>
      </c>
      <c r="J66" s="16" t="str">
        <f>IF('MASTER DATA'!J550="","",'MASTER DATA'!J550)</f>
        <v>N</v>
      </c>
      <c r="K66" s="15" t="str">
        <f>IF('MASTER DATA'!K550="","",'MASTER DATA'!K550)</f>
        <v/>
      </c>
      <c r="L66" s="16" t="str">
        <f>IF('MASTER DATA'!L550="","",'MASTER DATA'!L550)</f>
        <v>N</v>
      </c>
      <c r="M66" s="16" t="str">
        <f>IF('MASTER DATA'!M550="","",'MASTER DATA'!M550)</f>
        <v>N</v>
      </c>
      <c r="N66" s="15" t="str">
        <f>IF('MASTER DATA'!N550="","",'MASTER DATA'!N550)</f>
        <v/>
      </c>
      <c r="O66" s="16" t="str">
        <f>IF('MASTER DATA'!O550="","",'MASTER DATA'!O550)</f>
        <v/>
      </c>
      <c r="P66" s="16" t="str">
        <f>IF('MASTER DATA'!P550="","",'MASTER DATA'!P550)</f>
        <v>N</v>
      </c>
      <c r="Q66" s="16" t="str">
        <f>IF('MASTER DATA'!Q550="","",'MASTER DATA'!Q550)</f>
        <v/>
      </c>
      <c r="R66" s="16" t="str">
        <f>IF('MASTER DATA'!R550="","",'MASTER DATA'!R550)</f>
        <v/>
      </c>
      <c r="S66" s="16" t="str">
        <f>IF('MASTER DATA'!S550="","",'MASTER DATA'!S550)</f>
        <v>N</v>
      </c>
      <c r="T66" s="15" t="str">
        <f>IF('MASTER DATA'!T550="","",'MASTER DATA'!T550)</f>
        <v/>
      </c>
      <c r="U66" s="16" t="str">
        <f>IF('MASTER DATA'!U550="","",'MASTER DATA'!U550)</f>
        <v>N</v>
      </c>
      <c r="V66" s="16" t="str">
        <f>IF('MASTER DATA'!V550="","",'MASTER DATA'!V550)</f>
        <v>N</v>
      </c>
      <c r="W66" s="16" t="str">
        <f>IF('MASTER DATA'!W550="","",'MASTER DATA'!W550)</f>
        <v>N</v>
      </c>
      <c r="X66" s="16" t="str">
        <f>IF('MASTER DATA'!X550="","",'MASTER DATA'!X550)</f>
        <v>N</v>
      </c>
      <c r="Y66" s="16" t="str">
        <f>IF('MASTER DATA'!Y550="","",'MASTER DATA'!Y550)</f>
        <v>N</v>
      </c>
      <c r="Z66" s="16" t="str">
        <f>IF('MASTER DATA'!Z550="","",'MASTER DATA'!Z550)</f>
        <v>N</v>
      </c>
      <c r="AA66" s="16">
        <f>IF('MASTER DATA'!AA550="","",'MASTER DATA'!AA550)</f>
        <v>1</v>
      </c>
      <c r="AB66" s="16" t="str">
        <f>IF('MASTER DATA'!AB550="","",'MASTER DATA'!AB550)</f>
        <v>SINGLE-SIGNAL</v>
      </c>
      <c r="AC66" s="16" t="str">
        <f>IF('MASTER DATA'!AC550="","",'MASTER DATA'!AC550)</f>
        <v>Settlement Authorization</v>
      </c>
    </row>
    <row r="67" spans="1:29" x14ac:dyDescent="0.45">
      <c r="A67" t="str">
        <f>IF('MASTER DATA'!A551="","",'MASTER DATA'!A551)</f>
        <v>SYN-CLM-0550</v>
      </c>
      <c r="B67" t="str">
        <f>IF('MASTER DATA'!B551="","",'MASTER DATA'!B551)</f>
        <v>Synthetic Claimant 0550</v>
      </c>
      <c r="C67" t="str">
        <f>IF('MASTER DATA'!C551="","",'MASTER DATA'!C551)</f>
        <v>Claims Analyst L</v>
      </c>
      <c r="D67" t="str">
        <f>IF('MASTER DATA'!D551="","",'MASTER DATA'!D551)</f>
        <v>Synthetic Policyholder 099, LLC</v>
      </c>
      <c r="E67" s="15">
        <f>IF('MASTER DATA'!E551="","",'MASTER DATA'!E551)</f>
        <v>45755</v>
      </c>
      <c r="F67" s="16" t="str">
        <f>IF('MASTER DATA'!F551="","",'MASTER DATA'!F551)</f>
        <v>N</v>
      </c>
      <c r="G67" s="17" t="str">
        <f>IF('MASTER DATA'!G551="","",'MASTER DATA'!G551)</f>
        <v/>
      </c>
      <c r="H67" s="16" t="str">
        <f>IF('MASTER DATA'!H551="","",'MASTER DATA'!H551)</f>
        <v/>
      </c>
      <c r="I67" s="15" t="str">
        <f>IF('MASTER DATA'!I551="","",'MASTER DATA'!I551)</f>
        <v/>
      </c>
      <c r="J67" s="16" t="str">
        <f>IF('MASTER DATA'!J551="","",'MASTER DATA'!J551)</f>
        <v>N</v>
      </c>
      <c r="K67" s="15" t="str">
        <f>IF('MASTER DATA'!K551="","",'MASTER DATA'!K551)</f>
        <v/>
      </c>
      <c r="L67" s="16" t="str">
        <f>IF('MASTER DATA'!L551="","",'MASTER DATA'!L551)</f>
        <v/>
      </c>
      <c r="M67" s="16" t="str">
        <f>IF('MASTER DATA'!M551="","",'MASTER DATA'!M551)</f>
        <v>N</v>
      </c>
      <c r="N67" s="15" t="str">
        <f>IF('MASTER DATA'!N551="","",'MASTER DATA'!N551)</f>
        <v/>
      </c>
      <c r="O67" s="16" t="str">
        <f>IF('MASTER DATA'!O551="","",'MASTER DATA'!O551)</f>
        <v/>
      </c>
      <c r="P67" s="16" t="str">
        <f>IF('MASTER DATA'!P551="","",'MASTER DATA'!P551)</f>
        <v>N</v>
      </c>
      <c r="Q67" s="16" t="str">
        <f>IF('MASTER DATA'!Q551="","",'MASTER DATA'!Q551)</f>
        <v/>
      </c>
      <c r="R67" s="16" t="str">
        <f>IF('MASTER DATA'!R551="","",'MASTER DATA'!R551)</f>
        <v/>
      </c>
      <c r="S67" s="16" t="str">
        <f>IF('MASTER DATA'!S551="","",'MASTER DATA'!S551)</f>
        <v>Y</v>
      </c>
      <c r="T67" s="15">
        <f>IF('MASTER DATA'!T551="","",'MASTER DATA'!T551)</f>
        <v>46137</v>
      </c>
      <c r="U67" s="16" t="str">
        <f>IF('MASTER DATA'!U551="","",'MASTER DATA'!U551)</f>
        <v>N</v>
      </c>
      <c r="V67" s="16" t="str">
        <f>IF('MASTER DATA'!V551="","",'MASTER DATA'!V551)</f>
        <v>N</v>
      </c>
      <c r="W67" s="16" t="str">
        <f>IF('MASTER DATA'!W551="","",'MASTER DATA'!W551)</f>
        <v>N</v>
      </c>
      <c r="X67" s="16" t="str">
        <f>IF('MASTER DATA'!X551="","",'MASTER DATA'!X551)</f>
        <v>N</v>
      </c>
      <c r="Y67" s="16" t="str">
        <f>IF('MASTER DATA'!Y551="","",'MASTER DATA'!Y551)</f>
        <v>N</v>
      </c>
      <c r="Z67" s="16" t="str">
        <f>IF('MASTER DATA'!Z551="","",'MASTER DATA'!Z551)</f>
        <v>N</v>
      </c>
      <c r="AA67" s="16">
        <f>IF('MASTER DATA'!AA551="","",'MASTER DATA'!AA551)</f>
        <v>1</v>
      </c>
      <c r="AB67" s="16" t="str">
        <f>IF('MASTER DATA'!AB551="","",'MASTER DATA'!AB551)</f>
        <v>SINGLE-SIGNAL</v>
      </c>
      <c r="AC67" s="16" t="str">
        <f>IF('MASTER DATA'!AC551="","",'MASTER DATA'!AC551)</f>
        <v>Inactive Customer</v>
      </c>
    </row>
    <row r="68" spans="1:29" x14ac:dyDescent="0.45">
      <c r="A68" t="str">
        <f>IF('MASTER DATA'!A552="","",'MASTER DATA'!A552)</f>
        <v>SYN-CLM-0551</v>
      </c>
      <c r="B68" t="str">
        <f>IF('MASTER DATA'!B552="","",'MASTER DATA'!B552)</f>
        <v>Synthetic Claimant 0551</v>
      </c>
      <c r="C68" t="str">
        <f>IF('MASTER DATA'!C552="","",'MASTER DATA'!C552)</f>
        <v>Claims Analyst L</v>
      </c>
      <c r="D68" t="str">
        <f>IF('MASTER DATA'!D552="","",'MASTER DATA'!D552)</f>
        <v>Synthetic Policyholder 140, LLC</v>
      </c>
      <c r="E68" s="15">
        <f>IF('MASTER DATA'!E552="","",'MASTER DATA'!E552)</f>
        <v>45104</v>
      </c>
      <c r="F68" s="16" t="str">
        <f>IF('MASTER DATA'!F552="","",'MASTER DATA'!F552)</f>
        <v>N</v>
      </c>
      <c r="G68" s="17" t="str">
        <f>IF('MASTER DATA'!G552="","",'MASTER DATA'!G552)</f>
        <v/>
      </c>
      <c r="H68" s="16" t="str">
        <f>IF('MASTER DATA'!H552="","",'MASTER DATA'!H552)</f>
        <v/>
      </c>
      <c r="I68" s="15" t="str">
        <f>IF('MASTER DATA'!I552="","",'MASTER DATA'!I552)</f>
        <v/>
      </c>
      <c r="J68" s="16" t="str">
        <f>IF('MASTER DATA'!J552="","",'MASTER DATA'!J552)</f>
        <v>N</v>
      </c>
      <c r="K68" s="15" t="str">
        <f>IF('MASTER DATA'!K552="","",'MASTER DATA'!K552)</f>
        <v/>
      </c>
      <c r="L68" s="16" t="str">
        <f>IF('MASTER DATA'!L552="","",'MASTER DATA'!L552)</f>
        <v/>
      </c>
      <c r="M68" s="16" t="str">
        <f>IF('MASTER DATA'!M552="","",'MASTER DATA'!M552)</f>
        <v>N</v>
      </c>
      <c r="N68" s="15" t="str">
        <f>IF('MASTER DATA'!N552="","",'MASTER DATA'!N552)</f>
        <v/>
      </c>
      <c r="O68" s="16" t="str">
        <f>IF('MASTER DATA'!O552="","",'MASTER DATA'!O552)</f>
        <v/>
      </c>
      <c r="P68" s="16" t="str">
        <f>IF('MASTER DATA'!P552="","",'MASTER DATA'!P552)</f>
        <v>N</v>
      </c>
      <c r="Q68" s="16" t="str">
        <f>IF('MASTER DATA'!Q552="","",'MASTER DATA'!Q552)</f>
        <v/>
      </c>
      <c r="R68" s="16" t="str">
        <f>IF('MASTER DATA'!R552="","",'MASTER DATA'!R552)</f>
        <v/>
      </c>
      <c r="S68" s="16" t="str">
        <f>IF('MASTER DATA'!S552="","",'MASTER DATA'!S552)</f>
        <v>Y</v>
      </c>
      <c r="T68" s="15">
        <f>IF('MASTER DATA'!T552="","",'MASTER DATA'!T552)</f>
        <v>47177</v>
      </c>
      <c r="U68" s="16" t="str">
        <f>IF('MASTER DATA'!U552="","",'MASTER DATA'!U552)</f>
        <v>N</v>
      </c>
      <c r="V68" s="16" t="str">
        <f>IF('MASTER DATA'!V552="","",'MASTER DATA'!V552)</f>
        <v>N</v>
      </c>
      <c r="W68" s="16" t="str">
        <f>IF('MASTER DATA'!W552="","",'MASTER DATA'!W552)</f>
        <v>N</v>
      </c>
      <c r="X68" s="16" t="str">
        <f>IF('MASTER DATA'!X552="","",'MASTER DATA'!X552)</f>
        <v>N</v>
      </c>
      <c r="Y68" s="16" t="str">
        <f>IF('MASTER DATA'!Y552="","",'MASTER DATA'!Y552)</f>
        <v>N</v>
      </c>
      <c r="Z68" s="16" t="str">
        <f>IF('MASTER DATA'!Z552="","",'MASTER DATA'!Z552)</f>
        <v>N</v>
      </c>
      <c r="AA68" s="16">
        <f>IF('MASTER DATA'!AA552="","",'MASTER DATA'!AA552)</f>
        <v>1</v>
      </c>
      <c r="AB68" s="16" t="str">
        <f>IF('MASTER DATA'!AB552="","",'MASTER DATA'!AB552)</f>
        <v>SINGLE-SIGNAL</v>
      </c>
      <c r="AC68" s="16" t="str">
        <f>IF('MASTER DATA'!AC552="","",'MASTER DATA'!AC552)</f>
        <v>Inactive Customer</v>
      </c>
    </row>
    <row r="69" spans="1:29" x14ac:dyDescent="0.45">
      <c r="A69" t="str">
        <f>IF('MASTER DATA'!A553="","",'MASTER DATA'!A553)</f>
        <v>SYN-CLM-0552</v>
      </c>
      <c r="B69" t="str">
        <f>IF('MASTER DATA'!B553="","",'MASTER DATA'!B553)</f>
        <v>Synthetic Claimant 0552</v>
      </c>
      <c r="C69" t="str">
        <f>IF('MASTER DATA'!C553="","",'MASTER DATA'!C553)</f>
        <v>Claims Analyst L</v>
      </c>
      <c r="D69" t="str">
        <f>IF('MASTER DATA'!D553="","",'MASTER DATA'!D553)</f>
        <v>Synthetic Policyholder 047, LLC</v>
      </c>
      <c r="E69" s="15">
        <f>IF('MASTER DATA'!E553="","",'MASTER DATA'!E553)</f>
        <v>43757</v>
      </c>
      <c r="F69" s="16" t="str">
        <f>IF('MASTER DATA'!F553="","",'MASTER DATA'!F553)</f>
        <v>N</v>
      </c>
      <c r="G69" s="17" t="str">
        <f>IF('MASTER DATA'!G553="","",'MASTER DATA'!G553)</f>
        <v/>
      </c>
      <c r="H69" s="16" t="str">
        <f>IF('MASTER DATA'!H553="","",'MASTER DATA'!H553)</f>
        <v/>
      </c>
      <c r="I69" s="15" t="str">
        <f>IF('MASTER DATA'!I553="","",'MASTER DATA'!I553)</f>
        <v/>
      </c>
      <c r="J69" s="16" t="str">
        <f>IF('MASTER DATA'!J553="","",'MASTER DATA'!J553)</f>
        <v>N</v>
      </c>
      <c r="K69" s="15" t="str">
        <f>IF('MASTER DATA'!K553="","",'MASTER DATA'!K553)</f>
        <v/>
      </c>
      <c r="L69" s="16" t="str">
        <f>IF('MASTER DATA'!L553="","",'MASTER DATA'!L553)</f>
        <v/>
      </c>
      <c r="M69" s="16" t="str">
        <f>IF('MASTER DATA'!M553="","",'MASTER DATA'!M553)</f>
        <v>Y</v>
      </c>
      <c r="N69" s="15">
        <f>IF('MASTER DATA'!N553="","",'MASTER DATA'!N553)</f>
        <v>44025</v>
      </c>
      <c r="O69" s="16" t="str">
        <f>IF('MASTER DATA'!O553="","",'MASTER DATA'!O553)</f>
        <v>Synthetic QME Evaluator 27</v>
      </c>
      <c r="P69" s="16" t="str">
        <f>IF('MASTER DATA'!P553="","",'MASTER DATA'!P553)</f>
        <v>N</v>
      </c>
      <c r="Q69" s="16" t="str">
        <f>IF('MASTER DATA'!Q553="","",'MASTER DATA'!Q553)</f>
        <v/>
      </c>
      <c r="R69" s="16" t="str">
        <f>IF('MASTER DATA'!R553="","",'MASTER DATA'!R553)</f>
        <v/>
      </c>
      <c r="S69" s="16" t="str">
        <f>IF('MASTER DATA'!S553="","",'MASTER DATA'!S553)</f>
        <v>N</v>
      </c>
      <c r="T69" s="15" t="str">
        <f>IF('MASTER DATA'!T553="","",'MASTER DATA'!T553)</f>
        <v/>
      </c>
      <c r="U69" s="16" t="str">
        <f>IF('MASTER DATA'!U553="","",'MASTER DATA'!U553)</f>
        <v>N</v>
      </c>
      <c r="V69" s="16" t="str">
        <f>IF('MASTER DATA'!V553="","",'MASTER DATA'!V553)</f>
        <v>N</v>
      </c>
      <c r="W69" s="16" t="str">
        <f>IF('MASTER DATA'!W553="","",'MASTER DATA'!W553)</f>
        <v>N</v>
      </c>
      <c r="X69" s="16" t="str">
        <f>IF('MASTER DATA'!X553="","",'MASTER DATA'!X553)</f>
        <v>N</v>
      </c>
      <c r="Y69" s="16" t="str">
        <f>IF('MASTER DATA'!Y553="","",'MASTER DATA'!Y553)</f>
        <v>N</v>
      </c>
      <c r="Z69" s="16" t="str">
        <f>IF('MASTER DATA'!Z553="","",'MASTER DATA'!Z553)</f>
        <v>N</v>
      </c>
      <c r="AA69" s="16">
        <f>IF('MASTER DATA'!AA553="","",'MASTER DATA'!AA553)</f>
        <v>1</v>
      </c>
      <c r="AB69" s="16" t="str">
        <f>IF('MASTER DATA'!AB553="","",'MASTER DATA'!AB553)</f>
        <v>SINGLE-SIGNAL</v>
      </c>
      <c r="AC69" s="16" t="str">
        <f>IF('MASTER DATA'!AC553="","",'MASTER DATA'!AC553)</f>
        <v>Pending QME</v>
      </c>
    </row>
    <row r="70" spans="1:29" x14ac:dyDescent="0.45">
      <c r="A70" t="str">
        <f>IF('MASTER DATA'!A554="","",'MASTER DATA'!A554)</f>
        <v>SYN-CLM-0553</v>
      </c>
      <c r="B70" t="str">
        <f>IF('MASTER DATA'!B554="","",'MASTER DATA'!B554)</f>
        <v>Synthetic Claimant 0553</v>
      </c>
      <c r="C70" t="str">
        <f>IF('MASTER DATA'!C554="","",'MASTER DATA'!C554)</f>
        <v>Claims Analyst L</v>
      </c>
      <c r="D70" t="str">
        <f>IF('MASTER DATA'!D554="","",'MASTER DATA'!D554)</f>
        <v>Synthetic Policyholder 046, LLC</v>
      </c>
      <c r="E70" s="15">
        <f>IF('MASTER DATA'!E554="","",'MASTER DATA'!E554)</f>
        <v>44846</v>
      </c>
      <c r="F70" s="16" t="str">
        <f>IF('MASTER DATA'!F554="","",'MASTER DATA'!F554)</f>
        <v>Y</v>
      </c>
      <c r="G70" s="17">
        <f>IF('MASTER DATA'!G554="","",'MASTER DATA'!G554)</f>
        <v>155000</v>
      </c>
      <c r="H70" s="16" t="str">
        <f>IF('MASTER DATA'!H554="","",'MASTER DATA'!H554)</f>
        <v>Synthetic Approver 10</v>
      </c>
      <c r="I70" s="15">
        <f>IF('MASTER DATA'!I554="","",'MASTER DATA'!I554)</f>
        <v>45055</v>
      </c>
      <c r="J70" s="16" t="str">
        <f>IF('MASTER DATA'!J554="","",'MASTER DATA'!J554)</f>
        <v>N</v>
      </c>
      <c r="K70" s="15" t="str">
        <f>IF('MASTER DATA'!K554="","",'MASTER DATA'!K554)</f>
        <v/>
      </c>
      <c r="L70" s="16" t="str">
        <f>IF('MASTER DATA'!L554="","",'MASTER DATA'!L554)</f>
        <v>Y</v>
      </c>
      <c r="M70" s="16" t="str">
        <f>IF('MASTER DATA'!M554="","",'MASTER DATA'!M554)</f>
        <v>N</v>
      </c>
      <c r="N70" s="15" t="str">
        <f>IF('MASTER DATA'!N554="","",'MASTER DATA'!N554)</f>
        <v/>
      </c>
      <c r="O70" s="16" t="str">
        <f>IF('MASTER DATA'!O554="","",'MASTER DATA'!O554)</f>
        <v/>
      </c>
      <c r="P70" s="16" t="str">
        <f>IF('MASTER DATA'!P554="","",'MASTER DATA'!P554)</f>
        <v>Y</v>
      </c>
      <c r="Q70" s="16" t="str">
        <f>IF('MASTER DATA'!Q554="","",'MASTER DATA'!Q554)</f>
        <v>Non-Renewed Account; MSA Eligible in Next 3 Years</v>
      </c>
      <c r="R70" s="16" t="str">
        <f>IF('MASTER DATA'!R554="","",'MASTER DATA'!R554)</f>
        <v>MMI Date Reported; Denied Treatment Requests</v>
      </c>
      <c r="S70" s="16" t="str">
        <f>IF('MASTER DATA'!S554="","",'MASTER DATA'!S554)</f>
        <v>N</v>
      </c>
      <c r="T70" s="15" t="str">
        <f>IF('MASTER DATA'!T554="","",'MASTER DATA'!T554)</f>
        <v/>
      </c>
      <c r="U70" s="16" t="str">
        <f>IF('MASTER DATA'!U554="","",'MASTER DATA'!U554)</f>
        <v>N</v>
      </c>
      <c r="V70" s="16" t="str">
        <f>IF('MASTER DATA'!V554="","",'MASTER DATA'!V554)</f>
        <v>Y</v>
      </c>
      <c r="W70" s="16" t="str">
        <f>IF('MASTER DATA'!W554="","",'MASTER DATA'!W554)</f>
        <v>Y</v>
      </c>
      <c r="X70" s="16" t="str">
        <f>IF('MASTER DATA'!X554="","",'MASTER DATA'!X554)</f>
        <v>N</v>
      </c>
      <c r="Y70" s="16" t="str">
        <f>IF('MASTER DATA'!Y554="","",'MASTER DATA'!Y554)</f>
        <v>Y</v>
      </c>
      <c r="Z70" s="16" t="str">
        <f>IF('MASTER DATA'!Z554="","",'MASTER DATA'!Z554)</f>
        <v>Y</v>
      </c>
      <c r="AA70" s="16">
        <f>IF('MASTER DATA'!AA554="","",'MASTER DATA'!AA554)</f>
        <v>2</v>
      </c>
      <c r="AB70" s="16" t="str">
        <f>IF('MASTER DATA'!AB554="","",'MASTER DATA'!AB554)</f>
        <v>MULTI-SIGNAL</v>
      </c>
      <c r="AC70" s="16" t="str">
        <f>IF('MASTER DATA'!AC554="","",'MASTER DATA'!AC554)</f>
        <v>Settlement Authorization | Automated Claim Alert</v>
      </c>
    </row>
    <row r="71" spans="1:29" x14ac:dyDescent="0.45">
      <c r="A71" t="str">
        <f>IF('MASTER DATA'!A555="","",'MASTER DATA'!A555)</f>
        <v>SYN-CLM-0554</v>
      </c>
      <c r="B71" t="str">
        <f>IF('MASTER DATA'!B555="","",'MASTER DATA'!B555)</f>
        <v>Synthetic Claimant 0554</v>
      </c>
      <c r="C71" t="str">
        <f>IF('MASTER DATA'!C555="","",'MASTER DATA'!C555)</f>
        <v>Claims Analyst L</v>
      </c>
      <c r="D71" t="str">
        <f>IF('MASTER DATA'!D555="","",'MASTER DATA'!D555)</f>
        <v>Synthetic Policyholder 066, LLC</v>
      </c>
      <c r="E71" s="15">
        <f>IF('MASTER DATA'!E555="","",'MASTER DATA'!E555)</f>
        <v>43326</v>
      </c>
      <c r="F71" s="16" t="str">
        <f>IF('MASTER DATA'!F555="","",'MASTER DATA'!F555)</f>
        <v>N</v>
      </c>
      <c r="G71" s="17" t="str">
        <f>IF('MASTER DATA'!G555="","",'MASTER DATA'!G555)</f>
        <v/>
      </c>
      <c r="H71" s="16" t="str">
        <f>IF('MASTER DATA'!H555="","",'MASTER DATA'!H555)</f>
        <v/>
      </c>
      <c r="I71" s="15" t="str">
        <f>IF('MASTER DATA'!I555="","",'MASTER DATA'!I555)</f>
        <v/>
      </c>
      <c r="J71" s="16" t="str">
        <f>IF('MASTER DATA'!J555="","",'MASTER DATA'!J555)</f>
        <v>N</v>
      </c>
      <c r="K71" s="15" t="str">
        <f>IF('MASTER DATA'!K555="","",'MASTER DATA'!K555)</f>
        <v/>
      </c>
      <c r="L71" s="16" t="str">
        <f>IF('MASTER DATA'!L555="","",'MASTER DATA'!L555)</f>
        <v/>
      </c>
      <c r="M71" s="16" t="str">
        <f>IF('MASTER DATA'!M555="","",'MASTER DATA'!M555)</f>
        <v>N</v>
      </c>
      <c r="N71" s="15" t="str">
        <f>IF('MASTER DATA'!N555="","",'MASTER DATA'!N555)</f>
        <v/>
      </c>
      <c r="O71" s="16" t="str">
        <f>IF('MASTER DATA'!O555="","",'MASTER DATA'!O555)</f>
        <v/>
      </c>
      <c r="P71" s="16" t="str">
        <f>IF('MASTER DATA'!P555="","",'MASTER DATA'!P555)</f>
        <v>Y</v>
      </c>
      <c r="Q71" s="16" t="str">
        <f>IF('MASTER DATA'!Q555="","",'MASTER DATA'!Q555)</f>
        <v>MSA Eligible in Next 3 Years; MMI Date Reported; Non-Renewed Account</v>
      </c>
      <c r="R71" s="16" t="str">
        <f>IF('MASTER DATA'!R555="","",'MASTER DATA'!R555)</f>
        <v/>
      </c>
      <c r="S71" s="16" t="str">
        <f>IF('MASTER DATA'!S555="","",'MASTER DATA'!S555)</f>
        <v>N</v>
      </c>
      <c r="T71" s="15" t="str">
        <f>IF('MASTER DATA'!T555="","",'MASTER DATA'!T555)</f>
        <v/>
      </c>
      <c r="U71" s="16" t="str">
        <f>IF('MASTER DATA'!U555="","",'MASTER DATA'!U555)</f>
        <v>N</v>
      </c>
      <c r="V71" s="16" t="str">
        <f>IF('MASTER DATA'!V555="","",'MASTER DATA'!V555)</f>
        <v>Y</v>
      </c>
      <c r="W71" s="16" t="str">
        <f>IF('MASTER DATA'!W555="","",'MASTER DATA'!W555)</f>
        <v>N</v>
      </c>
      <c r="X71" s="16" t="str">
        <f>IF('MASTER DATA'!X555="","",'MASTER DATA'!X555)</f>
        <v>N</v>
      </c>
      <c r="Y71" s="16" t="str">
        <f>IF('MASTER DATA'!Y555="","",'MASTER DATA'!Y555)</f>
        <v>Y</v>
      </c>
      <c r="Z71" s="16" t="str">
        <f>IF('MASTER DATA'!Z555="","",'MASTER DATA'!Z555)</f>
        <v>Y</v>
      </c>
      <c r="AA71" s="16">
        <f>IF('MASTER DATA'!AA555="","",'MASTER DATA'!AA555)</f>
        <v>1</v>
      </c>
      <c r="AB71" s="16" t="str">
        <f>IF('MASTER DATA'!AB555="","",'MASTER DATA'!AB555)</f>
        <v>SINGLE-SIGNAL</v>
      </c>
      <c r="AC71" s="16" t="str">
        <f>IF('MASTER DATA'!AC555="","",'MASTER DATA'!AC555)</f>
        <v>Automated Claim Alert</v>
      </c>
    </row>
    <row r="72" spans="1:29" x14ac:dyDescent="0.45">
      <c r="A72" t="str">
        <f>IF('MASTER DATA'!A556="","",'MASTER DATA'!A556)</f>
        <v>SYN-CLM-0555</v>
      </c>
      <c r="B72" t="str">
        <f>IF('MASTER DATA'!B556="","",'MASTER DATA'!B556)</f>
        <v>Synthetic Claimant 0555</v>
      </c>
      <c r="C72" t="str">
        <f>IF('MASTER DATA'!C556="","",'MASTER DATA'!C556)</f>
        <v>Claims Analyst L</v>
      </c>
      <c r="D72" t="str">
        <f>IF('MASTER DATA'!D556="","",'MASTER DATA'!D556)</f>
        <v>Synthetic Policyholder 020, LLC</v>
      </c>
      <c r="E72" s="15">
        <f>IF('MASTER DATA'!E556="","",'MASTER DATA'!E556)</f>
        <v>45445</v>
      </c>
      <c r="F72" s="16" t="str">
        <f>IF('MASTER DATA'!F556="","",'MASTER DATA'!F556)</f>
        <v>Y</v>
      </c>
      <c r="G72" s="17">
        <f>IF('MASTER DATA'!G556="","",'MASTER DATA'!G556)</f>
        <v>141250</v>
      </c>
      <c r="H72" s="16" t="str">
        <f>IF('MASTER DATA'!H556="","",'MASTER DATA'!H556)</f>
        <v>Synthetic Approver 05</v>
      </c>
      <c r="I72" s="15">
        <f>IF('MASTER DATA'!I556="","",'MASTER DATA'!I556)</f>
        <v>45843</v>
      </c>
      <c r="J72" s="16" t="str">
        <f>IF('MASTER DATA'!J556="","",'MASTER DATA'!J556)</f>
        <v>N</v>
      </c>
      <c r="K72" s="15" t="str">
        <f>IF('MASTER DATA'!K556="","",'MASTER DATA'!K556)</f>
        <v/>
      </c>
      <c r="L72" s="16" t="str">
        <f>IF('MASTER DATA'!L556="","",'MASTER DATA'!L556)</f>
        <v>Y</v>
      </c>
      <c r="M72" s="16" t="str">
        <f>IF('MASTER DATA'!M556="","",'MASTER DATA'!M556)</f>
        <v>Y</v>
      </c>
      <c r="N72" s="15">
        <f>IF('MASTER DATA'!N556="","",'MASTER DATA'!N556)</f>
        <v>46990</v>
      </c>
      <c r="O72" s="16" t="str">
        <f>IF('MASTER DATA'!O556="","",'MASTER DATA'!O556)</f>
        <v>Synthetic QME Evaluator 25</v>
      </c>
      <c r="P72" s="16" t="str">
        <f>IF('MASTER DATA'!P556="","",'MASTER DATA'!P556)</f>
        <v>Y</v>
      </c>
      <c r="Q72" s="16" t="str">
        <f>IF('MASTER DATA'!Q556="","",'MASTER DATA'!Q556)</f>
        <v>MMI Date Reported</v>
      </c>
      <c r="R72" s="16" t="str">
        <f>IF('MASTER DATA'!R556="","",'MASTER DATA'!R556)</f>
        <v>Specialist Consultation Requested; Denied Treatment Requests</v>
      </c>
      <c r="S72" s="16" t="str">
        <f>IF('MASTER DATA'!S556="","",'MASTER DATA'!S556)</f>
        <v>Y</v>
      </c>
      <c r="T72" s="15">
        <f>IF('MASTER DATA'!T556="","",'MASTER DATA'!T556)</f>
        <v>46055</v>
      </c>
      <c r="U72" s="16" t="str">
        <f>IF('MASTER DATA'!U556="","",'MASTER DATA'!U556)</f>
        <v>N</v>
      </c>
      <c r="V72" s="16" t="str">
        <f>IF('MASTER DATA'!V556="","",'MASTER DATA'!V556)</f>
        <v>Y</v>
      </c>
      <c r="W72" s="16" t="str">
        <f>IF('MASTER DATA'!W556="","",'MASTER DATA'!W556)</f>
        <v>Y</v>
      </c>
      <c r="X72" s="16" t="str">
        <f>IF('MASTER DATA'!X556="","",'MASTER DATA'!X556)</f>
        <v>Y</v>
      </c>
      <c r="Y72" s="16" t="str">
        <f>IF('MASTER DATA'!Y556="","",'MASTER DATA'!Y556)</f>
        <v>N</v>
      </c>
      <c r="Z72" s="16" t="str">
        <f>IF('MASTER DATA'!Z556="","",'MASTER DATA'!Z556)</f>
        <v>N</v>
      </c>
      <c r="AA72" s="16">
        <f>IF('MASTER DATA'!AA556="","",'MASTER DATA'!AA556)</f>
        <v>4</v>
      </c>
      <c r="AB72" s="16" t="str">
        <f>IF('MASTER DATA'!AB556="","",'MASTER DATA'!AB556)</f>
        <v>HIGH MULTI-SIGNAL</v>
      </c>
      <c r="AC72" s="16" t="str">
        <f>IF('MASTER DATA'!AC556="","",'MASTER DATA'!AC556)</f>
        <v>Settlement Authorization | Pending QME | Automated Claim Alert | Inactive Customer</v>
      </c>
    </row>
    <row r="73" spans="1:29" x14ac:dyDescent="0.45">
      <c r="A73" t="str">
        <f>IF('MASTER DATA'!A557="","",'MASTER DATA'!A557)</f>
        <v>SYN-CLM-0556</v>
      </c>
      <c r="B73" t="str">
        <f>IF('MASTER DATA'!B557="","",'MASTER DATA'!B557)</f>
        <v>Synthetic Claimant 0556</v>
      </c>
      <c r="C73" t="str">
        <f>IF('MASTER DATA'!C557="","",'MASTER DATA'!C557)</f>
        <v>Claims Analyst L</v>
      </c>
      <c r="D73" t="str">
        <f>IF('MASTER DATA'!D557="","",'MASTER DATA'!D557)</f>
        <v>Synthetic Policyholder 026, LLC</v>
      </c>
      <c r="E73" s="15">
        <f>IF('MASTER DATA'!E557="","",'MASTER DATA'!E557)</f>
        <v>44844</v>
      </c>
      <c r="F73" s="16" t="str">
        <f>IF('MASTER DATA'!F557="","",'MASTER DATA'!F557)</f>
        <v>Y</v>
      </c>
      <c r="G73" s="17">
        <f>IF('MASTER DATA'!G557="","",'MASTER DATA'!G557)</f>
        <v>138000</v>
      </c>
      <c r="H73" s="16" t="str">
        <f>IF('MASTER DATA'!H557="","",'MASTER DATA'!H557)</f>
        <v>Synthetic Approver 09</v>
      </c>
      <c r="I73" s="15">
        <f>IF('MASTER DATA'!I557="","",'MASTER DATA'!I557)</f>
        <v>44918</v>
      </c>
      <c r="J73" s="16" t="str">
        <f>IF('MASTER DATA'!J557="","",'MASTER DATA'!J557)</f>
        <v>N</v>
      </c>
      <c r="K73" s="15" t="str">
        <f>IF('MASTER DATA'!K557="","",'MASTER DATA'!K557)</f>
        <v/>
      </c>
      <c r="L73" s="16" t="str">
        <f>IF('MASTER DATA'!L557="","",'MASTER DATA'!L557)</f>
        <v>Y</v>
      </c>
      <c r="M73" s="16" t="str">
        <f>IF('MASTER DATA'!M557="","",'MASTER DATA'!M557)</f>
        <v>N</v>
      </c>
      <c r="N73" s="15" t="str">
        <f>IF('MASTER DATA'!N557="","",'MASTER DATA'!N557)</f>
        <v/>
      </c>
      <c r="O73" s="16" t="str">
        <f>IF('MASTER DATA'!O557="","",'MASTER DATA'!O557)</f>
        <v/>
      </c>
      <c r="P73" s="16" t="str">
        <f>IF('MASTER DATA'!P557="","",'MASTER DATA'!P557)</f>
        <v>N</v>
      </c>
      <c r="Q73" s="16" t="str">
        <f>IF('MASTER DATA'!Q557="","",'MASTER DATA'!Q557)</f>
        <v/>
      </c>
      <c r="R73" s="16" t="str">
        <f>IF('MASTER DATA'!R557="","",'MASTER DATA'!R557)</f>
        <v/>
      </c>
      <c r="S73" s="16" t="str">
        <f>IF('MASTER DATA'!S557="","",'MASTER DATA'!S557)</f>
        <v>Y</v>
      </c>
      <c r="T73" s="15">
        <f>IF('MASTER DATA'!T557="","",'MASTER DATA'!T557)</f>
        <v>46045</v>
      </c>
      <c r="U73" s="16" t="str">
        <f>IF('MASTER DATA'!U557="","",'MASTER DATA'!U557)</f>
        <v>N</v>
      </c>
      <c r="V73" s="16" t="str">
        <f>IF('MASTER DATA'!V557="","",'MASTER DATA'!V557)</f>
        <v>N</v>
      </c>
      <c r="W73" s="16" t="str">
        <f>IF('MASTER DATA'!W557="","",'MASTER DATA'!W557)</f>
        <v>N</v>
      </c>
      <c r="X73" s="16" t="str">
        <f>IF('MASTER DATA'!X557="","",'MASTER DATA'!X557)</f>
        <v>N</v>
      </c>
      <c r="Y73" s="16" t="str">
        <f>IF('MASTER DATA'!Y557="","",'MASTER DATA'!Y557)</f>
        <v>N</v>
      </c>
      <c r="Z73" s="16" t="str">
        <f>IF('MASTER DATA'!Z557="","",'MASTER DATA'!Z557)</f>
        <v>N</v>
      </c>
      <c r="AA73" s="16">
        <f>IF('MASTER DATA'!AA557="","",'MASTER DATA'!AA557)</f>
        <v>2</v>
      </c>
      <c r="AB73" s="16" t="str">
        <f>IF('MASTER DATA'!AB557="","",'MASTER DATA'!AB557)</f>
        <v>MULTI-SIGNAL</v>
      </c>
      <c r="AC73" s="16" t="str">
        <f>IF('MASTER DATA'!AC557="","",'MASTER DATA'!AC557)</f>
        <v>Settlement Authorization | Inactive Customer</v>
      </c>
    </row>
    <row r="74" spans="1:29" x14ac:dyDescent="0.45">
      <c r="A74" t="str">
        <f>IF('MASTER DATA'!A558="","",'MASTER DATA'!A558)</f>
        <v>SYN-CLM-0557</v>
      </c>
      <c r="B74" t="str">
        <f>IF('MASTER DATA'!B558="","",'MASTER DATA'!B558)</f>
        <v>Synthetic Claimant 0557</v>
      </c>
      <c r="C74" t="str">
        <f>IF('MASTER DATA'!C558="","",'MASTER DATA'!C558)</f>
        <v>Claims Analyst L</v>
      </c>
      <c r="D74" t="str">
        <f>IF('MASTER DATA'!D558="","",'MASTER DATA'!D558)</f>
        <v>Synthetic Policyholder 179, LLC</v>
      </c>
      <c r="E74" s="15">
        <f>IF('MASTER DATA'!E558="","",'MASTER DATA'!E558)</f>
        <v>45591</v>
      </c>
      <c r="F74" s="16" t="str">
        <f>IF('MASTER DATA'!F558="","",'MASTER DATA'!F558)</f>
        <v>N</v>
      </c>
      <c r="G74" s="17" t="str">
        <f>IF('MASTER DATA'!G558="","",'MASTER DATA'!G558)</f>
        <v/>
      </c>
      <c r="H74" s="16" t="str">
        <f>IF('MASTER DATA'!H558="","",'MASTER DATA'!H558)</f>
        <v/>
      </c>
      <c r="I74" s="15" t="str">
        <f>IF('MASTER DATA'!I558="","",'MASTER DATA'!I558)</f>
        <v/>
      </c>
      <c r="J74" s="16" t="str">
        <f>IF('MASTER DATA'!J558="","",'MASTER DATA'!J558)</f>
        <v>N</v>
      </c>
      <c r="K74" s="15" t="str">
        <f>IF('MASTER DATA'!K558="","",'MASTER DATA'!K558)</f>
        <v/>
      </c>
      <c r="L74" s="16" t="str">
        <f>IF('MASTER DATA'!L558="","",'MASTER DATA'!L558)</f>
        <v/>
      </c>
      <c r="M74" s="16" t="str">
        <f>IF('MASTER DATA'!M558="","",'MASTER DATA'!M558)</f>
        <v>N</v>
      </c>
      <c r="N74" s="15" t="str">
        <f>IF('MASTER DATA'!N558="","",'MASTER DATA'!N558)</f>
        <v/>
      </c>
      <c r="O74" s="16" t="str">
        <f>IF('MASTER DATA'!O558="","",'MASTER DATA'!O558)</f>
        <v/>
      </c>
      <c r="P74" s="16" t="str">
        <f>IF('MASTER DATA'!P558="","",'MASTER DATA'!P558)</f>
        <v>N</v>
      </c>
      <c r="Q74" s="16" t="str">
        <f>IF('MASTER DATA'!Q558="","",'MASTER DATA'!Q558)</f>
        <v/>
      </c>
      <c r="R74" s="16" t="str">
        <f>IF('MASTER DATA'!R558="","",'MASTER DATA'!R558)</f>
        <v/>
      </c>
      <c r="S74" s="16" t="str">
        <f>IF('MASTER DATA'!S558="","",'MASTER DATA'!S558)</f>
        <v>Y</v>
      </c>
      <c r="T74" s="15">
        <f>IF('MASTER DATA'!T558="","",'MASTER DATA'!T558)</f>
        <v>46088</v>
      </c>
      <c r="U74" s="16" t="str">
        <f>IF('MASTER DATA'!U558="","",'MASTER DATA'!U558)</f>
        <v>N</v>
      </c>
      <c r="V74" s="16" t="str">
        <f>IF('MASTER DATA'!V558="","",'MASTER DATA'!V558)</f>
        <v>N</v>
      </c>
      <c r="W74" s="16" t="str">
        <f>IF('MASTER DATA'!W558="","",'MASTER DATA'!W558)</f>
        <v>N</v>
      </c>
      <c r="X74" s="16" t="str">
        <f>IF('MASTER DATA'!X558="","",'MASTER DATA'!X558)</f>
        <v>N</v>
      </c>
      <c r="Y74" s="16" t="str">
        <f>IF('MASTER DATA'!Y558="","",'MASTER DATA'!Y558)</f>
        <v>N</v>
      </c>
      <c r="Z74" s="16" t="str">
        <f>IF('MASTER DATA'!Z558="","",'MASTER DATA'!Z558)</f>
        <v>N</v>
      </c>
      <c r="AA74" s="16">
        <f>IF('MASTER DATA'!AA558="","",'MASTER DATA'!AA558)</f>
        <v>1</v>
      </c>
      <c r="AB74" s="16" t="str">
        <f>IF('MASTER DATA'!AB558="","",'MASTER DATA'!AB558)</f>
        <v>SINGLE-SIGNAL</v>
      </c>
      <c r="AC74" s="16" t="str">
        <f>IF('MASTER DATA'!AC558="","",'MASTER DATA'!AC558)</f>
        <v>Inactive Customer</v>
      </c>
    </row>
    <row r="75" spans="1:29" x14ac:dyDescent="0.45">
      <c r="A75" t="str">
        <f>IF('MASTER DATA'!A559="","",'MASTER DATA'!A559)</f>
        <v>SYN-CLM-0558</v>
      </c>
      <c r="B75" t="str">
        <f>IF('MASTER DATA'!B559="","",'MASTER DATA'!B559)</f>
        <v>Synthetic Claimant 0558</v>
      </c>
      <c r="C75" t="str">
        <f>IF('MASTER DATA'!C559="","",'MASTER DATA'!C559)</f>
        <v>Claims Analyst L</v>
      </c>
      <c r="D75" t="str">
        <f>IF('MASTER DATA'!D559="","",'MASTER DATA'!D559)</f>
        <v>Synthetic Policyholder 165, LLC</v>
      </c>
      <c r="E75" s="15">
        <f>IF('MASTER DATA'!E559="","",'MASTER DATA'!E559)</f>
        <v>43771</v>
      </c>
      <c r="F75" s="16" t="str">
        <f>IF('MASTER DATA'!F559="","",'MASTER DATA'!F559)</f>
        <v>Y</v>
      </c>
      <c r="G75" s="17">
        <f>IF('MASTER DATA'!G559="","",'MASTER DATA'!G559)</f>
        <v>18000</v>
      </c>
      <c r="H75" s="16" t="str">
        <f>IF('MASTER DATA'!H559="","",'MASTER DATA'!H559)</f>
        <v>Synthetic Approver 08</v>
      </c>
      <c r="I75" s="15">
        <f>IF('MASTER DATA'!I559="","",'MASTER DATA'!I559)</f>
        <v>44333</v>
      </c>
      <c r="J75" s="16" t="str">
        <f>IF('MASTER DATA'!J559="","",'MASTER DATA'!J559)</f>
        <v>N</v>
      </c>
      <c r="K75" s="15" t="str">
        <f>IF('MASTER DATA'!K559="","",'MASTER DATA'!K559)</f>
        <v/>
      </c>
      <c r="L75" s="16" t="str">
        <f>IF('MASTER DATA'!L559="","",'MASTER DATA'!L559)</f>
        <v>Y</v>
      </c>
      <c r="M75" s="16" t="str">
        <f>IF('MASTER DATA'!M559="","",'MASTER DATA'!M559)</f>
        <v>N</v>
      </c>
      <c r="N75" s="15" t="str">
        <f>IF('MASTER DATA'!N559="","",'MASTER DATA'!N559)</f>
        <v/>
      </c>
      <c r="O75" s="16" t="str">
        <f>IF('MASTER DATA'!O559="","",'MASTER DATA'!O559)</f>
        <v/>
      </c>
      <c r="P75" s="16" t="str">
        <f>IF('MASTER DATA'!P559="","",'MASTER DATA'!P559)</f>
        <v>Y</v>
      </c>
      <c r="Q75" s="16" t="str">
        <f>IF('MASTER DATA'!Q559="","",'MASTER DATA'!Q559)</f>
        <v>Denied Treatment Requests; Specialist Consultation Requested; MMI Date Reported</v>
      </c>
      <c r="R75" s="16" t="str">
        <f>IF('MASTER DATA'!R559="","",'MASTER DATA'!R559)</f>
        <v/>
      </c>
      <c r="S75" s="16" t="str">
        <f>IF('MASTER DATA'!S559="","",'MASTER DATA'!S559)</f>
        <v>Y</v>
      </c>
      <c r="T75" s="15">
        <f>IF('MASTER DATA'!T559="","",'MASTER DATA'!T559)</f>
        <v>44334</v>
      </c>
      <c r="U75" s="16" t="str">
        <f>IF('MASTER DATA'!U559="","",'MASTER DATA'!U559)</f>
        <v>N</v>
      </c>
      <c r="V75" s="16" t="str">
        <f>IF('MASTER DATA'!V559="","",'MASTER DATA'!V559)</f>
        <v>Y</v>
      </c>
      <c r="W75" s="16" t="str">
        <f>IF('MASTER DATA'!W559="","",'MASTER DATA'!W559)</f>
        <v>Y</v>
      </c>
      <c r="X75" s="16" t="str">
        <f>IF('MASTER DATA'!X559="","",'MASTER DATA'!X559)</f>
        <v>Y</v>
      </c>
      <c r="Y75" s="16" t="str">
        <f>IF('MASTER DATA'!Y559="","",'MASTER DATA'!Y559)</f>
        <v>N</v>
      </c>
      <c r="Z75" s="16" t="str">
        <f>IF('MASTER DATA'!Z559="","",'MASTER DATA'!Z559)</f>
        <v>N</v>
      </c>
      <c r="AA75" s="16">
        <f>IF('MASTER DATA'!AA559="","",'MASTER DATA'!AA559)</f>
        <v>3</v>
      </c>
      <c r="AB75" s="16" t="str">
        <f>IF('MASTER DATA'!AB559="","",'MASTER DATA'!AB559)</f>
        <v>ELEVATED MULTI-SIGNAL</v>
      </c>
      <c r="AC75" s="16" t="str">
        <f>IF('MASTER DATA'!AC559="","",'MASTER DATA'!AC559)</f>
        <v>Settlement Authorization | Automated Claim Alert | Inactive Customer</v>
      </c>
    </row>
    <row r="76" spans="1:29" x14ac:dyDescent="0.45">
      <c r="A76" t="str">
        <f>IF('MASTER DATA'!A560="","",'MASTER DATA'!A560)</f>
        <v>SYN-CLM-0559</v>
      </c>
      <c r="B76" t="str">
        <f>IF('MASTER DATA'!B560="","",'MASTER DATA'!B560)</f>
        <v>Synthetic Claimant 0559</v>
      </c>
      <c r="C76" t="str">
        <f>IF('MASTER DATA'!C560="","",'MASTER DATA'!C560)</f>
        <v>Claims Analyst L</v>
      </c>
      <c r="D76" t="str">
        <f>IF('MASTER DATA'!D560="","",'MASTER DATA'!D560)</f>
        <v>Synthetic Policyholder 011, LLC</v>
      </c>
      <c r="E76" s="15">
        <f>IF('MASTER DATA'!E560="","",'MASTER DATA'!E560)</f>
        <v>44620</v>
      </c>
      <c r="F76" s="16" t="str">
        <f>IF('MASTER DATA'!F560="","",'MASTER DATA'!F560)</f>
        <v>Y</v>
      </c>
      <c r="G76" s="17">
        <f>IF('MASTER DATA'!G560="","",'MASTER DATA'!G560)</f>
        <v>142500</v>
      </c>
      <c r="H76" s="16" t="str">
        <f>IF('MASTER DATA'!H560="","",'MASTER DATA'!H560)</f>
        <v>Synthetic Approver 06</v>
      </c>
      <c r="I76" s="15">
        <f>IF('MASTER DATA'!I560="","",'MASTER DATA'!I560)</f>
        <v>45588</v>
      </c>
      <c r="J76" s="16" t="str">
        <f>IF('MASTER DATA'!J560="","",'MASTER DATA'!J560)</f>
        <v>N</v>
      </c>
      <c r="K76" s="15" t="str">
        <f>IF('MASTER DATA'!K560="","",'MASTER DATA'!K560)</f>
        <v/>
      </c>
      <c r="L76" s="16" t="str">
        <f>IF('MASTER DATA'!L560="","",'MASTER DATA'!L560)</f>
        <v>N</v>
      </c>
      <c r="M76" s="16" t="str">
        <f>IF('MASTER DATA'!M560="","",'MASTER DATA'!M560)</f>
        <v>N</v>
      </c>
      <c r="N76" s="15" t="str">
        <f>IF('MASTER DATA'!N560="","",'MASTER DATA'!N560)</f>
        <v/>
      </c>
      <c r="O76" s="16" t="str">
        <f>IF('MASTER DATA'!O560="","",'MASTER DATA'!O560)</f>
        <v/>
      </c>
      <c r="P76" s="16" t="str">
        <f>IF('MASTER DATA'!P560="","",'MASTER DATA'!P560)</f>
        <v>Y</v>
      </c>
      <c r="Q76" s="16" t="str">
        <f>IF('MASTER DATA'!Q560="","",'MASTER DATA'!Q560)</f>
        <v>MMI Date Reported; Specialist Consultation Requested; MSA Eligible in Next 3 Years</v>
      </c>
      <c r="R76" s="16" t="str">
        <f>IF('MASTER DATA'!R560="","",'MASTER DATA'!R560)</f>
        <v>Non-Renewed Account; Denied Treatment Requests</v>
      </c>
      <c r="S76" s="16" t="str">
        <f>IF('MASTER DATA'!S560="","",'MASTER DATA'!S560)</f>
        <v>N</v>
      </c>
      <c r="T76" s="15" t="str">
        <f>IF('MASTER DATA'!T560="","",'MASTER DATA'!T560)</f>
        <v/>
      </c>
      <c r="U76" s="16" t="str">
        <f>IF('MASTER DATA'!U560="","",'MASTER DATA'!U560)</f>
        <v>N</v>
      </c>
      <c r="V76" s="16" t="str">
        <f>IF('MASTER DATA'!V560="","",'MASTER DATA'!V560)</f>
        <v>Y</v>
      </c>
      <c r="W76" s="16" t="str">
        <f>IF('MASTER DATA'!W560="","",'MASTER DATA'!W560)</f>
        <v>Y</v>
      </c>
      <c r="X76" s="16" t="str">
        <f>IF('MASTER DATA'!X560="","",'MASTER DATA'!X560)</f>
        <v>Y</v>
      </c>
      <c r="Y76" s="16" t="str">
        <f>IF('MASTER DATA'!Y560="","",'MASTER DATA'!Y560)</f>
        <v>Y</v>
      </c>
      <c r="Z76" s="16" t="str">
        <f>IF('MASTER DATA'!Z560="","",'MASTER DATA'!Z560)</f>
        <v>Y</v>
      </c>
      <c r="AA76" s="16">
        <f>IF('MASTER DATA'!AA560="","",'MASTER DATA'!AA560)</f>
        <v>2</v>
      </c>
      <c r="AB76" s="16" t="str">
        <f>IF('MASTER DATA'!AB560="","",'MASTER DATA'!AB560)</f>
        <v>MULTI-SIGNAL</v>
      </c>
      <c r="AC76" s="16" t="str">
        <f>IF('MASTER DATA'!AC560="","",'MASTER DATA'!AC560)</f>
        <v>Settlement Authorization | Automated Claim Alert</v>
      </c>
    </row>
    <row r="77" spans="1:29" x14ac:dyDescent="0.45">
      <c r="A77" t="str">
        <f>IF('MASTER DATA'!A561="","",'MASTER DATA'!A561)</f>
        <v>SYN-CLM-0560</v>
      </c>
      <c r="B77" t="str">
        <f>IF('MASTER DATA'!B561="","",'MASTER DATA'!B561)</f>
        <v>Synthetic Claimant 0560</v>
      </c>
      <c r="C77" t="str">
        <f>IF('MASTER DATA'!C561="","",'MASTER DATA'!C561)</f>
        <v>Claims Analyst L</v>
      </c>
      <c r="D77" t="str">
        <f>IF('MASTER DATA'!D561="","",'MASTER DATA'!D561)</f>
        <v>Synthetic Policyholder 079, LLC</v>
      </c>
      <c r="E77" s="15">
        <f>IF('MASTER DATA'!E561="","",'MASTER DATA'!E561)</f>
        <v>44191</v>
      </c>
      <c r="F77" s="16" t="str">
        <f>IF('MASTER DATA'!F561="","",'MASTER DATA'!F561)</f>
        <v>Y</v>
      </c>
      <c r="G77" s="17">
        <f>IF('MASTER DATA'!G561="","",'MASTER DATA'!G561)</f>
        <v>127750</v>
      </c>
      <c r="H77" s="16" t="str">
        <f>IF('MASTER DATA'!H561="","",'MASTER DATA'!H561)</f>
        <v>Synthetic Approver 04</v>
      </c>
      <c r="I77" s="15">
        <f>IF('MASTER DATA'!I561="","",'MASTER DATA'!I561)</f>
        <v>45487</v>
      </c>
      <c r="J77" s="16" t="str">
        <f>IF('MASTER DATA'!J561="","",'MASTER DATA'!J561)</f>
        <v>Y</v>
      </c>
      <c r="K77" s="15">
        <f>IF('MASTER DATA'!K561="","",'MASTER DATA'!K561)</f>
        <v>44355</v>
      </c>
      <c r="L77" s="16" t="str">
        <f>IF('MASTER DATA'!L561="","",'MASTER DATA'!L561)</f>
        <v>Y</v>
      </c>
      <c r="M77" s="16" t="str">
        <f>IF('MASTER DATA'!M561="","",'MASTER DATA'!M561)</f>
        <v>Y</v>
      </c>
      <c r="N77" s="15">
        <f>IF('MASTER DATA'!N561="","",'MASTER DATA'!N561)</f>
        <v>45794</v>
      </c>
      <c r="O77" s="16" t="str">
        <f>IF('MASTER DATA'!O561="","",'MASTER DATA'!O561)</f>
        <v>Synthetic QME Evaluator 04</v>
      </c>
      <c r="P77" s="16" t="str">
        <f>IF('MASTER DATA'!P561="","",'MASTER DATA'!P561)</f>
        <v>N</v>
      </c>
      <c r="Q77" s="16" t="str">
        <f>IF('MASTER DATA'!Q561="","",'MASTER DATA'!Q561)</f>
        <v/>
      </c>
      <c r="R77" s="16" t="str">
        <f>IF('MASTER DATA'!R561="","",'MASTER DATA'!R561)</f>
        <v/>
      </c>
      <c r="S77" s="16" t="str">
        <f>IF('MASTER DATA'!S561="","",'MASTER DATA'!S561)</f>
        <v>N</v>
      </c>
      <c r="T77" s="15" t="str">
        <f>IF('MASTER DATA'!T561="","",'MASTER DATA'!T561)</f>
        <v/>
      </c>
      <c r="U77" s="16" t="str">
        <f>IF('MASTER DATA'!U561="","",'MASTER DATA'!U561)</f>
        <v>N</v>
      </c>
      <c r="V77" s="16" t="str">
        <f>IF('MASTER DATA'!V561="","",'MASTER DATA'!V561)</f>
        <v>N</v>
      </c>
      <c r="W77" s="16" t="str">
        <f>IF('MASTER DATA'!W561="","",'MASTER DATA'!W561)</f>
        <v>N</v>
      </c>
      <c r="X77" s="16" t="str">
        <f>IF('MASTER DATA'!X561="","",'MASTER DATA'!X561)</f>
        <v>N</v>
      </c>
      <c r="Y77" s="16" t="str">
        <f>IF('MASTER DATA'!Y561="","",'MASTER DATA'!Y561)</f>
        <v>N</v>
      </c>
      <c r="Z77" s="16" t="str">
        <f>IF('MASTER DATA'!Z561="","",'MASTER DATA'!Z561)</f>
        <v>N</v>
      </c>
      <c r="AA77" s="16">
        <f>IF('MASTER DATA'!AA561="","",'MASTER DATA'!AA561)</f>
        <v>3</v>
      </c>
      <c r="AB77" s="16" t="str">
        <f>IF('MASTER DATA'!AB561="","",'MASTER DATA'!AB561)</f>
        <v>ELEVATED MULTI-SIGNAL</v>
      </c>
      <c r="AC77" s="16" t="str">
        <f>IF('MASTER DATA'!AC561="","",'MASTER DATA'!AC561)</f>
        <v>Settlement Authorization | Open Stipulation | Pending QME</v>
      </c>
    </row>
  </sheetData>
  <conditionalFormatting sqref="A2:AC77">
    <cfRule type="expression" dxfId="0" priority="1">
      <formula>MOD(ROW(),2)=0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&amp;CSynthetic portfolio demonstration | Not for operational decisions&amp;RPage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PROJECT OVERVIEW</vt:lpstr>
      <vt:lpstr>MASTER DATA</vt:lpstr>
      <vt:lpstr>DASHBOARD</vt:lpstr>
      <vt:lpstr>AUDIT CONTROLS</vt:lpstr>
      <vt:lpstr>Claims Analyst A</vt:lpstr>
      <vt:lpstr>Claims Analyst B</vt:lpstr>
      <vt:lpstr>Claims Analyst C</vt:lpstr>
      <vt:lpstr>Claims Analyst D</vt:lpstr>
      <vt:lpstr>Claims Analyst E</vt:lpstr>
      <vt:lpstr>Claims Analyst F</vt:lpstr>
      <vt:lpstr>Claims Analyst G</vt:lpstr>
      <vt:lpstr>Claims Analyst H</vt:lpstr>
      <vt:lpstr>Claims Analyst I</vt:lpstr>
      <vt:lpstr>Claims Analyst J</vt:lpstr>
      <vt:lpstr>Claims Analyst K</vt:lpstr>
      <vt:lpstr>Claims Analyst 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Claims Opportunity Dashboard</dc:title>
  <dc:subject>Independent synthetic Microsoft Excel portfolio project</dc:subject>
  <dc:creator>Erickson, Brady</dc:creator>
  <cp:keywords>synthetic portfolio Excel claims dashboard reconciliation data quality</cp:keywords>
  <dc:description>Fully synthetic portfolio demonstration with no operational claim-level data.</dc:description>
  <cp:lastModifiedBy>Erickson, Brady P.</cp:lastModifiedBy>
  <cp:revision>0</cp:revision>
  <dcterms:created xsi:type="dcterms:W3CDTF">2026-07-25T21:57:46Z</dcterms:created>
  <dcterms:modified xsi:type="dcterms:W3CDTF">2026-07-25T23:01:20Z</dcterms:modified>
  <cp:category/>
  <cp:contentStatus/>
</cp:coreProperties>
</file>